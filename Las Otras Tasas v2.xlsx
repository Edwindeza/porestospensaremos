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-ANDRES PERSONAL\07 POLITICA\2026 CAMPAÑA\"/>
    </mc:Choice>
  </mc:AlternateContent>
  <xr:revisionPtr revIDLastSave="0" documentId="13_ncr:1_{B1A65217-5B73-4C0A-9E07-0C3524B499F6}" xr6:coauthVersionLast="47" xr6:coauthVersionMax="47" xr10:uidLastSave="{00000000-0000-0000-0000-000000000000}"/>
  <bookViews>
    <workbookView xWindow="-108" yWindow="-108" windowWidth="23256" windowHeight="12456" firstSheet="2" activeTab="6" xr2:uid="{D24096E0-542A-44A5-8288-B52F7F563601}"/>
  </bookViews>
  <sheets>
    <sheet name="Crudo" sheetId="1" r:id="rId1"/>
    <sheet name="Resumen" sheetId="2" r:id="rId2"/>
    <sheet name="Crudo2" sheetId="5" r:id="rId3"/>
    <sheet name="Resumen2" sheetId="6" r:id="rId4"/>
    <sheet name="Op3" sheetId="7" r:id="rId5"/>
    <sheet name="Op4" sheetId="8" r:id="rId6"/>
    <sheet name="I1" sheetId="9" r:id="rId7"/>
    <sheet name="I2" sheetId="10" r:id="rId8"/>
    <sheet name="I3" sheetId="11" r:id="rId9"/>
    <sheet name="I4a" sheetId="12" r:id="rId10"/>
    <sheet name="I4b" sheetId="13" r:id="rId11"/>
    <sheet name="I5" sheetId="14" r:id="rId12"/>
    <sheet name="I6" sheetId="15" r:id="rId13"/>
    <sheet name="I7" sheetId="18" r:id="rId14"/>
    <sheet name="Tabla Ranking" sheetId="16" r:id="rId15"/>
    <sheet name="Tabla 100" sheetId="19" r:id="rId16"/>
    <sheet name="Grafica" sheetId="17" r:id="rId17"/>
  </sheets>
  <externalReferences>
    <externalReference r:id="rId18"/>
  </externalReferences>
  <definedNames>
    <definedName name="_xlnm._FilterDatabase" localSheetId="0" hidden="1">Crudo!$M$2:$M$1191</definedName>
    <definedName name="_xlnm._FilterDatabase" localSheetId="2" hidden="1">Crudo2!$A$2:$Q$1191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9" l="1"/>
  <c r="A6" i="19"/>
  <c r="E1" i="19"/>
  <c r="F1" i="19" s="1"/>
  <c r="G1" i="19" s="1"/>
  <c r="H1" i="19" s="1"/>
  <c r="I1" i="19" s="1"/>
  <c r="J1" i="19" s="1"/>
  <c r="K1" i="19" s="1"/>
  <c r="E1" i="16"/>
  <c r="F1" i="16"/>
  <c r="G1" i="16" s="1"/>
  <c r="H1" i="16" s="1"/>
  <c r="I1" i="16" s="1"/>
  <c r="J1" i="16" s="1"/>
  <c r="K1" i="16" s="1"/>
  <c r="H2" i="17"/>
  <c r="H3" i="17"/>
  <c r="G3" i="17"/>
  <c r="F3" i="17"/>
  <c r="E3" i="17"/>
  <c r="D3" i="17"/>
  <c r="C3" i="17"/>
  <c r="B3" i="17"/>
  <c r="A6" i="16"/>
  <c r="K3" i="16"/>
  <c r="I5" i="19" l="1"/>
  <c r="D5" i="19"/>
  <c r="J5" i="19"/>
  <c r="J6" i="19"/>
  <c r="I6" i="19"/>
  <c r="H6" i="19"/>
  <c r="E5" i="19"/>
  <c r="G6" i="19"/>
  <c r="F5" i="19"/>
  <c r="F6" i="19"/>
  <c r="G5" i="19"/>
  <c r="E6" i="19"/>
  <c r="A7" i="19"/>
  <c r="A7" i="16"/>
  <c r="A8" i="19" l="1"/>
  <c r="A8" i="16"/>
  <c r="D7" i="19" l="1"/>
  <c r="E7" i="19"/>
  <c r="F7" i="19"/>
  <c r="G7" i="19"/>
  <c r="H7" i="19"/>
  <c r="I7" i="19"/>
  <c r="J7" i="19"/>
  <c r="A9" i="19"/>
  <c r="A9" i="16"/>
  <c r="K7" i="19" l="1"/>
  <c r="F8" i="19"/>
  <c r="G8" i="19"/>
  <c r="H8" i="19"/>
  <c r="I8" i="19"/>
  <c r="J8" i="19"/>
  <c r="D8" i="19"/>
  <c r="E8" i="19"/>
  <c r="A10" i="19"/>
  <c r="A10" i="16"/>
  <c r="F9" i="19" l="1"/>
  <c r="G9" i="19"/>
  <c r="D9" i="19"/>
  <c r="E9" i="19"/>
  <c r="H9" i="19"/>
  <c r="I9" i="19"/>
  <c r="J9" i="19"/>
  <c r="A11" i="19"/>
  <c r="K8" i="19"/>
  <c r="A11" i="16"/>
  <c r="H10" i="19" l="1"/>
  <c r="I10" i="19"/>
  <c r="J10" i="19"/>
  <c r="D10" i="19"/>
  <c r="E10" i="19"/>
  <c r="F10" i="19"/>
  <c r="G10" i="19"/>
  <c r="K9" i="19"/>
  <c r="A12" i="19"/>
  <c r="A12" i="16"/>
  <c r="K10" i="19" l="1"/>
  <c r="F11" i="19"/>
  <c r="D11" i="19"/>
  <c r="E11" i="19"/>
  <c r="H11" i="19"/>
  <c r="I11" i="19"/>
  <c r="G11" i="19"/>
  <c r="J11" i="19"/>
  <c r="A13" i="19"/>
  <c r="A13" i="16"/>
  <c r="J12" i="19" l="1"/>
  <c r="E12" i="19"/>
  <c r="F12" i="19"/>
  <c r="G12" i="19"/>
  <c r="H12" i="19"/>
  <c r="I12" i="19"/>
  <c r="D12" i="19"/>
  <c r="A14" i="19"/>
  <c r="K11" i="19"/>
  <c r="A14" i="16"/>
  <c r="D13" i="19" l="1"/>
  <c r="G13" i="19"/>
  <c r="E13" i="19"/>
  <c r="F13" i="19"/>
  <c r="H13" i="19"/>
  <c r="I13" i="19"/>
  <c r="J13" i="19"/>
  <c r="A15" i="19"/>
  <c r="K12" i="19"/>
  <c r="A15" i="16"/>
  <c r="D14" i="19" l="1"/>
  <c r="E14" i="19"/>
  <c r="F14" i="19"/>
  <c r="G14" i="19"/>
  <c r="H14" i="19"/>
  <c r="I14" i="19"/>
  <c r="J14" i="19"/>
  <c r="K13" i="19"/>
  <c r="A16" i="19"/>
  <c r="A16" i="16"/>
  <c r="E15" i="19" l="1"/>
  <c r="F15" i="19"/>
  <c r="G15" i="19"/>
  <c r="H15" i="19"/>
  <c r="I15" i="19"/>
  <c r="J15" i="19"/>
  <c r="D15" i="19"/>
  <c r="A17" i="19"/>
  <c r="K14" i="19"/>
  <c r="A17" i="16"/>
  <c r="E16" i="19" l="1"/>
  <c r="F16" i="19"/>
  <c r="D16" i="19"/>
  <c r="I16" i="19"/>
  <c r="J16" i="19"/>
  <c r="G16" i="19"/>
  <c r="H16" i="19"/>
  <c r="K15" i="19"/>
  <c r="A18" i="19"/>
  <c r="A18" i="16"/>
  <c r="G17" i="19" l="1"/>
  <c r="H17" i="19"/>
  <c r="I17" i="19"/>
  <c r="J17" i="19"/>
  <c r="D17" i="19"/>
  <c r="E17" i="19"/>
  <c r="F17" i="19"/>
  <c r="A19" i="19"/>
  <c r="K16" i="19"/>
  <c r="A19" i="16"/>
  <c r="D18" i="19" l="1"/>
  <c r="E18" i="19"/>
  <c r="F18" i="19"/>
  <c r="G18" i="19"/>
  <c r="H18" i="19"/>
  <c r="I18" i="19"/>
  <c r="J18" i="19"/>
  <c r="A20" i="19"/>
  <c r="K17" i="19"/>
  <c r="A20" i="16"/>
  <c r="K18" i="19" l="1"/>
  <c r="I19" i="19"/>
  <c r="J19" i="19"/>
  <c r="D19" i="19"/>
  <c r="E19" i="19"/>
  <c r="F19" i="19"/>
  <c r="G19" i="19"/>
  <c r="H19" i="19"/>
  <c r="A21" i="19"/>
  <c r="A21" i="16"/>
  <c r="D20" i="19" l="1"/>
  <c r="E20" i="19"/>
  <c r="F20" i="19"/>
  <c r="I20" i="19"/>
  <c r="J20" i="19"/>
  <c r="G20" i="19"/>
  <c r="H20" i="19"/>
  <c r="K19" i="19"/>
  <c r="A22" i="19"/>
  <c r="A22" i="16"/>
  <c r="K20" i="19" l="1"/>
  <c r="J21" i="19"/>
  <c r="H21" i="19"/>
  <c r="I21" i="19"/>
  <c r="D21" i="19"/>
  <c r="E21" i="19"/>
  <c r="F21" i="19"/>
  <c r="G21" i="19"/>
  <c r="A23" i="19"/>
  <c r="A23" i="16"/>
  <c r="D22" i="19" l="1"/>
  <c r="E22" i="19"/>
  <c r="F22" i="19"/>
  <c r="G22" i="19"/>
  <c r="H22" i="19"/>
  <c r="I22" i="19"/>
  <c r="J22" i="19"/>
  <c r="A24" i="19"/>
  <c r="K21" i="19"/>
  <c r="A24" i="16"/>
  <c r="D23" i="19" l="1"/>
  <c r="E23" i="19"/>
  <c r="F23" i="19"/>
  <c r="G23" i="19"/>
  <c r="H23" i="19"/>
  <c r="I23" i="19"/>
  <c r="J23" i="19"/>
  <c r="A25" i="19"/>
  <c r="K22" i="19"/>
  <c r="A25" i="16"/>
  <c r="K23" i="19" l="1"/>
  <c r="F24" i="19"/>
  <c r="G24" i="19"/>
  <c r="I24" i="19"/>
  <c r="H24" i="19"/>
  <c r="J24" i="19"/>
  <c r="D24" i="19"/>
  <c r="E24" i="19"/>
  <c r="A26" i="19"/>
  <c r="A26" i="16"/>
  <c r="D25" i="19" l="1"/>
  <c r="F25" i="19"/>
  <c r="G25" i="19"/>
  <c r="E25" i="19"/>
  <c r="H25" i="19"/>
  <c r="I25" i="19"/>
  <c r="J25" i="19"/>
  <c r="A27" i="19"/>
  <c r="K24" i="19"/>
  <c r="A27" i="16"/>
  <c r="H26" i="19" l="1"/>
  <c r="I26" i="19"/>
  <c r="J26" i="19"/>
  <c r="D26" i="19"/>
  <c r="E26" i="19"/>
  <c r="F26" i="19"/>
  <c r="G26" i="19"/>
  <c r="A28" i="19"/>
  <c r="K25" i="19"/>
  <c r="A28" i="16"/>
  <c r="K26" i="19" l="1"/>
  <c r="D27" i="19"/>
  <c r="E27" i="19"/>
  <c r="G27" i="19"/>
  <c r="H27" i="19"/>
  <c r="I27" i="19"/>
  <c r="F27" i="19"/>
  <c r="J27" i="19"/>
  <c r="A29" i="19"/>
  <c r="A29" i="16"/>
  <c r="K27" i="19" l="1"/>
  <c r="J28" i="19"/>
  <c r="D28" i="19"/>
  <c r="E28" i="19"/>
  <c r="F28" i="19"/>
  <c r="G28" i="19"/>
  <c r="H28" i="19"/>
  <c r="I28" i="19"/>
  <c r="A30" i="19"/>
  <c r="A30" i="16"/>
  <c r="D29" i="19" l="1"/>
  <c r="F29" i="19"/>
  <c r="E29" i="19"/>
  <c r="G29" i="19"/>
  <c r="H29" i="19"/>
  <c r="I29" i="19"/>
  <c r="J29" i="19"/>
  <c r="K28" i="19"/>
  <c r="A31" i="19"/>
  <c r="A31" i="16"/>
  <c r="D30" i="19" l="1"/>
  <c r="E30" i="19"/>
  <c r="F30" i="19"/>
  <c r="G30" i="19"/>
  <c r="H30" i="19"/>
  <c r="I30" i="19"/>
  <c r="J30" i="19"/>
  <c r="A32" i="19"/>
  <c r="K29" i="19"/>
  <c r="A32" i="16"/>
  <c r="E31" i="19" l="1"/>
  <c r="F31" i="19"/>
  <c r="G31" i="19"/>
  <c r="H31" i="19"/>
  <c r="I31" i="19"/>
  <c r="J31" i="19"/>
  <c r="D31" i="19"/>
  <c r="A33" i="19"/>
  <c r="K30" i="19"/>
  <c r="A33" i="16"/>
  <c r="E32" i="19" l="1"/>
  <c r="F32" i="19"/>
  <c r="D32" i="19"/>
  <c r="J32" i="19"/>
  <c r="I32" i="19"/>
  <c r="G32" i="19"/>
  <c r="H32" i="19"/>
  <c r="K31" i="19"/>
  <c r="A34" i="19"/>
  <c r="A34" i="16"/>
  <c r="G33" i="19" l="1"/>
  <c r="H33" i="19"/>
  <c r="I33" i="19"/>
  <c r="J33" i="19"/>
  <c r="D33" i="19"/>
  <c r="E33" i="19"/>
  <c r="F33" i="19"/>
  <c r="A35" i="19"/>
  <c r="K32" i="19"/>
  <c r="A35" i="16"/>
  <c r="D34" i="19" l="1"/>
  <c r="E34" i="19"/>
  <c r="F34" i="19"/>
  <c r="G34" i="19"/>
  <c r="H34" i="19"/>
  <c r="I34" i="19"/>
  <c r="J34" i="19"/>
  <c r="K33" i="19"/>
  <c r="A36" i="19"/>
  <c r="A36" i="16"/>
  <c r="I35" i="19" l="1"/>
  <c r="J35" i="19"/>
  <c r="D35" i="19"/>
  <c r="E35" i="19"/>
  <c r="F35" i="19"/>
  <c r="G35" i="19"/>
  <c r="H35" i="19"/>
  <c r="A37" i="19"/>
  <c r="K34" i="19"/>
  <c r="A37" i="16"/>
  <c r="E36" i="19" l="1"/>
  <c r="D36" i="19"/>
  <c r="I36" i="19"/>
  <c r="F36" i="19"/>
  <c r="G36" i="19"/>
  <c r="H36" i="19"/>
  <c r="J36" i="19"/>
  <c r="A38" i="19"/>
  <c r="K35" i="19"/>
  <c r="A38" i="16"/>
  <c r="K36" i="19" l="1"/>
  <c r="G37" i="19"/>
  <c r="H37" i="19"/>
  <c r="I37" i="19"/>
  <c r="J37" i="19"/>
  <c r="D37" i="19"/>
  <c r="E37" i="19"/>
  <c r="F37" i="19"/>
  <c r="A39" i="19"/>
  <c r="A39" i="16"/>
  <c r="D39" i="19" l="1"/>
  <c r="E39" i="19"/>
  <c r="F39" i="19"/>
  <c r="G39" i="19"/>
  <c r="H39" i="19"/>
  <c r="I39" i="19"/>
  <c r="J39" i="19"/>
  <c r="D38" i="19"/>
  <c r="E38" i="19"/>
  <c r="F38" i="19"/>
  <c r="G38" i="19"/>
  <c r="H38" i="19"/>
  <c r="I38" i="19"/>
  <c r="J38" i="19"/>
  <c r="K39" i="19"/>
  <c r="K37" i="19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45" i="8"/>
  <c r="O358" i="8"/>
  <c r="O357" i="8"/>
  <c r="O356" i="8"/>
  <c r="O355" i="8"/>
  <c r="O354" i="8"/>
  <c r="O353" i="8"/>
  <c r="O352" i="8"/>
  <c r="O351" i="8"/>
  <c r="O350" i="8"/>
  <c r="O349" i="8"/>
  <c r="O348" i="8"/>
  <c r="O347" i="8"/>
  <c r="O346" i="8"/>
  <c r="O345" i="8"/>
  <c r="O344" i="8"/>
  <c r="O343" i="8"/>
  <c r="O342" i="8"/>
  <c r="O341" i="8"/>
  <c r="O340" i="8"/>
  <c r="O339" i="8"/>
  <c r="O338" i="8"/>
  <c r="O337" i="8"/>
  <c r="O336" i="8"/>
  <c r="O335" i="8"/>
  <c r="O334" i="8"/>
  <c r="O333" i="8"/>
  <c r="O332" i="8"/>
  <c r="O331" i="8"/>
  <c r="O330" i="8"/>
  <c r="O329" i="8"/>
  <c r="O328" i="8"/>
  <c r="O327" i="8"/>
  <c r="O326" i="8"/>
  <c r="O325" i="8"/>
  <c r="O324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285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06" i="8"/>
  <c r="O157" i="8"/>
  <c r="O156" i="8"/>
  <c r="O155" i="8"/>
  <c r="O154" i="8"/>
  <c r="O153" i="8"/>
  <c r="O152" i="8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K396" i="8"/>
  <c r="H396" i="8"/>
  <c r="G396" i="8"/>
  <c r="F396" i="8"/>
  <c r="E396" i="8"/>
  <c r="D396" i="8"/>
  <c r="C396" i="8"/>
  <c r="K395" i="8"/>
  <c r="H395" i="8"/>
  <c r="G395" i="8"/>
  <c r="F395" i="8"/>
  <c r="E395" i="8"/>
  <c r="D395" i="8"/>
  <c r="K394" i="8"/>
  <c r="I394" i="8"/>
  <c r="H394" i="8"/>
  <c r="G394" i="8"/>
  <c r="C394" i="8"/>
  <c r="K393" i="8"/>
  <c r="G393" i="8"/>
  <c r="C393" i="8"/>
  <c r="K392" i="8"/>
  <c r="G392" i="8"/>
  <c r="E392" i="8"/>
  <c r="K391" i="8"/>
  <c r="I391" i="8"/>
  <c r="H391" i="8"/>
  <c r="D391" i="8"/>
  <c r="C391" i="8"/>
  <c r="K390" i="8"/>
  <c r="I390" i="8"/>
  <c r="H390" i="8"/>
  <c r="G390" i="8"/>
  <c r="K389" i="8"/>
  <c r="G389" i="8"/>
  <c r="F389" i="8"/>
  <c r="D389" i="8"/>
  <c r="K388" i="8"/>
  <c r="H388" i="8"/>
  <c r="G388" i="8"/>
  <c r="F388" i="8"/>
  <c r="E388" i="8"/>
  <c r="D388" i="8"/>
  <c r="C388" i="8"/>
  <c r="K387" i="8"/>
  <c r="G387" i="8"/>
  <c r="F387" i="8"/>
  <c r="E387" i="8"/>
  <c r="K386" i="8"/>
  <c r="G386" i="8"/>
  <c r="K385" i="8"/>
  <c r="G385" i="8"/>
  <c r="K384" i="8"/>
  <c r="E384" i="8"/>
  <c r="K383" i="8"/>
  <c r="G383" i="8"/>
  <c r="F383" i="8"/>
  <c r="E383" i="8"/>
  <c r="C383" i="8"/>
  <c r="K382" i="8"/>
  <c r="H382" i="8"/>
  <c r="C382" i="8"/>
  <c r="K381" i="8"/>
  <c r="G381" i="8"/>
  <c r="D381" i="8"/>
  <c r="K380" i="8"/>
  <c r="H380" i="8"/>
  <c r="G380" i="8"/>
  <c r="K379" i="8"/>
  <c r="I379" i="8"/>
  <c r="H379" i="8"/>
  <c r="G379" i="8"/>
  <c r="F379" i="8"/>
  <c r="C379" i="8"/>
  <c r="K378" i="8"/>
  <c r="I378" i="8"/>
  <c r="H378" i="8"/>
  <c r="G378" i="8"/>
  <c r="C378" i="8"/>
  <c r="K377" i="8"/>
  <c r="G377" i="8"/>
  <c r="F377" i="8"/>
  <c r="D377" i="8"/>
  <c r="K376" i="8"/>
  <c r="H376" i="8"/>
  <c r="G376" i="8"/>
  <c r="F376" i="8"/>
  <c r="E376" i="8"/>
  <c r="D376" i="8"/>
  <c r="C376" i="8"/>
  <c r="K375" i="8"/>
  <c r="H375" i="8"/>
  <c r="G375" i="8"/>
  <c r="E375" i="8"/>
  <c r="C375" i="8"/>
  <c r="K374" i="8"/>
  <c r="I374" i="8"/>
  <c r="H374" i="8"/>
  <c r="G374" i="8"/>
  <c r="K373" i="8"/>
  <c r="G373" i="8"/>
  <c r="F373" i="8"/>
  <c r="E373" i="8"/>
  <c r="C373" i="8"/>
  <c r="K372" i="8"/>
  <c r="I372" i="8"/>
  <c r="H372" i="8"/>
  <c r="G372" i="8"/>
  <c r="E372" i="8"/>
  <c r="D372" i="8"/>
  <c r="C372" i="8"/>
  <c r="K371" i="8"/>
  <c r="E371" i="8"/>
  <c r="K370" i="8"/>
  <c r="H370" i="8"/>
  <c r="G370" i="8"/>
  <c r="C370" i="8"/>
  <c r="K369" i="8"/>
  <c r="G369" i="8"/>
  <c r="D369" i="8"/>
  <c r="C369" i="8"/>
  <c r="K368" i="8"/>
  <c r="G368" i="8"/>
  <c r="D368" i="8"/>
  <c r="C368" i="8"/>
  <c r="K367" i="8"/>
  <c r="I367" i="8"/>
  <c r="H367" i="8"/>
  <c r="G367" i="8"/>
  <c r="C367" i="8"/>
  <c r="K366" i="8"/>
  <c r="I366" i="8"/>
  <c r="H366" i="8"/>
  <c r="G366" i="8"/>
  <c r="K365" i="8"/>
  <c r="H365" i="8"/>
  <c r="F365" i="8"/>
  <c r="D365" i="8"/>
  <c r="K364" i="8"/>
  <c r="H364" i="8"/>
  <c r="G364" i="8"/>
  <c r="F364" i="8"/>
  <c r="D364" i="8"/>
  <c r="K363" i="8"/>
  <c r="I363" i="8"/>
  <c r="K362" i="8"/>
  <c r="I362" i="8"/>
  <c r="H362" i="8"/>
  <c r="G362" i="8"/>
  <c r="F362" i="8"/>
  <c r="E358" i="8"/>
  <c r="D358" i="8"/>
  <c r="I396" i="8" s="1"/>
  <c r="E357" i="8"/>
  <c r="D357" i="8"/>
  <c r="I395" i="8" s="1"/>
  <c r="E356" i="8"/>
  <c r="D356" i="8"/>
  <c r="E355" i="8"/>
  <c r="D355" i="8"/>
  <c r="I385" i="8" s="1"/>
  <c r="E354" i="8"/>
  <c r="D354" i="8"/>
  <c r="I393" i="8" s="1"/>
  <c r="E353" i="8"/>
  <c r="D353" i="8"/>
  <c r="E352" i="8"/>
  <c r="D352" i="8"/>
  <c r="E351" i="8"/>
  <c r="D351" i="8"/>
  <c r="E350" i="8"/>
  <c r="D350" i="8"/>
  <c r="I370" i="8" s="1"/>
  <c r="E349" i="8"/>
  <c r="D349" i="8"/>
  <c r="I392" i="8" s="1"/>
  <c r="E348" i="8"/>
  <c r="D348" i="8"/>
  <c r="I373" i="8" s="1"/>
  <c r="E347" i="8"/>
  <c r="D347" i="8"/>
  <c r="E346" i="8"/>
  <c r="D346" i="8"/>
  <c r="E345" i="8"/>
  <c r="D345" i="8"/>
  <c r="I376" i="8" s="1"/>
  <c r="E344" i="8"/>
  <c r="D344" i="8"/>
  <c r="E343" i="8"/>
  <c r="D343" i="8"/>
  <c r="I365" i="8" s="1"/>
  <c r="E342" i="8"/>
  <c r="D342" i="8"/>
  <c r="I383" i="8" s="1"/>
  <c r="E341" i="8"/>
  <c r="D341" i="8"/>
  <c r="I384" i="8" s="1"/>
  <c r="E340" i="8"/>
  <c r="D340" i="8"/>
  <c r="E339" i="8"/>
  <c r="D339" i="8"/>
  <c r="I382" i="8" s="1"/>
  <c r="E338" i="8"/>
  <c r="D338" i="8"/>
  <c r="E337" i="8"/>
  <c r="D337" i="8"/>
  <c r="I388" i="8" s="1"/>
  <c r="E336" i="8"/>
  <c r="D336" i="8"/>
  <c r="I387" i="8" s="1"/>
  <c r="E335" i="8"/>
  <c r="D335" i="8"/>
  <c r="I386" i="8" s="1"/>
  <c r="E334" i="8"/>
  <c r="D334" i="8"/>
  <c r="I380" i="8" s="1"/>
  <c r="E333" i="8"/>
  <c r="D333" i="8"/>
  <c r="I364" i="8" s="1"/>
  <c r="E332" i="8"/>
  <c r="D332" i="8"/>
  <c r="I381" i="8" s="1"/>
  <c r="E331" i="8"/>
  <c r="D331" i="8"/>
  <c r="E330" i="8"/>
  <c r="D330" i="8"/>
  <c r="I368" i="8" s="1"/>
  <c r="E329" i="8"/>
  <c r="D329" i="8"/>
  <c r="I389" i="8" s="1"/>
  <c r="E328" i="8"/>
  <c r="D328" i="8"/>
  <c r="I377" i="8" s="1"/>
  <c r="E327" i="8"/>
  <c r="D327" i="8"/>
  <c r="I371" i="8" s="1"/>
  <c r="E326" i="8"/>
  <c r="D326" i="8"/>
  <c r="I369" i="8" s="1"/>
  <c r="E325" i="8"/>
  <c r="D325" i="8"/>
  <c r="I375" i="8" s="1"/>
  <c r="E324" i="8"/>
  <c r="D324" i="8"/>
  <c r="D319" i="8"/>
  <c r="D318" i="8"/>
  <c r="D317" i="8"/>
  <c r="D316" i="8"/>
  <c r="H393" i="8" s="1"/>
  <c r="D315" i="8"/>
  <c r="H392" i="8" s="1"/>
  <c r="D314" i="8"/>
  <c r="D313" i="8"/>
  <c r="D312" i="8"/>
  <c r="H389" i="8" s="1"/>
  <c r="D311" i="8"/>
  <c r="D310" i="8"/>
  <c r="H387" i="8" s="1"/>
  <c r="D309" i="8"/>
  <c r="H386" i="8" s="1"/>
  <c r="D308" i="8"/>
  <c r="H385" i="8" s="1"/>
  <c r="D307" i="8"/>
  <c r="H384" i="8" s="1"/>
  <c r="D306" i="8"/>
  <c r="H383" i="8" s="1"/>
  <c r="D305" i="8"/>
  <c r="D304" i="8"/>
  <c r="D303" i="8"/>
  <c r="H381" i="8" s="1"/>
  <c r="D302" i="8"/>
  <c r="D301" i="8"/>
  <c r="D300" i="8"/>
  <c r="D299" i="8"/>
  <c r="H377" i="8" s="1"/>
  <c r="D298" i="8"/>
  <c r="D297" i="8"/>
  <c r="D296" i="8"/>
  <c r="D295" i="8"/>
  <c r="H373" i="8" s="1"/>
  <c r="D294" i="8"/>
  <c r="H371" i="8" s="1"/>
  <c r="D293" i="8"/>
  <c r="D292" i="8"/>
  <c r="H369" i="8" s="1"/>
  <c r="D291" i="8"/>
  <c r="H368" i="8" s="1"/>
  <c r="D290" i="8"/>
  <c r="D289" i="8"/>
  <c r="D288" i="8"/>
  <c r="D287" i="8"/>
  <c r="D286" i="8"/>
  <c r="H363" i="8" s="1"/>
  <c r="D285" i="8"/>
  <c r="E279" i="8"/>
  <c r="D279" i="8"/>
  <c r="E278" i="8"/>
  <c r="G391" i="8" s="1"/>
  <c r="D278" i="8"/>
  <c r="E277" i="8"/>
  <c r="D277" i="8"/>
  <c r="E276" i="8"/>
  <c r="D276" i="8"/>
  <c r="E275" i="8"/>
  <c r="D275" i="8"/>
  <c r="E274" i="8"/>
  <c r="G382" i="8" s="1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G371" i="8" s="1"/>
  <c r="D260" i="8"/>
  <c r="E259" i="8"/>
  <c r="D259" i="8"/>
  <c r="E258" i="8"/>
  <c r="G384" i="8" s="1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G365" i="8" s="1"/>
  <c r="D250" i="8"/>
  <c r="E249" i="8"/>
  <c r="D249" i="8"/>
  <c r="E248" i="8"/>
  <c r="G363" i="8" s="1"/>
  <c r="D248" i="8"/>
  <c r="E247" i="8"/>
  <c r="D247" i="8"/>
  <c r="E246" i="8"/>
  <c r="D246" i="8"/>
  <c r="E245" i="8"/>
  <c r="D245" i="8"/>
  <c r="D240" i="8"/>
  <c r="D239" i="8"/>
  <c r="F392" i="8" s="1"/>
  <c r="D238" i="8"/>
  <c r="D237" i="8"/>
  <c r="F390" i="8" s="1"/>
  <c r="D236" i="8"/>
  <c r="D235" i="8"/>
  <c r="F378" i="8" s="1"/>
  <c r="D234" i="8"/>
  <c r="D233" i="8"/>
  <c r="D232" i="8"/>
  <c r="F381" i="8" s="1"/>
  <c r="D231" i="8"/>
  <c r="F385" i="8" s="1"/>
  <c r="D230" i="8"/>
  <c r="F394" i="8" s="1"/>
  <c r="E229" i="8"/>
  <c r="D229" i="8"/>
  <c r="F391" i="8" s="1"/>
  <c r="D228" i="8"/>
  <c r="D227" i="8"/>
  <c r="F393" i="8" s="1"/>
  <c r="D226" i="8"/>
  <c r="F371" i="8" s="1"/>
  <c r="D225" i="8"/>
  <c r="F382" i="8" s="1"/>
  <c r="D224" i="8"/>
  <c r="F384" i="8" s="1"/>
  <c r="E223" i="8"/>
  <c r="D223" i="8"/>
  <c r="F380" i="8" s="1"/>
  <c r="E222" i="8"/>
  <c r="D222" i="8"/>
  <c r="F386" i="8" s="1"/>
  <c r="D221" i="8"/>
  <c r="D220" i="8"/>
  <c r="D219" i="8"/>
  <c r="D218" i="8"/>
  <c r="D217" i="8"/>
  <c r="F366" i="8" s="1"/>
  <c r="D216" i="8"/>
  <c r="F369" i="8" s="1"/>
  <c r="D215" i="8"/>
  <c r="F374" i="8" s="1"/>
  <c r="D214" i="8"/>
  <c r="F368" i="8" s="1"/>
  <c r="D213" i="8"/>
  <c r="F375" i="8" s="1"/>
  <c r="D212" i="8"/>
  <c r="D211" i="8"/>
  <c r="F367" i="8" s="1"/>
  <c r="D210" i="8"/>
  <c r="D209" i="8"/>
  <c r="F363" i="8" s="1"/>
  <c r="D208" i="8"/>
  <c r="D207" i="8"/>
  <c r="F372" i="8" s="1"/>
  <c r="D206" i="8"/>
  <c r="F370" i="8" s="1"/>
  <c r="D157" i="8"/>
  <c r="E370" i="8" s="1"/>
  <c r="D156" i="8"/>
  <c r="D155" i="8"/>
  <c r="E379" i="8" s="1"/>
  <c r="D154" i="8"/>
  <c r="E365" i="8" s="1"/>
  <c r="D153" i="8"/>
  <c r="E362" i="8" s="1"/>
  <c r="D152" i="8"/>
  <c r="E389" i="8" s="1"/>
  <c r="D151" i="8"/>
  <c r="E394" i="8" s="1"/>
  <c r="D150" i="8"/>
  <c r="E367" i="8" s="1"/>
  <c r="D149" i="8"/>
  <c r="D148" i="8"/>
  <c r="E393" i="8" s="1"/>
  <c r="D147" i="8"/>
  <c r="E380" i="8" s="1"/>
  <c r="D146" i="8"/>
  <c r="E386" i="8" s="1"/>
  <c r="D145" i="8"/>
  <c r="E390" i="8" s="1"/>
  <c r="D144" i="8"/>
  <c r="E378" i="8" s="1"/>
  <c r="D143" i="8"/>
  <c r="E368" i="8" s="1"/>
  <c r="D142" i="8"/>
  <c r="D141" i="8"/>
  <c r="E385" i="8" s="1"/>
  <c r="D140" i="8"/>
  <c r="D139" i="8"/>
  <c r="D138" i="8"/>
  <c r="E381" i="8" s="1"/>
  <c r="D137" i="8"/>
  <c r="E377" i="8" s="1"/>
  <c r="D136" i="8"/>
  <c r="E391" i="8" s="1"/>
  <c r="D135" i="8"/>
  <c r="D134" i="8"/>
  <c r="D133" i="8"/>
  <c r="D132" i="8"/>
  <c r="E369" i="8" s="1"/>
  <c r="D131" i="8"/>
  <c r="E363" i="8" s="1"/>
  <c r="D130" i="8"/>
  <c r="E364" i="8" s="1"/>
  <c r="D129" i="8"/>
  <c r="E374" i="8" s="1"/>
  <c r="D128" i="8"/>
  <c r="E366" i="8" s="1"/>
  <c r="D127" i="8"/>
  <c r="D126" i="8"/>
  <c r="E382" i="8" s="1"/>
  <c r="D125" i="8"/>
  <c r="D124" i="8"/>
  <c r="D123" i="8"/>
  <c r="E118" i="8"/>
  <c r="D370" i="8" s="1"/>
  <c r="D118" i="8"/>
  <c r="E117" i="8"/>
  <c r="D117" i="8"/>
  <c r="E116" i="8"/>
  <c r="D383" i="8" s="1"/>
  <c r="D116" i="8"/>
  <c r="E115" i="8"/>
  <c r="D367" i="8" s="1"/>
  <c r="D115" i="8"/>
  <c r="E114" i="8"/>
  <c r="D114" i="8"/>
  <c r="E113" i="8"/>
  <c r="D379" i="8" s="1"/>
  <c r="D113" i="8"/>
  <c r="E112" i="8"/>
  <c r="D112" i="8"/>
  <c r="E111" i="8"/>
  <c r="D111" i="8"/>
  <c r="E110" i="8"/>
  <c r="D394" i="8" s="1"/>
  <c r="D110" i="8"/>
  <c r="E109" i="8"/>
  <c r="D109" i="8"/>
  <c r="E108" i="8"/>
  <c r="D374" i="8" s="1"/>
  <c r="D108" i="8"/>
  <c r="E107" i="8"/>
  <c r="D393" i="8" s="1"/>
  <c r="D107" i="8"/>
  <c r="E106" i="8"/>
  <c r="D363" i="8" s="1"/>
  <c r="D106" i="8"/>
  <c r="E105" i="8"/>
  <c r="D387" i="8" s="1"/>
  <c r="D105" i="8"/>
  <c r="E104" i="8"/>
  <c r="D386" i="8" s="1"/>
  <c r="D104" i="8"/>
  <c r="E103" i="8"/>
  <c r="D390" i="8" s="1"/>
  <c r="D103" i="8"/>
  <c r="E102" i="8"/>
  <c r="D366" i="8" s="1"/>
  <c r="D102" i="8"/>
  <c r="E101" i="8"/>
  <c r="D373" i="8" s="1"/>
  <c r="D101" i="8"/>
  <c r="E100" i="8"/>
  <c r="D100" i="8"/>
  <c r="E99" i="8"/>
  <c r="D99" i="8"/>
  <c r="E98" i="8"/>
  <c r="D382" i="8" s="1"/>
  <c r="D98" i="8"/>
  <c r="E97" i="8"/>
  <c r="D380" i="8" s="1"/>
  <c r="D97" i="8"/>
  <c r="E96" i="8"/>
  <c r="D96" i="8"/>
  <c r="E95" i="8"/>
  <c r="D95" i="8"/>
  <c r="E94" i="8"/>
  <c r="D94" i="8"/>
  <c r="E93" i="8"/>
  <c r="D385" i="8" s="1"/>
  <c r="D93" i="8"/>
  <c r="E92" i="8"/>
  <c r="D92" i="8"/>
  <c r="E91" i="8"/>
  <c r="D378" i="8" s="1"/>
  <c r="D91" i="8"/>
  <c r="E90" i="8"/>
  <c r="D384" i="8" s="1"/>
  <c r="D90" i="8"/>
  <c r="E89" i="8"/>
  <c r="D362" i="8" s="1"/>
  <c r="D89" i="8"/>
  <c r="E88" i="8"/>
  <c r="D88" i="8"/>
  <c r="E87" i="8"/>
  <c r="D87" i="8"/>
  <c r="E86" i="8"/>
  <c r="D375" i="8" s="1"/>
  <c r="D86" i="8"/>
  <c r="E85" i="8"/>
  <c r="D371" i="8" s="1"/>
  <c r="D85" i="8"/>
  <c r="E84" i="8"/>
  <c r="D392" i="8" s="1"/>
  <c r="D84" i="8"/>
  <c r="E79" i="8"/>
  <c r="C392" i="8" s="1"/>
  <c r="E78" i="8"/>
  <c r="C377" i="8" s="1"/>
  <c r="E77" i="8"/>
  <c r="C395" i="8" s="1"/>
  <c r="E76" i="8"/>
  <c r="C390" i="8" s="1"/>
  <c r="E75" i="8"/>
  <c r="C381" i="8" s="1"/>
  <c r="E74" i="8"/>
  <c r="E73" i="8"/>
  <c r="E72" i="8"/>
  <c r="E71" i="8"/>
  <c r="E70" i="8"/>
  <c r="E69" i="8"/>
  <c r="E68" i="8"/>
  <c r="E67" i="8"/>
  <c r="C365" i="8" s="1"/>
  <c r="E66" i="8"/>
  <c r="E65" i="8"/>
  <c r="E64" i="8"/>
  <c r="C371" i="8" s="1"/>
  <c r="E63" i="8"/>
  <c r="C387" i="8" s="1"/>
  <c r="E62" i="8"/>
  <c r="E61" i="8"/>
  <c r="E60" i="8"/>
  <c r="C385" i="8" s="1"/>
  <c r="E59" i="8"/>
  <c r="C366" i="8" s="1"/>
  <c r="E58" i="8"/>
  <c r="C386" i="8" s="1"/>
  <c r="E57" i="8"/>
  <c r="E56" i="8"/>
  <c r="E55" i="8"/>
  <c r="E54" i="8"/>
  <c r="C363" i="8" s="1"/>
  <c r="J363" i="8" s="1"/>
  <c r="E53" i="8"/>
  <c r="C364" i="8" s="1"/>
  <c r="E52" i="8"/>
  <c r="C362" i="8" s="1"/>
  <c r="J362" i="8" s="1"/>
  <c r="E51" i="8"/>
  <c r="C380" i="8" s="1"/>
  <c r="E50" i="8"/>
  <c r="E49" i="8"/>
  <c r="E48" i="8"/>
  <c r="C374" i="8" s="1"/>
  <c r="E47" i="8"/>
  <c r="C389" i="8" s="1"/>
  <c r="E46" i="8"/>
  <c r="E45" i="8"/>
  <c r="C384" i="8" s="1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8" i="8"/>
  <c r="A7" i="8"/>
  <c r="H5" i="8"/>
  <c r="G2" i="8"/>
  <c r="Q359" i="7"/>
  <c r="R359" i="7" s="1"/>
  <c r="S359" i="7" s="1"/>
  <c r="T359" i="7" s="1"/>
  <c r="U359" i="7" s="1"/>
  <c r="V359" i="7" s="1"/>
  <c r="P359" i="7"/>
  <c r="V360" i="7"/>
  <c r="C363" i="7"/>
  <c r="D363" i="7"/>
  <c r="E363" i="7"/>
  <c r="F363" i="7"/>
  <c r="G363" i="7"/>
  <c r="H363" i="7"/>
  <c r="I363" i="7"/>
  <c r="C364" i="7"/>
  <c r="D364" i="7"/>
  <c r="E364" i="7"/>
  <c r="F364" i="7"/>
  <c r="G364" i="7"/>
  <c r="H364" i="7"/>
  <c r="I364" i="7"/>
  <c r="C365" i="7"/>
  <c r="D365" i="7"/>
  <c r="E365" i="7"/>
  <c r="F365" i="7"/>
  <c r="G365" i="7"/>
  <c r="H365" i="7"/>
  <c r="I365" i="7"/>
  <c r="C366" i="7"/>
  <c r="D366" i="7"/>
  <c r="E366" i="7"/>
  <c r="F366" i="7"/>
  <c r="G366" i="7"/>
  <c r="H366" i="7"/>
  <c r="I366" i="7"/>
  <c r="C367" i="7"/>
  <c r="D367" i="7"/>
  <c r="E367" i="7"/>
  <c r="F367" i="7"/>
  <c r="G367" i="7"/>
  <c r="H367" i="7"/>
  <c r="I367" i="7"/>
  <c r="C368" i="7"/>
  <c r="D368" i="7"/>
  <c r="E368" i="7"/>
  <c r="F368" i="7"/>
  <c r="G368" i="7"/>
  <c r="H368" i="7"/>
  <c r="I368" i="7"/>
  <c r="C369" i="7"/>
  <c r="D369" i="7"/>
  <c r="E369" i="7"/>
  <c r="F369" i="7"/>
  <c r="G369" i="7"/>
  <c r="H369" i="7"/>
  <c r="I369" i="7"/>
  <c r="C370" i="7"/>
  <c r="D370" i="7"/>
  <c r="E370" i="7"/>
  <c r="F370" i="7"/>
  <c r="G370" i="7"/>
  <c r="H370" i="7"/>
  <c r="I370" i="7"/>
  <c r="C371" i="7"/>
  <c r="D371" i="7"/>
  <c r="E371" i="7"/>
  <c r="F371" i="7"/>
  <c r="G371" i="7"/>
  <c r="H371" i="7"/>
  <c r="I371" i="7"/>
  <c r="C372" i="7"/>
  <c r="D372" i="7"/>
  <c r="E372" i="7"/>
  <c r="F372" i="7"/>
  <c r="G372" i="7"/>
  <c r="H372" i="7"/>
  <c r="I372" i="7"/>
  <c r="C373" i="7"/>
  <c r="D373" i="7"/>
  <c r="E373" i="7"/>
  <c r="F373" i="7"/>
  <c r="G373" i="7"/>
  <c r="H373" i="7"/>
  <c r="I373" i="7"/>
  <c r="C374" i="7"/>
  <c r="D374" i="7"/>
  <c r="E374" i="7"/>
  <c r="F374" i="7"/>
  <c r="G374" i="7"/>
  <c r="H374" i="7"/>
  <c r="I374" i="7"/>
  <c r="C375" i="7"/>
  <c r="D375" i="7"/>
  <c r="E375" i="7"/>
  <c r="F375" i="7"/>
  <c r="G375" i="7"/>
  <c r="H375" i="7"/>
  <c r="I375" i="7"/>
  <c r="C376" i="7"/>
  <c r="D376" i="7"/>
  <c r="E376" i="7"/>
  <c r="F376" i="7"/>
  <c r="G376" i="7"/>
  <c r="H376" i="7"/>
  <c r="I376" i="7"/>
  <c r="C377" i="7"/>
  <c r="D377" i="7"/>
  <c r="E377" i="7"/>
  <c r="F377" i="7"/>
  <c r="G377" i="7"/>
  <c r="H377" i="7"/>
  <c r="I377" i="7"/>
  <c r="C378" i="7"/>
  <c r="D378" i="7"/>
  <c r="E378" i="7"/>
  <c r="F378" i="7"/>
  <c r="G378" i="7"/>
  <c r="H378" i="7"/>
  <c r="I378" i="7"/>
  <c r="C379" i="7"/>
  <c r="D379" i="7"/>
  <c r="E379" i="7"/>
  <c r="F379" i="7"/>
  <c r="G379" i="7"/>
  <c r="H379" i="7"/>
  <c r="I379" i="7"/>
  <c r="C380" i="7"/>
  <c r="D380" i="7"/>
  <c r="E380" i="7"/>
  <c r="F380" i="7"/>
  <c r="G380" i="7"/>
  <c r="H380" i="7"/>
  <c r="I380" i="7"/>
  <c r="C381" i="7"/>
  <c r="D381" i="7"/>
  <c r="E381" i="7"/>
  <c r="F381" i="7"/>
  <c r="G381" i="7"/>
  <c r="H381" i="7"/>
  <c r="I381" i="7"/>
  <c r="C382" i="7"/>
  <c r="D382" i="7"/>
  <c r="E382" i="7"/>
  <c r="F382" i="7"/>
  <c r="G382" i="7"/>
  <c r="H382" i="7"/>
  <c r="I382" i="7"/>
  <c r="C383" i="7"/>
  <c r="D383" i="7"/>
  <c r="E383" i="7"/>
  <c r="F383" i="7"/>
  <c r="G383" i="7"/>
  <c r="H383" i="7"/>
  <c r="I383" i="7"/>
  <c r="C384" i="7"/>
  <c r="D384" i="7"/>
  <c r="E384" i="7"/>
  <c r="F384" i="7"/>
  <c r="G384" i="7"/>
  <c r="H384" i="7"/>
  <c r="I384" i="7"/>
  <c r="C385" i="7"/>
  <c r="D385" i="7"/>
  <c r="E385" i="7"/>
  <c r="F385" i="7"/>
  <c r="G385" i="7"/>
  <c r="H385" i="7"/>
  <c r="I385" i="7"/>
  <c r="C386" i="7"/>
  <c r="D386" i="7"/>
  <c r="E386" i="7"/>
  <c r="F386" i="7"/>
  <c r="G386" i="7"/>
  <c r="H386" i="7"/>
  <c r="I386" i="7"/>
  <c r="C387" i="7"/>
  <c r="D387" i="7"/>
  <c r="E387" i="7"/>
  <c r="F387" i="7"/>
  <c r="G387" i="7"/>
  <c r="H387" i="7"/>
  <c r="I387" i="7"/>
  <c r="C388" i="7"/>
  <c r="D388" i="7"/>
  <c r="E388" i="7"/>
  <c r="F388" i="7"/>
  <c r="G388" i="7"/>
  <c r="H388" i="7"/>
  <c r="I388" i="7"/>
  <c r="C389" i="7"/>
  <c r="D389" i="7"/>
  <c r="E389" i="7"/>
  <c r="F389" i="7"/>
  <c r="G389" i="7"/>
  <c r="H389" i="7"/>
  <c r="I389" i="7"/>
  <c r="C390" i="7"/>
  <c r="D390" i="7"/>
  <c r="E390" i="7"/>
  <c r="F390" i="7"/>
  <c r="G390" i="7"/>
  <c r="H390" i="7"/>
  <c r="I390" i="7"/>
  <c r="C391" i="7"/>
  <c r="D391" i="7"/>
  <c r="E391" i="7"/>
  <c r="F391" i="7"/>
  <c r="G391" i="7"/>
  <c r="H391" i="7"/>
  <c r="I391" i="7"/>
  <c r="C392" i="7"/>
  <c r="D392" i="7"/>
  <c r="E392" i="7"/>
  <c r="F392" i="7"/>
  <c r="G392" i="7"/>
  <c r="H392" i="7"/>
  <c r="I392" i="7"/>
  <c r="C393" i="7"/>
  <c r="D393" i="7"/>
  <c r="E393" i="7"/>
  <c r="F393" i="7"/>
  <c r="G393" i="7"/>
  <c r="H393" i="7"/>
  <c r="I393" i="7"/>
  <c r="C394" i="7"/>
  <c r="D394" i="7"/>
  <c r="E394" i="7"/>
  <c r="F394" i="7"/>
  <c r="G394" i="7"/>
  <c r="H394" i="7"/>
  <c r="I394" i="7"/>
  <c r="C395" i="7"/>
  <c r="D395" i="7"/>
  <c r="E395" i="7"/>
  <c r="F395" i="7"/>
  <c r="G395" i="7"/>
  <c r="H395" i="7"/>
  <c r="I395" i="7"/>
  <c r="C396" i="7"/>
  <c r="D396" i="7"/>
  <c r="E396" i="7"/>
  <c r="F396" i="7"/>
  <c r="G396" i="7"/>
  <c r="H396" i="7"/>
  <c r="I396" i="7"/>
  <c r="I362" i="7"/>
  <c r="H362" i="7"/>
  <c r="G362" i="7"/>
  <c r="F362" i="7"/>
  <c r="E362" i="7"/>
  <c r="D362" i="7"/>
  <c r="C362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24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28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45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06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23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84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45" i="7"/>
  <c r="J360" i="7"/>
  <c r="E222" i="7"/>
  <c r="E223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62" i="7"/>
  <c r="L363" i="7"/>
  <c r="L364" i="7" s="1"/>
  <c r="L365" i="7" s="1"/>
  <c r="L366" i="7" s="1"/>
  <c r="L367" i="7" s="1"/>
  <c r="L368" i="7" s="1"/>
  <c r="L369" i="7" s="1"/>
  <c r="L370" i="7" s="1"/>
  <c r="L371" i="7" s="1"/>
  <c r="L372" i="7" s="1"/>
  <c r="L373" i="7" s="1"/>
  <c r="L374" i="7" s="1"/>
  <c r="L375" i="7" s="1"/>
  <c r="L376" i="7" s="1"/>
  <c r="L377" i="7" s="1"/>
  <c r="L378" i="7" s="1"/>
  <c r="L379" i="7" s="1"/>
  <c r="L380" i="7" s="1"/>
  <c r="D252" i="7"/>
  <c r="D246" i="7"/>
  <c r="D247" i="7"/>
  <c r="D248" i="7"/>
  <c r="D249" i="7"/>
  <c r="D250" i="7"/>
  <c r="D251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45" i="7"/>
  <c r="E229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84" i="7"/>
  <c r="R135" i="1"/>
  <c r="R101" i="1"/>
  <c r="R67" i="1"/>
  <c r="R169" i="1"/>
  <c r="R33" i="1"/>
  <c r="R203" i="1"/>
  <c r="R237" i="1"/>
  <c r="R271" i="1"/>
  <c r="R305" i="1"/>
  <c r="R339" i="1"/>
  <c r="R373" i="1"/>
  <c r="R407" i="1"/>
  <c r="R441" i="1"/>
  <c r="R475" i="1"/>
  <c r="R509" i="1"/>
  <c r="R543" i="1"/>
  <c r="R577" i="1"/>
  <c r="R611" i="1"/>
  <c r="R645" i="1"/>
  <c r="R679" i="1"/>
  <c r="R713" i="1"/>
  <c r="R747" i="1"/>
  <c r="R781" i="1"/>
  <c r="R815" i="1"/>
  <c r="R849" i="1"/>
  <c r="R882" i="1"/>
  <c r="R917" i="1"/>
  <c r="R951" i="1"/>
  <c r="R985" i="1"/>
  <c r="R1019" i="1"/>
  <c r="R1087" i="1"/>
  <c r="R1121" i="1"/>
  <c r="R1155" i="1"/>
  <c r="R1189" i="1"/>
  <c r="R1053" i="1"/>
  <c r="R13" i="2"/>
  <c r="R29" i="2"/>
  <c r="R14" i="2"/>
  <c r="R30" i="2"/>
  <c r="R4" i="2"/>
  <c r="R20" i="2"/>
  <c r="R36" i="2"/>
  <c r="R9" i="2"/>
  <c r="R25" i="2"/>
  <c r="R10" i="2"/>
  <c r="R26" i="2"/>
  <c r="R11" i="2"/>
  <c r="R19" i="2"/>
  <c r="R35" i="2"/>
  <c r="R5" i="2"/>
  <c r="R16" i="2"/>
  <c r="R3" i="2"/>
  <c r="R18" i="2"/>
  <c r="R27" i="2"/>
  <c r="R12" i="2"/>
  <c r="R28" i="2"/>
  <c r="R21" i="2"/>
  <c r="R37" i="2"/>
  <c r="R6" i="2"/>
  <c r="R22" i="2"/>
  <c r="R7" i="2"/>
  <c r="R15" i="2"/>
  <c r="R23" i="2"/>
  <c r="R31" i="2"/>
  <c r="R8" i="2"/>
  <c r="R24" i="2"/>
  <c r="R32" i="2"/>
  <c r="R17" i="2"/>
  <c r="R33" i="2"/>
  <c r="R34" i="2"/>
  <c r="K38" i="19" l="1"/>
  <c r="J364" i="8"/>
  <c r="K5" i="8"/>
  <c r="J374" i="7"/>
  <c r="J367" i="7"/>
  <c r="J376" i="7"/>
  <c r="J368" i="7"/>
  <c r="J372" i="7"/>
  <c r="J370" i="7"/>
  <c r="J379" i="7"/>
  <c r="J369" i="7"/>
  <c r="J365" i="7"/>
  <c r="J377" i="7"/>
  <c r="J375" i="7"/>
  <c r="J378" i="7"/>
  <c r="J366" i="7"/>
  <c r="J371" i="7"/>
  <c r="J380" i="7"/>
  <c r="J364" i="7"/>
  <c r="J373" i="7"/>
  <c r="J362" i="7"/>
  <c r="J363" i="7"/>
  <c r="L381" i="7"/>
  <c r="J381" i="7" s="1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0" i="5"/>
  <c r="M1059" i="5"/>
  <c r="M1058" i="5"/>
  <c r="M1057" i="5"/>
  <c r="M1052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18" i="5"/>
  <c r="M1017" i="5"/>
  <c r="M1016" i="5"/>
  <c r="M1015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1" i="5"/>
  <c r="M990" i="5"/>
  <c r="M989" i="5"/>
  <c r="M984" i="5"/>
  <c r="M982" i="5"/>
  <c r="M981" i="5"/>
  <c r="M980" i="5"/>
  <c r="M979" i="5"/>
  <c r="M978" i="5"/>
  <c r="M976" i="5"/>
  <c r="M974" i="5"/>
  <c r="M973" i="5"/>
  <c r="M972" i="5"/>
  <c r="M971" i="5"/>
  <c r="M970" i="5"/>
  <c r="M969" i="5"/>
  <c r="M968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0" i="5"/>
  <c r="M949" i="5"/>
  <c r="M948" i="5"/>
  <c r="M947" i="5"/>
  <c r="M946" i="5"/>
  <c r="M945" i="5"/>
  <c r="M944" i="5"/>
  <c r="M943" i="5"/>
  <c r="M942" i="5"/>
  <c r="M941" i="5"/>
  <c r="M940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16" i="5"/>
  <c r="M914" i="5"/>
  <c r="M912" i="5"/>
  <c r="M911" i="5"/>
  <c r="M910" i="5"/>
  <c r="M909" i="5"/>
  <c r="M908" i="5"/>
  <c r="M907" i="5"/>
  <c r="M906" i="5"/>
  <c r="M905" i="5"/>
  <c r="M903" i="5"/>
  <c r="M902" i="5"/>
  <c r="M901" i="5"/>
  <c r="M900" i="5"/>
  <c r="M899" i="5"/>
  <c r="M898" i="5"/>
  <c r="M897" i="5"/>
  <c r="M896" i="5"/>
  <c r="M895" i="5"/>
  <c r="M894" i="5"/>
  <c r="M893" i="5"/>
  <c r="M891" i="5"/>
  <c r="M890" i="5"/>
  <c r="M889" i="5"/>
  <c r="M888" i="5"/>
  <c r="M887" i="5"/>
  <c r="M882" i="5"/>
  <c r="M881" i="5"/>
  <c r="M880" i="5"/>
  <c r="M879" i="5"/>
  <c r="M878" i="5"/>
  <c r="M877" i="5"/>
  <c r="M876" i="5"/>
  <c r="M875" i="5"/>
  <c r="M874" i="5"/>
  <c r="M873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48" i="5"/>
  <c r="M846" i="5"/>
  <c r="M845" i="5"/>
  <c r="M844" i="5"/>
  <c r="M843" i="5"/>
  <c r="M842" i="5"/>
  <c r="M841" i="5"/>
  <c r="M840" i="5"/>
  <c r="M839" i="5"/>
  <c r="M838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3" i="5"/>
  <c r="M812" i="5"/>
  <c r="M811" i="5"/>
  <c r="M810" i="5"/>
  <c r="M809" i="5"/>
  <c r="M808" i="5"/>
  <c r="M807" i="5"/>
  <c r="M805" i="5"/>
  <c r="M803" i="5"/>
  <c r="M802" i="5"/>
  <c r="M801" i="5"/>
  <c r="M800" i="5"/>
  <c r="M799" i="5"/>
  <c r="M797" i="5"/>
  <c r="M796" i="5"/>
  <c r="M795" i="5"/>
  <c r="M793" i="5"/>
  <c r="M792" i="5"/>
  <c r="M790" i="5"/>
  <c r="M789" i="5"/>
  <c r="M788" i="5"/>
  <c r="M787" i="5"/>
  <c r="M786" i="5"/>
  <c r="M785" i="5"/>
  <c r="M780" i="5"/>
  <c r="M779" i="5"/>
  <c r="M778" i="5"/>
  <c r="M777" i="5"/>
  <c r="M776" i="5"/>
  <c r="M775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46" i="5"/>
  <c r="M745" i="5"/>
  <c r="M743" i="5"/>
  <c r="M741" i="5"/>
  <c r="M740" i="5"/>
  <c r="M739" i="5"/>
  <c r="M738" i="5"/>
  <c r="M737" i="5"/>
  <c r="M735" i="5"/>
  <c r="M733" i="5"/>
  <c r="M732" i="5"/>
  <c r="M731" i="5"/>
  <c r="M729" i="5"/>
  <c r="M728" i="5"/>
  <c r="M726" i="5"/>
  <c r="M725" i="5"/>
  <c r="M724" i="5"/>
  <c r="M723" i="5"/>
  <c r="M722" i="5"/>
  <c r="M721" i="5"/>
  <c r="M719" i="5"/>
  <c r="M718" i="5"/>
  <c r="M717" i="5"/>
  <c r="M712" i="5"/>
  <c r="M711" i="5"/>
  <c r="M710" i="5"/>
  <c r="M709" i="5"/>
  <c r="M708" i="5"/>
  <c r="M707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78" i="5"/>
  <c r="M677" i="5"/>
  <c r="M676" i="5"/>
  <c r="M675" i="5"/>
  <c r="M674" i="5"/>
  <c r="M673" i="5"/>
  <c r="M672" i="5"/>
  <c r="M671" i="5"/>
  <c r="M670" i="5"/>
  <c r="M669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2" i="5"/>
  <c r="M651" i="5"/>
  <c r="M650" i="5"/>
  <c r="M649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0" i="5"/>
  <c r="M609" i="5"/>
  <c r="M608" i="5"/>
  <c r="M607" i="5"/>
  <c r="M606" i="5"/>
  <c r="M603" i="5"/>
  <c r="M602" i="5"/>
  <c r="M601" i="5"/>
  <c r="M599" i="5"/>
  <c r="M598" i="5"/>
  <c r="M597" i="5"/>
  <c r="M596" i="5"/>
  <c r="M595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76" i="5"/>
  <c r="M575" i="5"/>
  <c r="M568" i="5"/>
  <c r="M567" i="5"/>
  <c r="M566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2" i="5"/>
  <c r="M541" i="5"/>
  <c r="M539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3" i="5"/>
  <c r="M522" i="5"/>
  <c r="M521" i="5"/>
  <c r="M520" i="5"/>
  <c r="M519" i="5"/>
  <c r="M518" i="5"/>
  <c r="M517" i="5"/>
  <c r="M516" i="5"/>
  <c r="M515" i="5"/>
  <c r="M514" i="5"/>
  <c r="M513" i="5"/>
  <c r="M508" i="5"/>
  <c r="M507" i="5"/>
  <c r="M506" i="5"/>
  <c r="M505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89" i="5"/>
  <c r="M488" i="5"/>
  <c r="M487" i="5"/>
  <c r="M486" i="5"/>
  <c r="M485" i="5"/>
  <c r="M484" i="5"/>
  <c r="M483" i="5"/>
  <c r="M482" i="5"/>
  <c r="M481" i="5"/>
  <c r="M480" i="5"/>
  <c r="M479" i="5"/>
  <c r="M474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5" i="5"/>
  <c r="M454" i="5"/>
  <c r="M453" i="5"/>
  <c r="M452" i="5"/>
  <c r="M451" i="5"/>
  <c r="M450" i="5"/>
  <c r="M449" i="5"/>
  <c r="M448" i="5"/>
  <c r="M447" i="5"/>
  <c r="M446" i="5"/>
  <c r="M445" i="5"/>
  <c r="M440" i="5"/>
  <c r="M439" i="5"/>
  <c r="M438" i="5"/>
  <c r="M437" i="5"/>
  <c r="M436" i="5"/>
  <c r="M435" i="5"/>
  <c r="M433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06" i="5"/>
  <c r="M404" i="5"/>
  <c r="M403" i="5"/>
  <c r="M402" i="5"/>
  <c r="M401" i="5"/>
  <c r="M398" i="5"/>
  <c r="M396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67" i="5"/>
  <c r="M365" i="5"/>
  <c r="M363" i="5"/>
  <c r="M361" i="5"/>
  <c r="M359" i="5"/>
  <c r="M358" i="5"/>
  <c r="M357" i="5"/>
  <c r="M355" i="5"/>
  <c r="M353" i="5"/>
  <c r="M352" i="5"/>
  <c r="M351" i="5"/>
  <c r="M349" i="5"/>
  <c r="M348" i="5"/>
  <c r="M347" i="5"/>
  <c r="M346" i="5"/>
  <c r="M345" i="5"/>
  <c r="M344" i="5"/>
  <c r="M343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2" i="5"/>
  <c r="M321" i="5"/>
  <c r="M320" i="5"/>
  <c r="M319" i="5"/>
  <c r="M318" i="5"/>
  <c r="M317" i="5"/>
  <c r="M316" i="5"/>
  <c r="M314" i="5"/>
  <c r="M313" i="5"/>
  <c r="M312" i="5"/>
  <c r="M311" i="5"/>
  <c r="M310" i="5"/>
  <c r="M309" i="5"/>
  <c r="M304" i="5"/>
  <c r="M303" i="5"/>
  <c r="M302" i="5"/>
  <c r="M301" i="5"/>
  <c r="M300" i="5"/>
  <c r="M299" i="5"/>
  <c r="M298" i="5"/>
  <c r="M297" i="5"/>
  <c r="M296" i="5"/>
  <c r="M295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7" i="5"/>
  <c r="M276" i="5"/>
  <c r="M275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4" i="5"/>
  <c r="M5" i="5"/>
  <c r="M6" i="5"/>
  <c r="M7" i="5"/>
  <c r="M8" i="5"/>
  <c r="M10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" i="5"/>
  <c r="E1" i="5"/>
  <c r="F1" i="5"/>
  <c r="G1" i="5"/>
  <c r="H1" i="5"/>
  <c r="D1" i="5"/>
  <c r="I1" i="5"/>
  <c r="J1" i="5"/>
  <c r="K1" i="5"/>
  <c r="H5" i="7"/>
  <c r="K5" i="7" s="1"/>
  <c r="L5" i="7" s="1"/>
  <c r="E5" i="7" s="1"/>
  <c r="F5" i="7" s="1"/>
  <c r="C5" i="7" s="1"/>
  <c r="D5" i="7" s="1"/>
  <c r="I5" i="7" s="1"/>
  <c r="J5" i="7" s="1"/>
  <c r="M5" i="7" s="1"/>
  <c r="N5" i="7" s="1"/>
  <c r="O5" i="7" s="1"/>
  <c r="A7" i="7"/>
  <c r="G2" i="7"/>
  <c r="A5" i="6"/>
  <c r="A4" i="6"/>
  <c r="N1" i="6"/>
  <c r="L1191" i="5"/>
  <c r="O1190" i="5"/>
  <c r="L1190" i="5"/>
  <c r="O1189" i="5"/>
  <c r="L1189" i="5"/>
  <c r="Q1188" i="5"/>
  <c r="P1188" i="5"/>
  <c r="N1188" i="5"/>
  <c r="Q1187" i="5"/>
  <c r="P1187" i="5"/>
  <c r="N1187" i="5"/>
  <c r="Q1186" i="5"/>
  <c r="P1186" i="5"/>
  <c r="N1186" i="5"/>
  <c r="Q1185" i="5"/>
  <c r="P1185" i="5"/>
  <c r="N1185" i="5"/>
  <c r="Q1184" i="5"/>
  <c r="P1184" i="5"/>
  <c r="N1184" i="5"/>
  <c r="Q1183" i="5"/>
  <c r="P1183" i="5"/>
  <c r="N1183" i="5"/>
  <c r="Q1182" i="5"/>
  <c r="P1182" i="5"/>
  <c r="N1182" i="5"/>
  <c r="Q1181" i="5"/>
  <c r="P1181" i="5"/>
  <c r="N1181" i="5"/>
  <c r="Q1180" i="5"/>
  <c r="P1180" i="5"/>
  <c r="N1180" i="5"/>
  <c r="Q1179" i="5"/>
  <c r="P1179" i="5"/>
  <c r="N1179" i="5"/>
  <c r="Q1178" i="5"/>
  <c r="P1178" i="5"/>
  <c r="N1178" i="5"/>
  <c r="Q1177" i="5"/>
  <c r="P1177" i="5"/>
  <c r="N1177" i="5"/>
  <c r="Q1176" i="5"/>
  <c r="P1176" i="5"/>
  <c r="N1176" i="5"/>
  <c r="Q1175" i="5"/>
  <c r="P1175" i="5"/>
  <c r="N1175" i="5"/>
  <c r="Q1174" i="5"/>
  <c r="P1174" i="5"/>
  <c r="N1174" i="5"/>
  <c r="Q1173" i="5"/>
  <c r="P1173" i="5"/>
  <c r="N1173" i="5"/>
  <c r="Q1172" i="5"/>
  <c r="P1172" i="5"/>
  <c r="N1172" i="5"/>
  <c r="Q1171" i="5"/>
  <c r="P1171" i="5"/>
  <c r="N1171" i="5"/>
  <c r="Q1170" i="5"/>
  <c r="P1170" i="5"/>
  <c r="N1170" i="5"/>
  <c r="Q1169" i="5"/>
  <c r="P1169" i="5"/>
  <c r="N1169" i="5"/>
  <c r="Q1168" i="5"/>
  <c r="P1168" i="5"/>
  <c r="N1168" i="5"/>
  <c r="Q1167" i="5"/>
  <c r="P1167" i="5"/>
  <c r="N1167" i="5"/>
  <c r="Q1166" i="5"/>
  <c r="P1166" i="5"/>
  <c r="N1166" i="5"/>
  <c r="Q1165" i="5"/>
  <c r="P1165" i="5"/>
  <c r="N1165" i="5"/>
  <c r="Q1164" i="5"/>
  <c r="P1164" i="5"/>
  <c r="N1164" i="5"/>
  <c r="Q1163" i="5"/>
  <c r="P1163" i="5"/>
  <c r="N1163" i="5"/>
  <c r="Q1162" i="5"/>
  <c r="P1162" i="5"/>
  <c r="N1162" i="5"/>
  <c r="P1161" i="5"/>
  <c r="N1161" i="5"/>
  <c r="Q1160" i="5"/>
  <c r="P1160" i="5"/>
  <c r="N1160" i="5"/>
  <c r="A1160" i="5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P1159" i="5"/>
  <c r="N1159" i="5"/>
  <c r="L1157" i="5"/>
  <c r="O1156" i="5"/>
  <c r="L1156" i="5"/>
  <c r="O1155" i="5"/>
  <c r="L1155" i="5"/>
  <c r="Q1154" i="5"/>
  <c r="P1154" i="5"/>
  <c r="N1154" i="5"/>
  <c r="Q1153" i="5"/>
  <c r="P1153" i="5"/>
  <c r="N1153" i="5"/>
  <c r="P1152" i="5"/>
  <c r="N1152" i="5"/>
  <c r="Q1151" i="5"/>
  <c r="P1151" i="5"/>
  <c r="N1151" i="5"/>
  <c r="Q1150" i="5"/>
  <c r="P1150" i="5"/>
  <c r="N1150" i="5"/>
  <c r="Q1149" i="5"/>
  <c r="P1149" i="5"/>
  <c r="N1149" i="5"/>
  <c r="P1148" i="5"/>
  <c r="N1148" i="5"/>
  <c r="Q1147" i="5"/>
  <c r="P1147" i="5"/>
  <c r="N1147" i="5"/>
  <c r="P1146" i="5"/>
  <c r="N1146" i="5"/>
  <c r="Q1145" i="5"/>
  <c r="P1145" i="5"/>
  <c r="N1145" i="5"/>
  <c r="P1144" i="5"/>
  <c r="N1144" i="5"/>
  <c r="Q1143" i="5"/>
  <c r="P1143" i="5"/>
  <c r="N1143" i="5"/>
  <c r="Q1142" i="5"/>
  <c r="P1142" i="5"/>
  <c r="N1142" i="5"/>
  <c r="Q1141" i="5"/>
  <c r="P1141" i="5"/>
  <c r="N1141" i="5"/>
  <c r="Q1140" i="5"/>
  <c r="P1140" i="5"/>
  <c r="N1140" i="5"/>
  <c r="Q1139" i="5"/>
  <c r="P1139" i="5"/>
  <c r="N1139" i="5"/>
  <c r="Q1138" i="5"/>
  <c r="P1138" i="5"/>
  <c r="N1138" i="5"/>
  <c r="Q1137" i="5"/>
  <c r="P1137" i="5"/>
  <c r="N1137" i="5"/>
  <c r="Q1136" i="5"/>
  <c r="P1136" i="5"/>
  <c r="N1136" i="5"/>
  <c r="Q1135" i="5"/>
  <c r="P1135" i="5"/>
  <c r="N1135" i="5"/>
  <c r="P1134" i="5"/>
  <c r="N1134" i="5"/>
  <c r="Q1133" i="5"/>
  <c r="P1133" i="5"/>
  <c r="N1133" i="5"/>
  <c r="Q1132" i="5"/>
  <c r="P1132" i="5"/>
  <c r="N1132" i="5"/>
  <c r="Q1131" i="5"/>
  <c r="P1131" i="5"/>
  <c r="N1131" i="5"/>
  <c r="P1130" i="5"/>
  <c r="N1130" i="5"/>
  <c r="Q1129" i="5"/>
  <c r="P1129" i="5"/>
  <c r="N1129" i="5"/>
  <c r="Q1128" i="5"/>
  <c r="P1128" i="5"/>
  <c r="N1128" i="5"/>
  <c r="Q1127" i="5"/>
  <c r="P1127" i="5"/>
  <c r="N1127" i="5"/>
  <c r="Q1126" i="5"/>
  <c r="P1126" i="5"/>
  <c r="N1126" i="5"/>
  <c r="A1126" i="5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Q1125" i="5"/>
  <c r="P1125" i="5"/>
  <c r="N1125" i="5"/>
  <c r="L1123" i="5"/>
  <c r="O1122" i="5"/>
  <c r="L1122" i="5"/>
  <c r="O1121" i="5"/>
  <c r="L1121" i="5"/>
  <c r="P1120" i="5"/>
  <c r="N1120" i="5"/>
  <c r="P1119" i="5"/>
  <c r="N1119" i="5"/>
  <c r="P1118" i="5"/>
  <c r="N1118" i="5"/>
  <c r="P1117" i="5"/>
  <c r="N1117" i="5"/>
  <c r="P1116" i="5"/>
  <c r="N1116" i="5"/>
  <c r="P1115" i="5"/>
  <c r="N1115" i="5"/>
  <c r="P1114" i="5"/>
  <c r="N1114" i="5"/>
  <c r="P1113" i="5"/>
  <c r="N1113" i="5"/>
  <c r="P1112" i="5"/>
  <c r="N1112" i="5"/>
  <c r="Q1111" i="5"/>
  <c r="P1111" i="5"/>
  <c r="N1111" i="5"/>
  <c r="P1110" i="5"/>
  <c r="N1110" i="5"/>
  <c r="Q1109" i="5"/>
  <c r="P1109" i="5"/>
  <c r="N1109" i="5"/>
  <c r="P1108" i="5"/>
  <c r="N1108" i="5"/>
  <c r="P1107" i="5"/>
  <c r="N1107" i="5"/>
  <c r="P1106" i="5"/>
  <c r="N1106" i="5"/>
  <c r="P1105" i="5"/>
  <c r="N1105" i="5"/>
  <c r="Q1104" i="5"/>
  <c r="P1104" i="5"/>
  <c r="N1104" i="5"/>
  <c r="P1103" i="5"/>
  <c r="N1103" i="5"/>
  <c r="P1102" i="5"/>
  <c r="N1102" i="5"/>
  <c r="P1101" i="5"/>
  <c r="N1101" i="5"/>
  <c r="P1100" i="5"/>
  <c r="N1100" i="5"/>
  <c r="P1099" i="5"/>
  <c r="N1099" i="5"/>
  <c r="P1098" i="5"/>
  <c r="N1098" i="5"/>
  <c r="P1097" i="5"/>
  <c r="N1097" i="5"/>
  <c r="P1096" i="5"/>
  <c r="N1096" i="5"/>
  <c r="P1095" i="5"/>
  <c r="N1095" i="5"/>
  <c r="P1094" i="5"/>
  <c r="N1094" i="5"/>
  <c r="P1093" i="5"/>
  <c r="N1093" i="5"/>
  <c r="P1092" i="5"/>
  <c r="N1092" i="5"/>
  <c r="A1092" i="5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P1091" i="5"/>
  <c r="N1091" i="5"/>
  <c r="L1089" i="5"/>
  <c r="O1088" i="5"/>
  <c r="L1088" i="5"/>
  <c r="O1087" i="5"/>
  <c r="L1087" i="5"/>
  <c r="P1086" i="5"/>
  <c r="N1086" i="5"/>
  <c r="P1085" i="5"/>
  <c r="N1085" i="5"/>
  <c r="P1084" i="5"/>
  <c r="N1084" i="5"/>
  <c r="P1083" i="5"/>
  <c r="N1083" i="5"/>
  <c r="P1082" i="5"/>
  <c r="N1082" i="5"/>
  <c r="P1081" i="5"/>
  <c r="N1081" i="5"/>
  <c r="P1080" i="5"/>
  <c r="N1080" i="5"/>
  <c r="P1079" i="5"/>
  <c r="N1079" i="5"/>
  <c r="P1078" i="5"/>
  <c r="N1078" i="5"/>
  <c r="P1077" i="5"/>
  <c r="N1077" i="5"/>
  <c r="P1076" i="5"/>
  <c r="N1076" i="5"/>
  <c r="P1075" i="5"/>
  <c r="N1075" i="5"/>
  <c r="P1074" i="5"/>
  <c r="N1074" i="5"/>
  <c r="P1073" i="5"/>
  <c r="N1073" i="5"/>
  <c r="P1072" i="5"/>
  <c r="N1072" i="5"/>
  <c r="P1071" i="5"/>
  <c r="N1071" i="5"/>
  <c r="P1070" i="5"/>
  <c r="N1070" i="5"/>
  <c r="P1069" i="5"/>
  <c r="N1069" i="5"/>
  <c r="P1068" i="5"/>
  <c r="N1068" i="5"/>
  <c r="Q1067" i="5"/>
  <c r="P1067" i="5"/>
  <c r="N1067" i="5"/>
  <c r="P1066" i="5"/>
  <c r="N1066" i="5"/>
  <c r="P1065" i="5"/>
  <c r="N1065" i="5"/>
  <c r="P1064" i="5"/>
  <c r="N1064" i="5"/>
  <c r="Q1063" i="5"/>
  <c r="P1063" i="5"/>
  <c r="N1063" i="5"/>
  <c r="Q1062" i="5"/>
  <c r="P1062" i="5"/>
  <c r="N1062" i="5"/>
  <c r="Q1060" i="5"/>
  <c r="P1060" i="5"/>
  <c r="N1060" i="5"/>
  <c r="Q1059" i="5"/>
  <c r="P1059" i="5"/>
  <c r="N1059" i="5"/>
  <c r="Q1058" i="5"/>
  <c r="P1058" i="5"/>
  <c r="N1058" i="5"/>
  <c r="A1058" i="5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P1057" i="5"/>
  <c r="N1057" i="5"/>
  <c r="L1055" i="5"/>
  <c r="O1054" i="5"/>
  <c r="L1054" i="5"/>
  <c r="O1053" i="5"/>
  <c r="L1053" i="5"/>
  <c r="Q1052" i="5"/>
  <c r="P1052" i="5"/>
  <c r="N1052" i="5"/>
  <c r="Q1050" i="5"/>
  <c r="P1050" i="5"/>
  <c r="N1050" i="5"/>
  <c r="Q1049" i="5"/>
  <c r="P1049" i="5"/>
  <c r="N1049" i="5"/>
  <c r="P1048" i="5"/>
  <c r="N1048" i="5"/>
  <c r="Q1047" i="5"/>
  <c r="P1047" i="5"/>
  <c r="N1047" i="5"/>
  <c r="Q1046" i="5"/>
  <c r="P1046" i="5"/>
  <c r="N1046" i="5"/>
  <c r="Q1045" i="5"/>
  <c r="P1045" i="5"/>
  <c r="N1045" i="5"/>
  <c r="P1044" i="5"/>
  <c r="N1044" i="5"/>
  <c r="Q1043" i="5"/>
  <c r="P1043" i="5"/>
  <c r="N1043" i="5"/>
  <c r="Q1042" i="5"/>
  <c r="P1042" i="5"/>
  <c r="N1042" i="5"/>
  <c r="Q1041" i="5"/>
  <c r="P1041" i="5"/>
  <c r="N1041" i="5"/>
  <c r="Q1040" i="5"/>
  <c r="P1040" i="5"/>
  <c r="N1040" i="5"/>
  <c r="P1039" i="5"/>
  <c r="N1039" i="5"/>
  <c r="Q1038" i="5"/>
  <c r="P1038" i="5"/>
  <c r="N1038" i="5"/>
  <c r="Q1037" i="5"/>
  <c r="P1037" i="5"/>
  <c r="N1037" i="5"/>
  <c r="P1036" i="5"/>
  <c r="N1036" i="5"/>
  <c r="Q1035" i="5"/>
  <c r="P1035" i="5"/>
  <c r="N1035" i="5"/>
  <c r="P1034" i="5"/>
  <c r="N1034" i="5"/>
  <c r="Q1033" i="5"/>
  <c r="P1033" i="5"/>
  <c r="N1033" i="5"/>
  <c r="P1032" i="5"/>
  <c r="N1032" i="5"/>
  <c r="Q1031" i="5"/>
  <c r="P1031" i="5"/>
  <c r="N1031" i="5"/>
  <c r="Q1030" i="5"/>
  <c r="P1030" i="5"/>
  <c r="N1030" i="5"/>
  <c r="P1029" i="5"/>
  <c r="N1029" i="5"/>
  <c r="P1028" i="5"/>
  <c r="N1028" i="5"/>
  <c r="Q1027" i="5"/>
  <c r="P1027" i="5"/>
  <c r="N1027" i="5"/>
  <c r="Q1026" i="5"/>
  <c r="P1026" i="5"/>
  <c r="N1026" i="5"/>
  <c r="Q1025" i="5"/>
  <c r="P1025" i="5"/>
  <c r="N1025" i="5"/>
  <c r="Q1024" i="5"/>
  <c r="P1024" i="5"/>
  <c r="N1024" i="5"/>
  <c r="A1024" i="5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P1023" i="5"/>
  <c r="N1023" i="5"/>
  <c r="L1021" i="5"/>
  <c r="O1020" i="5"/>
  <c r="L1020" i="5"/>
  <c r="O1019" i="5"/>
  <c r="L1019" i="5"/>
  <c r="Q1018" i="5"/>
  <c r="P1018" i="5"/>
  <c r="N1018" i="5"/>
  <c r="Q1017" i="5"/>
  <c r="P1017" i="5"/>
  <c r="N1017" i="5"/>
  <c r="Q1016" i="5"/>
  <c r="P1016" i="5"/>
  <c r="N1016" i="5"/>
  <c r="Q1015" i="5"/>
  <c r="P1015" i="5"/>
  <c r="N1015" i="5"/>
  <c r="Q1013" i="5"/>
  <c r="P1013" i="5"/>
  <c r="N1013" i="5"/>
  <c r="Q1012" i="5"/>
  <c r="P1012" i="5"/>
  <c r="N1012" i="5"/>
  <c r="Q1011" i="5"/>
  <c r="P1011" i="5"/>
  <c r="N1011" i="5"/>
  <c r="Q1010" i="5"/>
  <c r="P1010" i="5"/>
  <c r="N1010" i="5"/>
  <c r="Q1009" i="5"/>
  <c r="P1009" i="5"/>
  <c r="N1009" i="5"/>
  <c r="P1008" i="5"/>
  <c r="N1008" i="5"/>
  <c r="Q1007" i="5"/>
  <c r="P1007" i="5"/>
  <c r="N1007" i="5"/>
  <c r="Q1006" i="5"/>
  <c r="P1006" i="5"/>
  <c r="N1006" i="5"/>
  <c r="Q1005" i="5"/>
  <c r="P1005" i="5"/>
  <c r="N1005" i="5"/>
  <c r="Q1004" i="5"/>
  <c r="P1004" i="5"/>
  <c r="N1004" i="5"/>
  <c r="Q1003" i="5"/>
  <c r="P1003" i="5"/>
  <c r="N1003" i="5"/>
  <c r="P1002" i="5"/>
  <c r="N1002" i="5"/>
  <c r="P1001" i="5"/>
  <c r="N1001" i="5"/>
  <c r="Q1000" i="5"/>
  <c r="P1000" i="5"/>
  <c r="N1000" i="5"/>
  <c r="Q999" i="5"/>
  <c r="P999" i="5"/>
  <c r="N999" i="5"/>
  <c r="Q998" i="5"/>
  <c r="P998" i="5"/>
  <c r="N998" i="5"/>
  <c r="P997" i="5"/>
  <c r="N997" i="5"/>
  <c r="Q996" i="5"/>
  <c r="P996" i="5"/>
  <c r="N996" i="5"/>
  <c r="Q995" i="5"/>
  <c r="P995" i="5"/>
  <c r="N995" i="5"/>
  <c r="Q994" i="5"/>
  <c r="P994" i="5"/>
  <c r="N994" i="5"/>
  <c r="Q993" i="5"/>
  <c r="P993" i="5"/>
  <c r="N993" i="5"/>
  <c r="Q991" i="5"/>
  <c r="P991" i="5"/>
  <c r="N991" i="5"/>
  <c r="P990" i="5"/>
  <c r="N990" i="5"/>
  <c r="A990" i="5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Q989" i="5"/>
  <c r="P989" i="5"/>
  <c r="N989" i="5"/>
  <c r="L987" i="5"/>
  <c r="O986" i="5"/>
  <c r="L986" i="5"/>
  <c r="O985" i="5"/>
  <c r="L985" i="5"/>
  <c r="Q984" i="5"/>
  <c r="P984" i="5"/>
  <c r="N984" i="5"/>
  <c r="P982" i="5"/>
  <c r="N982" i="5"/>
  <c r="P981" i="5"/>
  <c r="N981" i="5"/>
  <c r="Q980" i="5"/>
  <c r="P980" i="5"/>
  <c r="N980" i="5"/>
  <c r="Q979" i="5"/>
  <c r="P979" i="5"/>
  <c r="N979" i="5"/>
  <c r="Q978" i="5"/>
  <c r="P978" i="5"/>
  <c r="N978" i="5"/>
  <c r="Q976" i="5"/>
  <c r="P976" i="5"/>
  <c r="N976" i="5"/>
  <c r="Q974" i="5"/>
  <c r="P974" i="5"/>
  <c r="N974" i="5"/>
  <c r="Q973" i="5"/>
  <c r="P973" i="5"/>
  <c r="N973" i="5"/>
  <c r="P972" i="5"/>
  <c r="N972" i="5"/>
  <c r="Q971" i="5"/>
  <c r="P971" i="5"/>
  <c r="N971" i="5"/>
  <c r="P970" i="5"/>
  <c r="N970" i="5"/>
  <c r="Q969" i="5"/>
  <c r="P969" i="5"/>
  <c r="N969" i="5"/>
  <c r="Q968" i="5"/>
  <c r="P968" i="5"/>
  <c r="N968" i="5"/>
  <c r="P966" i="5"/>
  <c r="N966" i="5"/>
  <c r="Q965" i="5"/>
  <c r="P965" i="5"/>
  <c r="N965" i="5"/>
  <c r="P964" i="5"/>
  <c r="N964" i="5"/>
  <c r="P963" i="5"/>
  <c r="N963" i="5"/>
  <c r="Q962" i="5"/>
  <c r="P962" i="5"/>
  <c r="N962" i="5"/>
  <c r="Q961" i="5"/>
  <c r="P961" i="5"/>
  <c r="N961" i="5"/>
  <c r="Q960" i="5"/>
  <c r="P960" i="5"/>
  <c r="N960" i="5"/>
  <c r="Q959" i="5"/>
  <c r="P959" i="5"/>
  <c r="N959" i="5"/>
  <c r="Q958" i="5"/>
  <c r="P958" i="5"/>
  <c r="N958" i="5"/>
  <c r="Q957" i="5"/>
  <c r="P957" i="5"/>
  <c r="N957" i="5"/>
  <c r="Q956" i="5"/>
  <c r="P956" i="5"/>
  <c r="N956" i="5"/>
  <c r="A956" i="5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Q955" i="5"/>
  <c r="P955" i="5"/>
  <c r="N955" i="5"/>
  <c r="L953" i="5"/>
  <c r="O952" i="5"/>
  <c r="L952" i="5"/>
  <c r="O951" i="5"/>
  <c r="L951" i="5"/>
  <c r="P950" i="5"/>
  <c r="N950" i="5"/>
  <c r="P949" i="5"/>
  <c r="N949" i="5"/>
  <c r="P948" i="5"/>
  <c r="N948" i="5"/>
  <c r="P947" i="5"/>
  <c r="N947" i="5"/>
  <c r="P946" i="5"/>
  <c r="N946" i="5"/>
  <c r="Q945" i="5"/>
  <c r="P945" i="5"/>
  <c r="N945" i="5"/>
  <c r="P944" i="5"/>
  <c r="N944" i="5"/>
  <c r="P943" i="5"/>
  <c r="N943" i="5"/>
  <c r="P942" i="5"/>
  <c r="N942" i="5"/>
  <c r="Q941" i="5"/>
  <c r="P941" i="5"/>
  <c r="N941" i="5"/>
  <c r="P940" i="5"/>
  <c r="N940" i="5"/>
  <c r="P938" i="5"/>
  <c r="N938" i="5"/>
  <c r="Q937" i="5"/>
  <c r="P937" i="5"/>
  <c r="N937" i="5"/>
  <c r="P936" i="5"/>
  <c r="N936" i="5"/>
  <c r="P935" i="5"/>
  <c r="N935" i="5"/>
  <c r="P934" i="5"/>
  <c r="N934" i="5"/>
  <c r="Q933" i="5"/>
  <c r="P933" i="5"/>
  <c r="N933" i="5"/>
  <c r="P932" i="5"/>
  <c r="N932" i="5"/>
  <c r="Q931" i="5"/>
  <c r="P931" i="5"/>
  <c r="N931" i="5"/>
  <c r="Q930" i="5"/>
  <c r="P930" i="5"/>
  <c r="N930" i="5"/>
  <c r="Q929" i="5"/>
  <c r="P929" i="5"/>
  <c r="N929" i="5"/>
  <c r="P928" i="5"/>
  <c r="N928" i="5"/>
  <c r="Q927" i="5"/>
  <c r="P927" i="5"/>
  <c r="N927" i="5"/>
  <c r="P926" i="5"/>
  <c r="N926" i="5"/>
  <c r="Q925" i="5"/>
  <c r="P925" i="5"/>
  <c r="N925" i="5"/>
  <c r="Q924" i="5"/>
  <c r="P924" i="5"/>
  <c r="N924" i="5"/>
  <c r="Q923" i="5"/>
  <c r="P923" i="5"/>
  <c r="N923" i="5"/>
  <c r="Q922" i="5"/>
  <c r="P922" i="5"/>
  <c r="N922" i="5"/>
  <c r="A922" i="5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Q921" i="5"/>
  <c r="P921" i="5"/>
  <c r="N921" i="5"/>
  <c r="L919" i="5"/>
  <c r="O918" i="5"/>
  <c r="L918" i="5"/>
  <c r="O917" i="5"/>
  <c r="L917" i="5"/>
  <c r="Q916" i="5"/>
  <c r="P916" i="5"/>
  <c r="N916" i="5"/>
  <c r="Q914" i="5"/>
  <c r="P914" i="5"/>
  <c r="N914" i="5"/>
  <c r="Q912" i="5"/>
  <c r="P912" i="5"/>
  <c r="N912" i="5"/>
  <c r="P911" i="5"/>
  <c r="N911" i="5"/>
  <c r="Q910" i="5"/>
  <c r="P910" i="5"/>
  <c r="N910" i="5"/>
  <c r="Q909" i="5"/>
  <c r="P909" i="5"/>
  <c r="N909" i="5"/>
  <c r="Q908" i="5"/>
  <c r="P908" i="5"/>
  <c r="N908" i="5"/>
  <c r="Q907" i="5"/>
  <c r="P907" i="5"/>
  <c r="N907" i="5"/>
  <c r="Q906" i="5"/>
  <c r="P906" i="5"/>
  <c r="N906" i="5"/>
  <c r="P905" i="5"/>
  <c r="N905" i="5"/>
  <c r="Q903" i="5"/>
  <c r="P903" i="5"/>
  <c r="N903" i="5"/>
  <c r="Q902" i="5"/>
  <c r="P902" i="5"/>
  <c r="N902" i="5"/>
  <c r="Q901" i="5"/>
  <c r="P901" i="5"/>
  <c r="N901" i="5"/>
  <c r="Q900" i="5"/>
  <c r="P900" i="5"/>
  <c r="N900" i="5"/>
  <c r="Q899" i="5"/>
  <c r="P899" i="5"/>
  <c r="N899" i="5"/>
  <c r="Q898" i="5"/>
  <c r="P898" i="5"/>
  <c r="N898" i="5"/>
  <c r="Q897" i="5"/>
  <c r="P897" i="5"/>
  <c r="N897" i="5"/>
  <c r="Q896" i="5"/>
  <c r="P896" i="5"/>
  <c r="N896" i="5"/>
  <c r="Q895" i="5"/>
  <c r="P895" i="5"/>
  <c r="N895" i="5"/>
  <c r="P894" i="5"/>
  <c r="N894" i="5"/>
  <c r="Q893" i="5"/>
  <c r="P893" i="5"/>
  <c r="N893" i="5"/>
  <c r="Q891" i="5"/>
  <c r="P891" i="5"/>
  <c r="N891" i="5"/>
  <c r="Q890" i="5"/>
  <c r="P890" i="5"/>
  <c r="N890" i="5"/>
  <c r="Q889" i="5"/>
  <c r="P889" i="5"/>
  <c r="N889" i="5"/>
  <c r="Q888" i="5"/>
  <c r="P888" i="5"/>
  <c r="N888" i="5"/>
  <c r="A888" i="5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Q887" i="5"/>
  <c r="P887" i="5"/>
  <c r="N887" i="5"/>
  <c r="L885" i="5"/>
  <c r="O884" i="5"/>
  <c r="L884" i="5"/>
  <c r="O883" i="5"/>
  <c r="L883" i="5"/>
  <c r="Q882" i="5"/>
  <c r="P882" i="5"/>
  <c r="N882" i="5"/>
  <c r="P881" i="5"/>
  <c r="N881" i="5"/>
  <c r="Q880" i="5"/>
  <c r="P880" i="5"/>
  <c r="N880" i="5"/>
  <c r="Q879" i="5"/>
  <c r="P879" i="5"/>
  <c r="N879" i="5"/>
  <c r="Q878" i="5"/>
  <c r="P878" i="5"/>
  <c r="N878" i="5"/>
  <c r="Q877" i="5"/>
  <c r="P877" i="5"/>
  <c r="N877" i="5"/>
  <c r="P876" i="5"/>
  <c r="N876" i="5"/>
  <c r="P875" i="5"/>
  <c r="N875" i="5"/>
  <c r="Q874" i="5"/>
  <c r="P874" i="5"/>
  <c r="N874" i="5"/>
  <c r="P873" i="5"/>
  <c r="N873" i="5"/>
  <c r="Q871" i="5"/>
  <c r="P871" i="5"/>
  <c r="N871" i="5"/>
  <c r="Q870" i="5"/>
  <c r="P870" i="5"/>
  <c r="N870" i="5"/>
  <c r="Q869" i="5"/>
  <c r="P869" i="5"/>
  <c r="N869" i="5"/>
  <c r="P868" i="5"/>
  <c r="N868" i="5"/>
  <c r="Q867" i="5"/>
  <c r="P867" i="5"/>
  <c r="N867" i="5"/>
  <c r="Q866" i="5"/>
  <c r="P866" i="5"/>
  <c r="N866" i="5"/>
  <c r="Q865" i="5"/>
  <c r="P865" i="5"/>
  <c r="N865" i="5"/>
  <c r="Q864" i="5"/>
  <c r="P864" i="5"/>
  <c r="N864" i="5"/>
  <c r="Q863" i="5"/>
  <c r="P863" i="5"/>
  <c r="N863" i="5"/>
  <c r="Q862" i="5"/>
  <c r="P862" i="5"/>
  <c r="N862" i="5"/>
  <c r="P861" i="5"/>
  <c r="N861" i="5"/>
  <c r="Q860" i="5"/>
  <c r="P860" i="5"/>
  <c r="N860" i="5"/>
  <c r="Q859" i="5"/>
  <c r="P859" i="5"/>
  <c r="N859" i="5"/>
  <c r="P858" i="5"/>
  <c r="N858" i="5"/>
  <c r="Q857" i="5"/>
  <c r="P857" i="5"/>
  <c r="N857" i="5"/>
  <c r="Q856" i="5"/>
  <c r="P856" i="5"/>
  <c r="N856" i="5"/>
  <c r="Q855" i="5"/>
  <c r="P855" i="5"/>
  <c r="N855" i="5"/>
  <c r="Q854" i="5"/>
  <c r="P854" i="5"/>
  <c r="N854" i="5"/>
  <c r="A854" i="5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Q853" i="5"/>
  <c r="P853" i="5"/>
  <c r="N853" i="5"/>
  <c r="L851" i="5"/>
  <c r="O850" i="5"/>
  <c r="L850" i="5"/>
  <c r="O849" i="5"/>
  <c r="L849" i="5"/>
  <c r="P848" i="5"/>
  <c r="N848" i="5"/>
  <c r="P846" i="5"/>
  <c r="N846" i="5"/>
  <c r="Q845" i="5"/>
  <c r="P845" i="5"/>
  <c r="N845" i="5"/>
  <c r="Q844" i="5"/>
  <c r="P844" i="5"/>
  <c r="N844" i="5"/>
  <c r="Q843" i="5"/>
  <c r="P843" i="5"/>
  <c r="N843" i="5"/>
  <c r="Q842" i="5"/>
  <c r="P842" i="5"/>
  <c r="N842" i="5"/>
  <c r="Q841" i="5"/>
  <c r="P841" i="5"/>
  <c r="N841" i="5"/>
  <c r="Q840" i="5"/>
  <c r="P840" i="5"/>
  <c r="N840" i="5"/>
  <c r="Q839" i="5"/>
  <c r="P839" i="5"/>
  <c r="N839" i="5"/>
  <c r="Q838" i="5"/>
  <c r="P838" i="5"/>
  <c r="N838" i="5"/>
  <c r="Q836" i="5"/>
  <c r="P836" i="5"/>
  <c r="N836" i="5"/>
  <c r="Q835" i="5"/>
  <c r="P835" i="5"/>
  <c r="N835" i="5"/>
  <c r="Q834" i="5"/>
  <c r="P834" i="5"/>
  <c r="N834" i="5"/>
  <c r="Q833" i="5"/>
  <c r="P833" i="5"/>
  <c r="N833" i="5"/>
  <c r="P832" i="5"/>
  <c r="N832" i="5"/>
  <c r="Q831" i="5"/>
  <c r="P831" i="5"/>
  <c r="N831" i="5"/>
  <c r="Q830" i="5"/>
  <c r="P830" i="5"/>
  <c r="N830" i="5"/>
  <c r="Q829" i="5"/>
  <c r="P829" i="5"/>
  <c r="N829" i="5"/>
  <c r="Q828" i="5"/>
  <c r="P828" i="5"/>
  <c r="N828" i="5"/>
  <c r="Q827" i="5"/>
  <c r="P827" i="5"/>
  <c r="N827" i="5"/>
  <c r="Q826" i="5"/>
  <c r="P826" i="5"/>
  <c r="N826" i="5"/>
  <c r="Q825" i="5"/>
  <c r="P825" i="5"/>
  <c r="N825" i="5"/>
  <c r="Q824" i="5"/>
  <c r="P824" i="5"/>
  <c r="N824" i="5"/>
  <c r="Q823" i="5"/>
  <c r="P823" i="5"/>
  <c r="N823" i="5"/>
  <c r="Q822" i="5"/>
  <c r="P822" i="5"/>
  <c r="N822" i="5"/>
  <c r="Q821" i="5"/>
  <c r="P821" i="5"/>
  <c r="N821" i="5"/>
  <c r="Q820" i="5"/>
  <c r="P820" i="5"/>
  <c r="N820" i="5"/>
  <c r="A820" i="5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P819" i="5"/>
  <c r="N819" i="5"/>
  <c r="L817" i="5"/>
  <c r="O816" i="5"/>
  <c r="L816" i="5"/>
  <c r="O815" i="5"/>
  <c r="L815" i="5"/>
  <c r="Q813" i="5"/>
  <c r="P813" i="5"/>
  <c r="N813" i="5"/>
  <c r="Q812" i="5"/>
  <c r="P812" i="5"/>
  <c r="N812" i="5"/>
  <c r="Q811" i="5"/>
  <c r="P811" i="5"/>
  <c r="N811" i="5"/>
  <c r="Q810" i="5"/>
  <c r="P810" i="5"/>
  <c r="N810" i="5"/>
  <c r="Q809" i="5"/>
  <c r="P809" i="5"/>
  <c r="N809" i="5"/>
  <c r="P808" i="5"/>
  <c r="N808" i="5"/>
  <c r="Q807" i="5"/>
  <c r="P807" i="5"/>
  <c r="N807" i="5"/>
  <c r="Q805" i="5"/>
  <c r="P805" i="5"/>
  <c r="N805" i="5"/>
  <c r="Q803" i="5"/>
  <c r="P803" i="5"/>
  <c r="N803" i="5"/>
  <c r="P802" i="5"/>
  <c r="N802" i="5"/>
  <c r="Q801" i="5"/>
  <c r="P801" i="5"/>
  <c r="N801" i="5"/>
  <c r="Q800" i="5"/>
  <c r="P800" i="5"/>
  <c r="N800" i="5"/>
  <c r="P799" i="5"/>
  <c r="N799" i="5"/>
  <c r="P797" i="5"/>
  <c r="N797" i="5"/>
  <c r="Q796" i="5"/>
  <c r="P796" i="5"/>
  <c r="N796" i="5"/>
  <c r="P795" i="5"/>
  <c r="N795" i="5"/>
  <c r="Q793" i="5"/>
  <c r="P793" i="5"/>
  <c r="N793" i="5"/>
  <c r="Q792" i="5"/>
  <c r="P792" i="5"/>
  <c r="N792" i="5"/>
  <c r="Q790" i="5"/>
  <c r="P790" i="5"/>
  <c r="N790" i="5"/>
  <c r="Q789" i="5"/>
  <c r="P789" i="5"/>
  <c r="N789" i="5"/>
  <c r="Q788" i="5"/>
  <c r="P788" i="5"/>
  <c r="N788" i="5"/>
  <c r="Q787" i="5"/>
  <c r="P787" i="5"/>
  <c r="N787" i="5"/>
  <c r="Q786" i="5"/>
  <c r="P786" i="5"/>
  <c r="N786" i="5"/>
  <c r="A786" i="5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Q785" i="5"/>
  <c r="P785" i="5"/>
  <c r="N785" i="5"/>
  <c r="L783" i="5"/>
  <c r="O782" i="5"/>
  <c r="L782" i="5"/>
  <c r="O781" i="5"/>
  <c r="L781" i="5"/>
  <c r="Q780" i="5"/>
  <c r="P780" i="5"/>
  <c r="N780" i="5"/>
  <c r="P779" i="5"/>
  <c r="N779" i="5"/>
  <c r="Q778" i="5"/>
  <c r="P778" i="5"/>
  <c r="N778" i="5"/>
  <c r="Q777" i="5"/>
  <c r="P777" i="5"/>
  <c r="N777" i="5"/>
  <c r="Q776" i="5"/>
  <c r="P776" i="5"/>
  <c r="N776" i="5"/>
  <c r="Q775" i="5"/>
  <c r="P775" i="5"/>
  <c r="N775" i="5"/>
  <c r="Q773" i="5"/>
  <c r="P773" i="5"/>
  <c r="N773" i="5"/>
  <c r="P772" i="5"/>
  <c r="N772" i="5"/>
  <c r="Q771" i="5"/>
  <c r="P771" i="5"/>
  <c r="N771" i="5"/>
  <c r="Q770" i="5"/>
  <c r="P770" i="5"/>
  <c r="N770" i="5"/>
  <c r="Q769" i="5"/>
  <c r="P769" i="5"/>
  <c r="N769" i="5"/>
  <c r="Q768" i="5"/>
  <c r="P768" i="5"/>
  <c r="N768" i="5"/>
  <c r="P767" i="5"/>
  <c r="N767" i="5"/>
  <c r="P766" i="5"/>
  <c r="N766" i="5"/>
  <c r="Q765" i="5"/>
  <c r="P765" i="5"/>
  <c r="N765" i="5"/>
  <c r="Q764" i="5"/>
  <c r="P764" i="5"/>
  <c r="N764" i="5"/>
  <c r="Q763" i="5"/>
  <c r="P763" i="5"/>
  <c r="N763" i="5"/>
  <c r="P762" i="5"/>
  <c r="N762" i="5"/>
  <c r="Q761" i="5"/>
  <c r="P761" i="5"/>
  <c r="N761" i="5"/>
  <c r="Q760" i="5"/>
  <c r="P760" i="5"/>
  <c r="N760" i="5"/>
  <c r="Q759" i="5"/>
  <c r="P759" i="5"/>
  <c r="N759" i="5"/>
  <c r="Q758" i="5"/>
  <c r="P758" i="5"/>
  <c r="N758" i="5"/>
  <c r="P757" i="5"/>
  <c r="N757" i="5"/>
  <c r="P756" i="5"/>
  <c r="N756" i="5"/>
  <c r="Q755" i="5"/>
  <c r="P755" i="5"/>
  <c r="N755" i="5"/>
  <c r="Q754" i="5"/>
  <c r="P754" i="5"/>
  <c r="N754" i="5"/>
  <c r="P753" i="5"/>
  <c r="N753" i="5"/>
  <c r="P752" i="5"/>
  <c r="N752" i="5"/>
  <c r="A752" i="5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Q751" i="5"/>
  <c r="P751" i="5"/>
  <c r="N751" i="5"/>
  <c r="L749" i="5"/>
  <c r="O748" i="5"/>
  <c r="L748" i="5"/>
  <c r="O747" i="5"/>
  <c r="L747" i="5"/>
  <c r="Q746" i="5"/>
  <c r="P746" i="5"/>
  <c r="N746" i="5"/>
  <c r="Q745" i="5"/>
  <c r="P745" i="5"/>
  <c r="N745" i="5"/>
  <c r="Q743" i="5"/>
  <c r="P743" i="5"/>
  <c r="N743" i="5"/>
  <c r="Q741" i="5"/>
  <c r="P741" i="5"/>
  <c r="N741" i="5"/>
  <c r="Q740" i="5"/>
  <c r="P740" i="5"/>
  <c r="N740" i="5"/>
  <c r="Q739" i="5"/>
  <c r="P739" i="5"/>
  <c r="N739" i="5"/>
  <c r="Q738" i="5"/>
  <c r="P738" i="5"/>
  <c r="N738" i="5"/>
  <c r="Q737" i="5"/>
  <c r="P737" i="5"/>
  <c r="N737" i="5"/>
  <c r="Q735" i="5"/>
  <c r="P735" i="5"/>
  <c r="N735" i="5"/>
  <c r="Q733" i="5"/>
  <c r="P733" i="5"/>
  <c r="N733" i="5"/>
  <c r="P732" i="5"/>
  <c r="N732" i="5"/>
  <c r="Q731" i="5"/>
  <c r="P731" i="5"/>
  <c r="N731" i="5"/>
  <c r="P729" i="5"/>
  <c r="N729" i="5"/>
  <c r="Q728" i="5"/>
  <c r="P728" i="5"/>
  <c r="N728" i="5"/>
  <c r="Q726" i="5"/>
  <c r="P726" i="5"/>
  <c r="N726" i="5"/>
  <c r="Q725" i="5"/>
  <c r="P725" i="5"/>
  <c r="N725" i="5"/>
  <c r="P724" i="5"/>
  <c r="N724" i="5"/>
  <c r="Q723" i="5"/>
  <c r="P723" i="5"/>
  <c r="N723" i="5"/>
  <c r="Q722" i="5"/>
  <c r="P722" i="5"/>
  <c r="N722" i="5"/>
  <c r="P721" i="5"/>
  <c r="N721" i="5"/>
  <c r="Q719" i="5"/>
  <c r="P719" i="5"/>
  <c r="N719" i="5"/>
  <c r="Q718" i="5"/>
  <c r="P718" i="5"/>
  <c r="N718" i="5"/>
  <c r="A718" i="5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Q717" i="5"/>
  <c r="P717" i="5"/>
  <c r="N717" i="5"/>
  <c r="L715" i="5"/>
  <c r="O714" i="5"/>
  <c r="L714" i="5"/>
  <c r="O713" i="5"/>
  <c r="L713" i="5"/>
  <c r="Q712" i="5"/>
  <c r="P712" i="5"/>
  <c r="N712" i="5"/>
  <c r="Q711" i="5"/>
  <c r="P711" i="5"/>
  <c r="N711" i="5"/>
  <c r="Q710" i="5"/>
  <c r="P710" i="5"/>
  <c r="N710" i="5"/>
  <c r="Q709" i="5"/>
  <c r="P709" i="5"/>
  <c r="N709" i="5"/>
  <c r="Q708" i="5"/>
  <c r="P708" i="5"/>
  <c r="N708" i="5"/>
  <c r="P707" i="5"/>
  <c r="N707" i="5"/>
  <c r="Q705" i="5"/>
  <c r="P705" i="5"/>
  <c r="N705" i="5"/>
  <c r="Q704" i="5"/>
  <c r="P704" i="5"/>
  <c r="N704" i="5"/>
  <c r="P703" i="5"/>
  <c r="N703" i="5"/>
  <c r="P702" i="5"/>
  <c r="N702" i="5"/>
  <c r="Q701" i="5"/>
  <c r="P701" i="5"/>
  <c r="N701" i="5"/>
  <c r="Q700" i="5"/>
  <c r="P700" i="5"/>
  <c r="N700" i="5"/>
  <c r="P699" i="5"/>
  <c r="N699" i="5"/>
  <c r="Q698" i="5"/>
  <c r="P698" i="5"/>
  <c r="N698" i="5"/>
  <c r="Q697" i="5"/>
  <c r="P697" i="5"/>
  <c r="N697" i="5"/>
  <c r="Q696" i="5"/>
  <c r="P696" i="5"/>
  <c r="N696" i="5"/>
  <c r="P695" i="5"/>
  <c r="N695" i="5"/>
  <c r="P694" i="5"/>
  <c r="N694" i="5"/>
  <c r="Q693" i="5"/>
  <c r="P693" i="5"/>
  <c r="N693" i="5"/>
  <c r="Q692" i="5"/>
  <c r="P692" i="5"/>
  <c r="N692" i="5"/>
  <c r="Q691" i="5"/>
  <c r="P691" i="5"/>
  <c r="N691" i="5"/>
  <c r="P690" i="5"/>
  <c r="N690" i="5"/>
  <c r="Q689" i="5"/>
  <c r="P689" i="5"/>
  <c r="N689" i="5"/>
  <c r="Q688" i="5"/>
  <c r="P688" i="5"/>
  <c r="N688" i="5"/>
  <c r="Q687" i="5"/>
  <c r="P687" i="5"/>
  <c r="N687" i="5"/>
  <c r="P686" i="5"/>
  <c r="N686" i="5"/>
  <c r="Q685" i="5"/>
  <c r="P685" i="5"/>
  <c r="N685" i="5"/>
  <c r="Q684" i="5"/>
  <c r="P684" i="5"/>
  <c r="N684" i="5"/>
  <c r="A684" i="5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Q683" i="5"/>
  <c r="P683" i="5"/>
  <c r="N683" i="5"/>
  <c r="L681" i="5"/>
  <c r="O680" i="5"/>
  <c r="L680" i="5"/>
  <c r="O679" i="5"/>
  <c r="L679" i="5"/>
  <c r="P678" i="5"/>
  <c r="N678" i="5"/>
  <c r="P677" i="5"/>
  <c r="N677" i="5"/>
  <c r="Q676" i="5"/>
  <c r="P676" i="5"/>
  <c r="N676" i="5"/>
  <c r="Q675" i="5"/>
  <c r="P675" i="5"/>
  <c r="N675" i="5"/>
  <c r="P674" i="5"/>
  <c r="N674" i="5"/>
  <c r="Q673" i="5"/>
  <c r="P673" i="5"/>
  <c r="N673" i="5"/>
  <c r="Q672" i="5"/>
  <c r="P672" i="5"/>
  <c r="N672" i="5"/>
  <c r="P671" i="5"/>
  <c r="N671" i="5"/>
  <c r="Q670" i="5"/>
  <c r="P670" i="5"/>
  <c r="N670" i="5"/>
  <c r="Q669" i="5"/>
  <c r="P669" i="5"/>
  <c r="N669" i="5"/>
  <c r="Q667" i="5"/>
  <c r="P667" i="5"/>
  <c r="N667" i="5"/>
  <c r="P666" i="5"/>
  <c r="N666" i="5"/>
  <c r="Q665" i="5"/>
  <c r="P665" i="5"/>
  <c r="N665" i="5"/>
  <c r="Q664" i="5"/>
  <c r="P664" i="5"/>
  <c r="N664" i="5"/>
  <c r="P663" i="5"/>
  <c r="N663" i="5"/>
  <c r="Q662" i="5"/>
  <c r="P662" i="5"/>
  <c r="N662" i="5"/>
  <c r="Q661" i="5"/>
  <c r="P661" i="5"/>
  <c r="N661" i="5"/>
  <c r="Q660" i="5"/>
  <c r="P660" i="5"/>
  <c r="N660" i="5"/>
  <c r="P659" i="5"/>
  <c r="N659" i="5"/>
  <c r="Q658" i="5"/>
  <c r="P658" i="5"/>
  <c r="N658" i="5"/>
  <c r="Q657" i="5"/>
  <c r="P657" i="5"/>
  <c r="N657" i="5"/>
  <c r="Q656" i="5"/>
  <c r="P656" i="5"/>
  <c r="N656" i="5"/>
  <c r="Q655" i="5"/>
  <c r="P655" i="5"/>
  <c r="N655" i="5"/>
  <c r="P654" i="5"/>
  <c r="N654" i="5"/>
  <c r="P652" i="5"/>
  <c r="N652" i="5"/>
  <c r="Q651" i="5"/>
  <c r="P651" i="5"/>
  <c r="N651" i="5"/>
  <c r="Q650" i="5"/>
  <c r="P650" i="5"/>
  <c r="N650" i="5"/>
  <c r="A650" i="5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Q649" i="5"/>
  <c r="P649" i="5"/>
  <c r="N649" i="5"/>
  <c r="L647" i="5"/>
  <c r="O646" i="5"/>
  <c r="L646" i="5"/>
  <c r="O645" i="5"/>
  <c r="L645" i="5"/>
  <c r="P644" i="5"/>
  <c r="N644" i="5"/>
  <c r="P643" i="5"/>
  <c r="N643" i="5"/>
  <c r="P642" i="5"/>
  <c r="N642" i="5"/>
  <c r="P641" i="5"/>
  <c r="N641" i="5"/>
  <c r="P640" i="5"/>
  <c r="N640" i="5"/>
  <c r="Q639" i="5"/>
  <c r="P639" i="5"/>
  <c r="N639" i="5"/>
  <c r="P638" i="5"/>
  <c r="N638" i="5"/>
  <c r="Q637" i="5"/>
  <c r="P637" i="5"/>
  <c r="N637" i="5"/>
  <c r="P636" i="5"/>
  <c r="N636" i="5"/>
  <c r="P635" i="5"/>
  <c r="N635" i="5"/>
  <c r="Q634" i="5"/>
  <c r="P634" i="5"/>
  <c r="N634" i="5"/>
  <c r="P633" i="5"/>
  <c r="N633" i="5"/>
  <c r="P632" i="5"/>
  <c r="N632" i="5"/>
  <c r="Q631" i="5"/>
  <c r="P631" i="5"/>
  <c r="N631" i="5"/>
  <c r="P630" i="5"/>
  <c r="N630" i="5"/>
  <c r="Q629" i="5"/>
  <c r="P629" i="5"/>
  <c r="N629" i="5"/>
  <c r="P628" i="5"/>
  <c r="N628" i="5"/>
  <c r="P627" i="5"/>
  <c r="N627" i="5"/>
  <c r="Q626" i="5"/>
  <c r="P626" i="5"/>
  <c r="N626" i="5"/>
  <c r="P625" i="5"/>
  <c r="N625" i="5"/>
  <c r="Q624" i="5"/>
  <c r="P624" i="5"/>
  <c r="N624" i="5"/>
  <c r="P623" i="5"/>
  <c r="N623" i="5"/>
  <c r="P622" i="5"/>
  <c r="N622" i="5"/>
  <c r="P621" i="5"/>
  <c r="N621" i="5"/>
  <c r="P620" i="5"/>
  <c r="N620" i="5"/>
  <c r="P619" i="5"/>
  <c r="N619" i="5"/>
  <c r="P618" i="5"/>
  <c r="N618" i="5"/>
  <c r="P617" i="5"/>
  <c r="N617" i="5"/>
  <c r="P616" i="5"/>
  <c r="N616" i="5"/>
  <c r="A616" i="5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P615" i="5"/>
  <c r="N615" i="5"/>
  <c r="L613" i="5"/>
  <c r="O612" i="5"/>
  <c r="L612" i="5"/>
  <c r="O611" i="5"/>
  <c r="L611" i="5"/>
  <c r="P610" i="5"/>
  <c r="N610" i="5"/>
  <c r="P609" i="5"/>
  <c r="N609" i="5"/>
  <c r="P608" i="5"/>
  <c r="N608" i="5"/>
  <c r="Q607" i="5"/>
  <c r="P607" i="5"/>
  <c r="N607" i="5"/>
  <c r="P606" i="5"/>
  <c r="N606" i="5"/>
  <c r="Q603" i="5"/>
  <c r="P603" i="5"/>
  <c r="N603" i="5"/>
  <c r="P602" i="5"/>
  <c r="N602" i="5"/>
  <c r="Q601" i="5"/>
  <c r="P601" i="5"/>
  <c r="N601" i="5"/>
  <c r="Q599" i="5"/>
  <c r="P599" i="5"/>
  <c r="N599" i="5"/>
  <c r="P598" i="5"/>
  <c r="N598" i="5"/>
  <c r="Q597" i="5"/>
  <c r="P597" i="5"/>
  <c r="N597" i="5"/>
  <c r="P596" i="5"/>
  <c r="N596" i="5"/>
  <c r="Q595" i="5"/>
  <c r="P595" i="5"/>
  <c r="N595" i="5"/>
  <c r="P592" i="5"/>
  <c r="N592" i="5"/>
  <c r="Q591" i="5"/>
  <c r="P591" i="5"/>
  <c r="N591" i="5"/>
  <c r="P590" i="5"/>
  <c r="N590" i="5"/>
  <c r="Q589" i="5"/>
  <c r="P589" i="5"/>
  <c r="N589" i="5"/>
  <c r="Q588" i="5"/>
  <c r="P588" i="5"/>
  <c r="N588" i="5"/>
  <c r="P587" i="5"/>
  <c r="N587" i="5"/>
  <c r="Q586" i="5"/>
  <c r="P586" i="5"/>
  <c r="N586" i="5"/>
  <c r="Q585" i="5"/>
  <c r="P585" i="5"/>
  <c r="N585" i="5"/>
  <c r="Q584" i="5"/>
  <c r="P584" i="5"/>
  <c r="N584" i="5"/>
  <c r="Q583" i="5"/>
  <c r="P583" i="5"/>
  <c r="N583" i="5"/>
  <c r="Q582" i="5"/>
  <c r="P582" i="5"/>
  <c r="N582" i="5"/>
  <c r="A582" i="5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P581" i="5"/>
  <c r="N581" i="5"/>
  <c r="L579" i="5"/>
  <c r="O578" i="5"/>
  <c r="L578" i="5"/>
  <c r="O577" i="5"/>
  <c r="L577" i="5"/>
  <c r="Q576" i="5"/>
  <c r="P576" i="5"/>
  <c r="N576" i="5"/>
  <c r="Q575" i="5"/>
  <c r="P575" i="5"/>
  <c r="N575" i="5"/>
  <c r="Q568" i="5"/>
  <c r="P568" i="5"/>
  <c r="N568" i="5"/>
  <c r="Q567" i="5"/>
  <c r="P567" i="5"/>
  <c r="N567" i="5"/>
  <c r="Q566" i="5"/>
  <c r="P566" i="5"/>
  <c r="N566" i="5"/>
  <c r="Q559" i="5"/>
  <c r="P559" i="5"/>
  <c r="N559" i="5"/>
  <c r="P558" i="5"/>
  <c r="N558" i="5"/>
  <c r="Q557" i="5"/>
  <c r="P557" i="5"/>
  <c r="N557" i="5"/>
  <c r="Q556" i="5"/>
  <c r="P556" i="5"/>
  <c r="N556" i="5"/>
  <c r="Q555" i="5"/>
  <c r="P555" i="5"/>
  <c r="N555" i="5"/>
  <c r="P554" i="5"/>
  <c r="N554" i="5"/>
  <c r="Q553" i="5"/>
  <c r="P553" i="5"/>
  <c r="N553" i="5"/>
  <c r="Q552" i="5"/>
  <c r="P552" i="5"/>
  <c r="N552" i="5"/>
  <c r="Q551" i="5"/>
  <c r="P551" i="5"/>
  <c r="N551" i="5"/>
  <c r="Q550" i="5"/>
  <c r="P550" i="5"/>
  <c r="N550" i="5"/>
  <c r="P549" i="5"/>
  <c r="N549" i="5"/>
  <c r="Q548" i="5"/>
  <c r="P548" i="5"/>
  <c r="N548" i="5"/>
  <c r="A548" i="5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Q547" i="5"/>
  <c r="P547" i="5"/>
  <c r="N547" i="5"/>
  <c r="L545" i="5"/>
  <c r="O544" i="5"/>
  <c r="L544" i="5"/>
  <c r="O543" i="5"/>
  <c r="L543" i="5"/>
  <c r="Q542" i="5"/>
  <c r="P542" i="5"/>
  <c r="N542" i="5"/>
  <c r="Q541" i="5"/>
  <c r="P541" i="5"/>
  <c r="N541" i="5"/>
  <c r="Q539" i="5"/>
  <c r="P539" i="5"/>
  <c r="N539" i="5"/>
  <c r="Q537" i="5"/>
  <c r="P537" i="5"/>
  <c r="N537" i="5"/>
  <c r="Q536" i="5"/>
  <c r="P536" i="5"/>
  <c r="N536" i="5"/>
  <c r="Q535" i="5"/>
  <c r="P535" i="5"/>
  <c r="N535" i="5"/>
  <c r="Q534" i="5"/>
  <c r="P534" i="5"/>
  <c r="N534" i="5"/>
  <c r="Q533" i="5"/>
  <c r="P533" i="5"/>
  <c r="N533" i="5"/>
  <c r="Q532" i="5"/>
  <c r="P532" i="5"/>
  <c r="N532" i="5"/>
  <c r="P531" i="5"/>
  <c r="N531" i="5"/>
  <c r="P530" i="5"/>
  <c r="N530" i="5"/>
  <c r="Q529" i="5"/>
  <c r="P529" i="5"/>
  <c r="N529" i="5"/>
  <c r="Q528" i="5"/>
  <c r="P528" i="5"/>
  <c r="N528" i="5"/>
  <c r="Q527" i="5"/>
  <c r="P527" i="5"/>
  <c r="N527" i="5"/>
  <c r="Q526" i="5"/>
  <c r="P526" i="5"/>
  <c r="N526" i="5"/>
  <c r="P525" i="5"/>
  <c r="N525" i="5"/>
  <c r="Q523" i="5"/>
  <c r="P523" i="5"/>
  <c r="N523" i="5"/>
  <c r="Q522" i="5"/>
  <c r="P522" i="5"/>
  <c r="N522" i="5"/>
  <c r="Q521" i="5"/>
  <c r="P521" i="5"/>
  <c r="N521" i="5"/>
  <c r="Q520" i="5"/>
  <c r="P520" i="5"/>
  <c r="N520" i="5"/>
  <c r="Q519" i="5"/>
  <c r="P519" i="5"/>
  <c r="N519" i="5"/>
  <c r="Q518" i="5"/>
  <c r="P518" i="5"/>
  <c r="N518" i="5"/>
  <c r="Q517" i="5"/>
  <c r="P517" i="5"/>
  <c r="N517" i="5"/>
  <c r="P516" i="5"/>
  <c r="N516" i="5"/>
  <c r="Q515" i="5"/>
  <c r="P515" i="5"/>
  <c r="N515" i="5"/>
  <c r="P514" i="5"/>
  <c r="N514" i="5"/>
  <c r="A514" i="5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Q513" i="5"/>
  <c r="P513" i="5"/>
  <c r="N513" i="5"/>
  <c r="L511" i="5"/>
  <c r="O510" i="5"/>
  <c r="L510" i="5"/>
  <c r="O509" i="5"/>
  <c r="L509" i="5"/>
  <c r="Q508" i="5"/>
  <c r="P508" i="5"/>
  <c r="N508" i="5"/>
  <c r="P507" i="5"/>
  <c r="N507" i="5"/>
  <c r="Q506" i="5"/>
  <c r="P506" i="5"/>
  <c r="N506" i="5"/>
  <c r="Q505" i="5"/>
  <c r="P505" i="5"/>
  <c r="N505" i="5"/>
  <c r="Q503" i="5"/>
  <c r="P503" i="5"/>
  <c r="N503" i="5"/>
  <c r="Q502" i="5"/>
  <c r="P502" i="5"/>
  <c r="N502" i="5"/>
  <c r="P501" i="5"/>
  <c r="N501" i="5"/>
  <c r="Q500" i="5"/>
  <c r="P500" i="5"/>
  <c r="N500" i="5"/>
  <c r="Q499" i="5"/>
  <c r="P499" i="5"/>
  <c r="N499" i="5"/>
  <c r="Q498" i="5"/>
  <c r="P498" i="5"/>
  <c r="N498" i="5"/>
  <c r="Q497" i="5"/>
  <c r="P497" i="5"/>
  <c r="N497" i="5"/>
  <c r="Q496" i="5"/>
  <c r="P496" i="5"/>
  <c r="N496" i="5"/>
  <c r="Q495" i="5"/>
  <c r="P495" i="5"/>
  <c r="N495" i="5"/>
  <c r="Q494" i="5"/>
  <c r="P494" i="5"/>
  <c r="N494" i="5"/>
  <c r="Q493" i="5"/>
  <c r="P493" i="5"/>
  <c r="N493" i="5"/>
  <c r="P492" i="5"/>
  <c r="N492" i="5"/>
  <c r="Q491" i="5"/>
  <c r="P491" i="5"/>
  <c r="N491" i="5"/>
  <c r="Q489" i="5"/>
  <c r="P489" i="5"/>
  <c r="N489" i="5"/>
  <c r="Q488" i="5"/>
  <c r="P488" i="5"/>
  <c r="N488" i="5"/>
  <c r="Q487" i="5"/>
  <c r="P487" i="5"/>
  <c r="N487" i="5"/>
  <c r="Q486" i="5"/>
  <c r="P486" i="5"/>
  <c r="N486" i="5"/>
  <c r="Q485" i="5"/>
  <c r="P485" i="5"/>
  <c r="N485" i="5"/>
  <c r="Q484" i="5"/>
  <c r="P484" i="5"/>
  <c r="N484" i="5"/>
  <c r="Q483" i="5"/>
  <c r="P483" i="5"/>
  <c r="N483" i="5"/>
  <c r="P482" i="5"/>
  <c r="N482" i="5"/>
  <c r="Q481" i="5"/>
  <c r="P481" i="5"/>
  <c r="N481" i="5"/>
  <c r="Q480" i="5"/>
  <c r="P480" i="5"/>
  <c r="N480" i="5"/>
  <c r="A480" i="5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Q479" i="5"/>
  <c r="P479" i="5"/>
  <c r="N479" i="5"/>
  <c r="L477" i="5"/>
  <c r="O476" i="5"/>
  <c r="L476" i="5"/>
  <c r="O475" i="5"/>
  <c r="L475" i="5"/>
  <c r="Q474" i="5"/>
  <c r="P474" i="5"/>
  <c r="N474" i="5"/>
  <c r="Q472" i="5"/>
  <c r="P472" i="5"/>
  <c r="N472" i="5"/>
  <c r="Q471" i="5"/>
  <c r="P471" i="5"/>
  <c r="N471" i="5"/>
  <c r="Q470" i="5"/>
  <c r="P470" i="5"/>
  <c r="N470" i="5"/>
  <c r="Q469" i="5"/>
  <c r="P469" i="5"/>
  <c r="N469" i="5"/>
  <c r="P468" i="5"/>
  <c r="N468" i="5"/>
  <c r="P467" i="5"/>
  <c r="N467" i="5"/>
  <c r="P466" i="5"/>
  <c r="N466" i="5"/>
  <c r="Q465" i="5"/>
  <c r="P465" i="5"/>
  <c r="N465" i="5"/>
  <c r="Q464" i="5"/>
  <c r="P464" i="5"/>
  <c r="N464" i="5"/>
  <c r="Q463" i="5"/>
  <c r="P463" i="5"/>
  <c r="N463" i="5"/>
  <c r="P462" i="5"/>
  <c r="N462" i="5"/>
  <c r="P461" i="5"/>
  <c r="N461" i="5"/>
  <c r="Q460" i="5"/>
  <c r="P460" i="5"/>
  <c r="N460" i="5"/>
  <c r="P459" i="5"/>
  <c r="N459" i="5"/>
  <c r="Q458" i="5"/>
  <c r="P458" i="5"/>
  <c r="N458" i="5"/>
  <c r="Q457" i="5"/>
  <c r="P457" i="5"/>
  <c r="N457" i="5"/>
  <c r="Q455" i="5"/>
  <c r="P455" i="5"/>
  <c r="N455" i="5"/>
  <c r="Q454" i="5"/>
  <c r="P454" i="5"/>
  <c r="N454" i="5"/>
  <c r="Q453" i="5"/>
  <c r="P453" i="5"/>
  <c r="N453" i="5"/>
  <c r="Q452" i="5"/>
  <c r="P452" i="5"/>
  <c r="N452" i="5"/>
  <c r="P451" i="5"/>
  <c r="N451" i="5"/>
  <c r="Q450" i="5"/>
  <c r="P450" i="5"/>
  <c r="N450" i="5"/>
  <c r="Q449" i="5"/>
  <c r="P449" i="5"/>
  <c r="N449" i="5"/>
  <c r="Q448" i="5"/>
  <c r="P448" i="5"/>
  <c r="N448" i="5"/>
  <c r="Q447" i="5"/>
  <c r="P447" i="5"/>
  <c r="N447" i="5"/>
  <c r="Q446" i="5"/>
  <c r="P446" i="5"/>
  <c r="N446" i="5"/>
  <c r="A446" i="5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P445" i="5"/>
  <c r="N445" i="5"/>
  <c r="L443" i="5"/>
  <c r="O442" i="5"/>
  <c r="L442" i="5"/>
  <c r="O441" i="5"/>
  <c r="L441" i="5"/>
  <c r="P440" i="5"/>
  <c r="N440" i="5"/>
  <c r="Q439" i="5"/>
  <c r="P439" i="5"/>
  <c r="N439" i="5"/>
  <c r="Q438" i="5"/>
  <c r="P438" i="5"/>
  <c r="N438" i="5"/>
  <c r="Q437" i="5"/>
  <c r="P437" i="5"/>
  <c r="N437" i="5"/>
  <c r="Q436" i="5"/>
  <c r="P436" i="5"/>
  <c r="N436" i="5"/>
  <c r="Q435" i="5"/>
  <c r="P435" i="5"/>
  <c r="N435" i="5"/>
  <c r="Q433" i="5"/>
  <c r="P433" i="5"/>
  <c r="N433" i="5"/>
  <c r="Q430" i="5"/>
  <c r="P430" i="5"/>
  <c r="N430" i="5"/>
  <c r="Q429" i="5"/>
  <c r="P429" i="5"/>
  <c r="N429" i="5"/>
  <c r="Q428" i="5"/>
  <c r="P428" i="5"/>
  <c r="N428" i="5"/>
  <c r="Q427" i="5"/>
  <c r="P427" i="5"/>
  <c r="N427" i="5"/>
  <c r="Q426" i="5"/>
  <c r="P426" i="5"/>
  <c r="N426" i="5"/>
  <c r="Q425" i="5"/>
  <c r="P425" i="5"/>
  <c r="N425" i="5"/>
  <c r="Q424" i="5"/>
  <c r="P424" i="5"/>
  <c r="N424" i="5"/>
  <c r="Q423" i="5"/>
  <c r="P423" i="5"/>
  <c r="N423" i="5"/>
  <c r="Q422" i="5"/>
  <c r="P422" i="5"/>
  <c r="N422" i="5"/>
  <c r="Q421" i="5"/>
  <c r="P421" i="5"/>
  <c r="N421" i="5"/>
  <c r="Q420" i="5"/>
  <c r="P420" i="5"/>
  <c r="N420" i="5"/>
  <c r="Q419" i="5"/>
  <c r="P419" i="5"/>
  <c r="N419" i="5"/>
  <c r="Q418" i="5"/>
  <c r="P418" i="5"/>
  <c r="N418" i="5"/>
  <c r="Q417" i="5"/>
  <c r="P417" i="5"/>
  <c r="N417" i="5"/>
  <c r="Q416" i="5"/>
  <c r="P416" i="5"/>
  <c r="N416" i="5"/>
  <c r="Q415" i="5"/>
  <c r="P415" i="5"/>
  <c r="N415" i="5"/>
  <c r="Q414" i="5"/>
  <c r="P414" i="5"/>
  <c r="N414" i="5"/>
  <c r="P413" i="5"/>
  <c r="N413" i="5"/>
  <c r="P412" i="5"/>
  <c r="N412" i="5"/>
  <c r="A412" i="5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Q411" i="5"/>
  <c r="P411" i="5"/>
  <c r="N411" i="5"/>
  <c r="L409" i="5"/>
  <c r="O408" i="5"/>
  <c r="L408" i="5"/>
  <c r="O407" i="5"/>
  <c r="L407" i="5"/>
  <c r="Q406" i="5"/>
  <c r="P406" i="5"/>
  <c r="N406" i="5"/>
  <c r="Q404" i="5"/>
  <c r="P404" i="5"/>
  <c r="N404" i="5"/>
  <c r="P403" i="5"/>
  <c r="N403" i="5"/>
  <c r="Q402" i="5"/>
  <c r="P402" i="5"/>
  <c r="N402" i="5"/>
  <c r="P401" i="5"/>
  <c r="N401" i="5"/>
  <c r="Q398" i="5"/>
  <c r="P398" i="5"/>
  <c r="N398" i="5"/>
  <c r="Q396" i="5"/>
  <c r="P396" i="5"/>
  <c r="N396" i="5"/>
  <c r="P393" i="5"/>
  <c r="N393" i="5"/>
  <c r="Q392" i="5"/>
  <c r="P392" i="5"/>
  <c r="N392" i="5"/>
  <c r="P391" i="5"/>
  <c r="N391" i="5"/>
  <c r="Q390" i="5"/>
  <c r="P390" i="5"/>
  <c r="N390" i="5"/>
  <c r="Q389" i="5"/>
  <c r="P389" i="5"/>
  <c r="N389" i="5"/>
  <c r="Q388" i="5"/>
  <c r="P388" i="5"/>
  <c r="N388" i="5"/>
  <c r="P387" i="5"/>
  <c r="N387" i="5"/>
  <c r="Q386" i="5"/>
  <c r="P386" i="5"/>
  <c r="N386" i="5"/>
  <c r="Q385" i="5"/>
  <c r="P385" i="5"/>
  <c r="N385" i="5"/>
  <c r="Q384" i="5"/>
  <c r="P384" i="5"/>
  <c r="N384" i="5"/>
  <c r="Q383" i="5"/>
  <c r="P383" i="5"/>
  <c r="N383" i="5"/>
  <c r="P382" i="5"/>
  <c r="N382" i="5"/>
  <c r="Q381" i="5"/>
  <c r="P381" i="5"/>
  <c r="N381" i="5"/>
  <c r="Q380" i="5"/>
  <c r="P380" i="5"/>
  <c r="N380" i="5"/>
  <c r="Q379" i="5"/>
  <c r="P379" i="5"/>
  <c r="N379" i="5"/>
  <c r="Q378" i="5"/>
  <c r="P378" i="5"/>
  <c r="N378" i="5"/>
  <c r="A378" i="5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Q377" i="5"/>
  <c r="P377" i="5"/>
  <c r="N377" i="5"/>
  <c r="L375" i="5"/>
  <c r="O374" i="5"/>
  <c r="L374" i="5"/>
  <c r="O373" i="5"/>
  <c r="L373" i="5"/>
  <c r="Q367" i="5"/>
  <c r="P367" i="5"/>
  <c r="N367" i="5"/>
  <c r="Q365" i="5"/>
  <c r="P365" i="5"/>
  <c r="N365" i="5"/>
  <c r="Q363" i="5"/>
  <c r="P363" i="5"/>
  <c r="N363" i="5"/>
  <c r="Q361" i="5"/>
  <c r="P361" i="5"/>
  <c r="N361" i="5"/>
  <c r="Q359" i="5"/>
  <c r="P359" i="5"/>
  <c r="N359" i="5"/>
  <c r="P358" i="5"/>
  <c r="N358" i="5"/>
  <c r="Q357" i="5"/>
  <c r="P357" i="5"/>
  <c r="N357" i="5"/>
  <c r="Q355" i="5"/>
  <c r="P355" i="5"/>
  <c r="N355" i="5"/>
  <c r="P353" i="5"/>
  <c r="N353" i="5"/>
  <c r="Q352" i="5"/>
  <c r="P352" i="5"/>
  <c r="N352" i="5"/>
  <c r="Q351" i="5"/>
  <c r="P351" i="5"/>
  <c r="N351" i="5"/>
  <c r="Q349" i="5"/>
  <c r="P349" i="5"/>
  <c r="N349" i="5"/>
  <c r="P348" i="5"/>
  <c r="N348" i="5"/>
  <c r="Q347" i="5"/>
  <c r="P347" i="5"/>
  <c r="N347" i="5"/>
  <c r="Q346" i="5"/>
  <c r="P346" i="5"/>
  <c r="N346" i="5"/>
  <c r="Q345" i="5"/>
  <c r="P345" i="5"/>
  <c r="N345" i="5"/>
  <c r="Q344" i="5"/>
  <c r="P344" i="5"/>
  <c r="N344" i="5"/>
  <c r="A344" i="5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Q343" i="5"/>
  <c r="P343" i="5"/>
  <c r="N343" i="5"/>
  <c r="L341" i="5"/>
  <c r="O340" i="5"/>
  <c r="L340" i="5"/>
  <c r="O339" i="5"/>
  <c r="L339" i="5"/>
  <c r="Q338" i="5"/>
  <c r="P338" i="5"/>
  <c r="N338" i="5"/>
  <c r="Q337" i="5"/>
  <c r="P337" i="5"/>
  <c r="N337" i="5"/>
  <c r="Q336" i="5"/>
  <c r="P336" i="5"/>
  <c r="N336" i="5"/>
  <c r="Q335" i="5"/>
  <c r="P335" i="5"/>
  <c r="N335" i="5"/>
  <c r="Q334" i="5"/>
  <c r="P334" i="5"/>
  <c r="N334" i="5"/>
  <c r="Q333" i="5"/>
  <c r="P333" i="5"/>
  <c r="N333" i="5"/>
  <c r="Q332" i="5"/>
  <c r="P332" i="5"/>
  <c r="N332" i="5"/>
  <c r="Q331" i="5"/>
  <c r="P331" i="5"/>
  <c r="N331" i="5"/>
  <c r="Q330" i="5"/>
  <c r="P330" i="5"/>
  <c r="N330" i="5"/>
  <c r="Q329" i="5"/>
  <c r="P329" i="5"/>
  <c r="N329" i="5"/>
  <c r="Q328" i="5"/>
  <c r="P328" i="5"/>
  <c r="N328" i="5"/>
  <c r="Q327" i="5"/>
  <c r="P327" i="5"/>
  <c r="N327" i="5"/>
  <c r="Q326" i="5"/>
  <c r="P326" i="5"/>
  <c r="N326" i="5"/>
  <c r="Q325" i="5"/>
  <c r="P325" i="5"/>
  <c r="N325" i="5"/>
  <c r="Q324" i="5"/>
  <c r="P324" i="5"/>
  <c r="N324" i="5"/>
  <c r="Q322" i="5"/>
  <c r="P322" i="5"/>
  <c r="N322" i="5"/>
  <c r="Q321" i="5"/>
  <c r="P321" i="5"/>
  <c r="N321" i="5"/>
  <c r="Q320" i="5"/>
  <c r="P320" i="5"/>
  <c r="N320" i="5"/>
  <c r="Q319" i="5"/>
  <c r="P319" i="5"/>
  <c r="N319" i="5"/>
  <c r="Q318" i="5"/>
  <c r="P318" i="5"/>
  <c r="N318" i="5"/>
  <c r="Q317" i="5"/>
  <c r="P317" i="5"/>
  <c r="N317" i="5"/>
  <c r="Q316" i="5"/>
  <c r="P316" i="5"/>
  <c r="N316" i="5"/>
  <c r="Q314" i="5"/>
  <c r="P314" i="5"/>
  <c r="N314" i="5"/>
  <c r="Q313" i="5"/>
  <c r="P313" i="5"/>
  <c r="N313" i="5"/>
  <c r="Q312" i="5"/>
  <c r="P312" i="5"/>
  <c r="N312" i="5"/>
  <c r="P311" i="5"/>
  <c r="N311" i="5"/>
  <c r="Q310" i="5"/>
  <c r="P310" i="5"/>
  <c r="N310" i="5"/>
  <c r="A310" i="5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Q309" i="5"/>
  <c r="P309" i="5"/>
  <c r="N309" i="5"/>
  <c r="L307" i="5"/>
  <c r="O306" i="5"/>
  <c r="L306" i="5"/>
  <c r="O305" i="5"/>
  <c r="L305" i="5"/>
  <c r="Q304" i="5"/>
  <c r="P304" i="5"/>
  <c r="N304" i="5"/>
  <c r="Q303" i="5"/>
  <c r="P303" i="5"/>
  <c r="N303" i="5"/>
  <c r="Q302" i="5"/>
  <c r="P302" i="5"/>
  <c r="N302" i="5"/>
  <c r="Q301" i="5"/>
  <c r="P301" i="5"/>
  <c r="N301" i="5"/>
  <c r="Q300" i="5"/>
  <c r="P300" i="5"/>
  <c r="N300" i="5"/>
  <c r="Q299" i="5"/>
  <c r="P299" i="5"/>
  <c r="N299" i="5"/>
  <c r="Q298" i="5"/>
  <c r="P298" i="5"/>
  <c r="N298" i="5"/>
  <c r="Q297" i="5"/>
  <c r="P297" i="5"/>
  <c r="N297" i="5"/>
  <c r="Q296" i="5"/>
  <c r="P296" i="5"/>
  <c r="N296" i="5"/>
  <c r="Q295" i="5"/>
  <c r="P295" i="5"/>
  <c r="N295" i="5"/>
  <c r="Q293" i="5"/>
  <c r="P293" i="5"/>
  <c r="N293" i="5"/>
  <c r="Q292" i="5"/>
  <c r="P292" i="5"/>
  <c r="N292" i="5"/>
  <c r="Q291" i="5"/>
  <c r="P291" i="5"/>
  <c r="N291" i="5"/>
  <c r="Q290" i="5"/>
  <c r="P290" i="5"/>
  <c r="N290" i="5"/>
  <c r="Q289" i="5"/>
  <c r="P289" i="5"/>
  <c r="N289" i="5"/>
  <c r="Q288" i="5"/>
  <c r="P288" i="5"/>
  <c r="N288" i="5"/>
  <c r="P287" i="5"/>
  <c r="N287" i="5"/>
  <c r="Q286" i="5"/>
  <c r="P286" i="5"/>
  <c r="N286" i="5"/>
  <c r="Q285" i="5"/>
  <c r="P285" i="5"/>
  <c r="N285" i="5"/>
  <c r="Q284" i="5"/>
  <c r="P284" i="5"/>
  <c r="N284" i="5"/>
  <c r="Q283" i="5"/>
  <c r="P283" i="5"/>
  <c r="N283" i="5"/>
  <c r="Q282" i="5"/>
  <c r="P282" i="5"/>
  <c r="N282" i="5"/>
  <c r="Q281" i="5"/>
  <c r="P281" i="5"/>
  <c r="N281" i="5"/>
  <c r="Q280" i="5"/>
  <c r="P280" i="5"/>
  <c r="N280" i="5"/>
  <c r="Q279" i="5"/>
  <c r="P279" i="5"/>
  <c r="N279" i="5"/>
  <c r="P277" i="5"/>
  <c r="N277" i="5"/>
  <c r="Q276" i="5"/>
  <c r="P276" i="5"/>
  <c r="N276" i="5"/>
  <c r="A276" i="5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Q275" i="5"/>
  <c r="P275" i="5"/>
  <c r="N275" i="5"/>
  <c r="L273" i="5"/>
  <c r="O272" i="5"/>
  <c r="L272" i="5"/>
  <c r="O271" i="5"/>
  <c r="L271" i="5"/>
  <c r="Q270" i="5"/>
  <c r="P270" i="5"/>
  <c r="N270" i="5"/>
  <c r="Q269" i="5"/>
  <c r="P269" i="5"/>
  <c r="N269" i="5"/>
  <c r="P268" i="5"/>
  <c r="N268" i="5"/>
  <c r="Q267" i="5"/>
  <c r="P267" i="5"/>
  <c r="N267" i="5"/>
  <c r="P266" i="5"/>
  <c r="N266" i="5"/>
  <c r="Q265" i="5"/>
  <c r="P265" i="5"/>
  <c r="N265" i="5"/>
  <c r="P264" i="5"/>
  <c r="N264" i="5"/>
  <c r="Q263" i="5"/>
  <c r="P263" i="5"/>
  <c r="N263" i="5"/>
  <c r="P262" i="5"/>
  <c r="N262" i="5"/>
  <c r="Q261" i="5"/>
  <c r="P261" i="5"/>
  <c r="N261" i="5"/>
  <c r="P260" i="5"/>
  <c r="N260" i="5"/>
  <c r="Q259" i="5"/>
  <c r="P259" i="5"/>
  <c r="N259" i="5"/>
  <c r="Q258" i="5"/>
  <c r="P258" i="5"/>
  <c r="N258" i="5"/>
  <c r="P257" i="5"/>
  <c r="N257" i="5"/>
  <c r="P256" i="5"/>
  <c r="N256" i="5"/>
  <c r="P255" i="5"/>
  <c r="N255" i="5"/>
  <c r="Q254" i="5"/>
  <c r="P254" i="5"/>
  <c r="N254" i="5"/>
  <c r="P253" i="5"/>
  <c r="N253" i="5"/>
  <c r="P252" i="5"/>
  <c r="N252" i="5"/>
  <c r="Q251" i="5"/>
  <c r="P251" i="5"/>
  <c r="N251" i="5"/>
  <c r="P250" i="5"/>
  <c r="N250" i="5"/>
  <c r="Q249" i="5"/>
  <c r="P249" i="5"/>
  <c r="N249" i="5"/>
  <c r="P248" i="5"/>
  <c r="N248" i="5"/>
  <c r="Q247" i="5"/>
  <c r="P247" i="5"/>
  <c r="N247" i="5"/>
  <c r="P246" i="5"/>
  <c r="N246" i="5"/>
  <c r="P245" i="5"/>
  <c r="N245" i="5"/>
  <c r="Q244" i="5"/>
  <c r="P244" i="5"/>
  <c r="N244" i="5"/>
  <c r="Q243" i="5"/>
  <c r="P243" i="5"/>
  <c r="N243" i="5"/>
  <c r="Q242" i="5"/>
  <c r="P242" i="5"/>
  <c r="N242" i="5"/>
  <c r="A242" i="5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P241" i="5"/>
  <c r="N241" i="5"/>
  <c r="L239" i="5"/>
  <c r="O238" i="5"/>
  <c r="L238" i="5"/>
  <c r="O237" i="5"/>
  <c r="L237" i="5"/>
  <c r="P236" i="5"/>
  <c r="N236" i="5"/>
  <c r="Q235" i="5"/>
  <c r="P235" i="5"/>
  <c r="N235" i="5"/>
  <c r="P234" i="5"/>
  <c r="N234" i="5"/>
  <c r="Q233" i="5"/>
  <c r="P233" i="5"/>
  <c r="N233" i="5"/>
  <c r="Q232" i="5"/>
  <c r="P232" i="5"/>
  <c r="N232" i="5"/>
  <c r="P231" i="5"/>
  <c r="N231" i="5"/>
  <c r="P230" i="5"/>
  <c r="N230" i="5"/>
  <c r="Q229" i="5"/>
  <c r="P229" i="5"/>
  <c r="N229" i="5"/>
  <c r="Q228" i="5"/>
  <c r="P228" i="5"/>
  <c r="N228" i="5"/>
  <c r="Q227" i="5"/>
  <c r="P227" i="5"/>
  <c r="N227" i="5"/>
  <c r="Q226" i="5"/>
  <c r="P226" i="5"/>
  <c r="N226" i="5"/>
  <c r="Q225" i="5"/>
  <c r="P225" i="5"/>
  <c r="N225" i="5"/>
  <c r="P224" i="5"/>
  <c r="N224" i="5"/>
  <c r="Q223" i="5"/>
  <c r="P223" i="5"/>
  <c r="N223" i="5"/>
  <c r="P222" i="5"/>
  <c r="N222" i="5"/>
  <c r="Q221" i="5"/>
  <c r="P221" i="5"/>
  <c r="N221" i="5"/>
  <c r="P220" i="5"/>
  <c r="N220" i="5"/>
  <c r="P219" i="5"/>
  <c r="N219" i="5"/>
  <c r="P218" i="5"/>
  <c r="N218" i="5"/>
  <c r="Q217" i="5"/>
  <c r="P217" i="5"/>
  <c r="N217" i="5"/>
  <c r="Q216" i="5"/>
  <c r="P216" i="5"/>
  <c r="N216" i="5"/>
  <c r="Q215" i="5"/>
  <c r="P215" i="5"/>
  <c r="N215" i="5"/>
  <c r="Q214" i="5"/>
  <c r="P214" i="5"/>
  <c r="N214" i="5"/>
  <c r="Q213" i="5"/>
  <c r="P213" i="5"/>
  <c r="N213" i="5"/>
  <c r="Q212" i="5"/>
  <c r="P212" i="5"/>
  <c r="N212" i="5"/>
  <c r="P211" i="5"/>
  <c r="N211" i="5"/>
  <c r="Q210" i="5"/>
  <c r="P210" i="5"/>
  <c r="N210" i="5"/>
  <c r="P209" i="5"/>
  <c r="N209" i="5"/>
  <c r="Q208" i="5"/>
  <c r="P208" i="5"/>
  <c r="N208" i="5"/>
  <c r="A208" i="5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Q207" i="5"/>
  <c r="P207" i="5"/>
  <c r="N207" i="5"/>
  <c r="L205" i="5"/>
  <c r="O204" i="5"/>
  <c r="L204" i="5"/>
  <c r="O203" i="5"/>
  <c r="L203" i="5"/>
  <c r="Q202" i="5"/>
  <c r="P202" i="5"/>
  <c r="N202" i="5"/>
  <c r="Q201" i="5"/>
  <c r="P201" i="5"/>
  <c r="N201" i="5"/>
  <c r="Q200" i="5"/>
  <c r="P200" i="5"/>
  <c r="N200" i="5"/>
  <c r="P199" i="5"/>
  <c r="N199" i="5"/>
  <c r="Q198" i="5"/>
  <c r="P198" i="5"/>
  <c r="N198" i="5"/>
  <c r="Q197" i="5"/>
  <c r="P197" i="5"/>
  <c r="N197" i="5"/>
  <c r="Q196" i="5"/>
  <c r="P196" i="5"/>
  <c r="N196" i="5"/>
  <c r="Q195" i="5"/>
  <c r="P195" i="5"/>
  <c r="N195" i="5"/>
  <c r="Q194" i="5"/>
  <c r="P194" i="5"/>
  <c r="N194" i="5"/>
  <c r="Q193" i="5"/>
  <c r="P193" i="5"/>
  <c r="N193" i="5"/>
  <c r="Q192" i="5"/>
  <c r="P192" i="5"/>
  <c r="N192" i="5"/>
  <c r="Q191" i="5"/>
  <c r="P191" i="5"/>
  <c r="N191" i="5"/>
  <c r="Q190" i="5"/>
  <c r="P190" i="5"/>
  <c r="N190" i="5"/>
  <c r="Q189" i="5"/>
  <c r="P189" i="5"/>
  <c r="N189" i="5"/>
  <c r="P188" i="5"/>
  <c r="N188" i="5"/>
  <c r="Q187" i="5"/>
  <c r="P187" i="5"/>
  <c r="N187" i="5"/>
  <c r="Q186" i="5"/>
  <c r="P186" i="5"/>
  <c r="N186" i="5"/>
  <c r="Q185" i="5"/>
  <c r="P185" i="5"/>
  <c r="N185" i="5"/>
  <c r="Q184" i="5"/>
  <c r="P184" i="5"/>
  <c r="N184" i="5"/>
  <c r="Q183" i="5"/>
  <c r="P183" i="5"/>
  <c r="N183" i="5"/>
  <c r="Q182" i="5"/>
  <c r="P182" i="5"/>
  <c r="N182" i="5"/>
  <c r="Q181" i="5"/>
  <c r="P181" i="5"/>
  <c r="N181" i="5"/>
  <c r="Q180" i="5"/>
  <c r="P180" i="5"/>
  <c r="N180" i="5"/>
  <c r="Q179" i="5"/>
  <c r="P179" i="5"/>
  <c r="N179" i="5"/>
  <c r="Q178" i="5"/>
  <c r="P178" i="5"/>
  <c r="N178" i="5"/>
  <c r="P177" i="5"/>
  <c r="N177" i="5"/>
  <c r="Q176" i="5"/>
  <c r="P176" i="5"/>
  <c r="N176" i="5"/>
  <c r="Q175" i="5"/>
  <c r="P175" i="5"/>
  <c r="N175" i="5"/>
  <c r="Q174" i="5"/>
  <c r="P174" i="5"/>
  <c r="N174" i="5"/>
  <c r="A174" i="5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Q173" i="5"/>
  <c r="P173" i="5"/>
  <c r="N173" i="5"/>
  <c r="L171" i="5"/>
  <c r="O170" i="5"/>
  <c r="L170" i="5"/>
  <c r="O169" i="5"/>
  <c r="L169" i="5"/>
  <c r="Q168" i="5"/>
  <c r="P168" i="5"/>
  <c r="N168" i="5"/>
  <c r="Q167" i="5"/>
  <c r="P167" i="5"/>
  <c r="N167" i="5"/>
  <c r="P166" i="5"/>
  <c r="N166" i="5"/>
  <c r="Q165" i="5"/>
  <c r="P165" i="5"/>
  <c r="N165" i="5"/>
  <c r="P164" i="5"/>
  <c r="N164" i="5"/>
  <c r="Q163" i="5"/>
  <c r="P163" i="5"/>
  <c r="N163" i="5"/>
  <c r="P162" i="5"/>
  <c r="N162" i="5"/>
  <c r="Q161" i="5"/>
  <c r="P161" i="5"/>
  <c r="N161" i="5"/>
  <c r="Q160" i="5"/>
  <c r="P160" i="5"/>
  <c r="N160" i="5"/>
  <c r="Q159" i="5"/>
  <c r="P159" i="5"/>
  <c r="N159" i="5"/>
  <c r="Q158" i="5"/>
  <c r="P158" i="5"/>
  <c r="N158" i="5"/>
  <c r="Q157" i="5"/>
  <c r="P157" i="5"/>
  <c r="N157" i="5"/>
  <c r="P156" i="5"/>
  <c r="N156" i="5"/>
  <c r="Q155" i="5"/>
  <c r="P155" i="5"/>
  <c r="N155" i="5"/>
  <c r="P154" i="5"/>
  <c r="N154" i="5"/>
  <c r="Q153" i="5"/>
  <c r="P153" i="5"/>
  <c r="N153" i="5"/>
  <c r="P152" i="5"/>
  <c r="N152" i="5"/>
  <c r="P151" i="5"/>
  <c r="N151" i="5"/>
  <c r="Q150" i="5"/>
  <c r="P150" i="5"/>
  <c r="N150" i="5"/>
  <c r="Q149" i="5"/>
  <c r="P149" i="5"/>
  <c r="N149" i="5"/>
  <c r="P148" i="5"/>
  <c r="N148" i="5"/>
  <c r="Q147" i="5"/>
  <c r="P147" i="5"/>
  <c r="N147" i="5"/>
  <c r="P146" i="5"/>
  <c r="N146" i="5"/>
  <c r="Q145" i="5"/>
  <c r="P145" i="5"/>
  <c r="N145" i="5"/>
  <c r="Q144" i="5"/>
  <c r="P144" i="5"/>
  <c r="N144" i="5"/>
  <c r="Q143" i="5"/>
  <c r="P143" i="5"/>
  <c r="N143" i="5"/>
  <c r="Q142" i="5"/>
  <c r="P142" i="5"/>
  <c r="N142" i="5"/>
  <c r="Q141" i="5"/>
  <c r="P141" i="5"/>
  <c r="N141" i="5"/>
  <c r="Q140" i="5"/>
  <c r="P140" i="5"/>
  <c r="N140" i="5"/>
  <c r="A140" i="5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Q139" i="5"/>
  <c r="P139" i="5"/>
  <c r="N139" i="5"/>
  <c r="L137" i="5"/>
  <c r="O136" i="5"/>
  <c r="L136" i="5"/>
  <c r="O135" i="5"/>
  <c r="L135" i="5"/>
  <c r="Q134" i="5"/>
  <c r="P134" i="5"/>
  <c r="N134" i="5"/>
  <c r="Q133" i="5"/>
  <c r="P133" i="5"/>
  <c r="N133" i="5"/>
  <c r="Q132" i="5"/>
  <c r="P132" i="5"/>
  <c r="N132" i="5"/>
  <c r="Q131" i="5"/>
  <c r="P131" i="5"/>
  <c r="N131" i="5"/>
  <c r="Q130" i="5"/>
  <c r="P130" i="5"/>
  <c r="N130" i="5"/>
  <c r="Q129" i="5"/>
  <c r="P129" i="5"/>
  <c r="N129" i="5"/>
  <c r="Q128" i="5"/>
  <c r="P128" i="5"/>
  <c r="N128" i="5"/>
  <c r="Q127" i="5"/>
  <c r="P127" i="5"/>
  <c r="N127" i="5"/>
  <c r="P126" i="5"/>
  <c r="N126" i="5"/>
  <c r="Q125" i="5"/>
  <c r="P125" i="5"/>
  <c r="N125" i="5"/>
  <c r="Q124" i="5"/>
  <c r="P124" i="5"/>
  <c r="N124" i="5"/>
  <c r="Q123" i="5"/>
  <c r="P123" i="5"/>
  <c r="N123" i="5"/>
  <c r="Q122" i="5"/>
  <c r="P122" i="5"/>
  <c r="N122" i="5"/>
  <c r="Q121" i="5"/>
  <c r="P121" i="5"/>
  <c r="N121" i="5"/>
  <c r="Q120" i="5"/>
  <c r="P120" i="5"/>
  <c r="N120" i="5"/>
  <c r="Q119" i="5"/>
  <c r="P119" i="5"/>
  <c r="N119" i="5"/>
  <c r="Q117" i="5"/>
  <c r="P117" i="5"/>
  <c r="N117" i="5"/>
  <c r="Q116" i="5"/>
  <c r="P116" i="5"/>
  <c r="N116" i="5"/>
  <c r="Q115" i="5"/>
  <c r="P115" i="5"/>
  <c r="N115" i="5"/>
  <c r="P114" i="5"/>
  <c r="N114" i="5"/>
  <c r="Q113" i="5"/>
  <c r="P113" i="5"/>
  <c r="N113" i="5"/>
  <c r="Q112" i="5"/>
  <c r="P112" i="5"/>
  <c r="N112" i="5"/>
  <c r="P111" i="5"/>
  <c r="N111" i="5"/>
  <c r="Q110" i="5"/>
  <c r="P110" i="5"/>
  <c r="N110" i="5"/>
  <c r="Q109" i="5"/>
  <c r="P109" i="5"/>
  <c r="N109" i="5"/>
  <c r="Q108" i="5"/>
  <c r="P108" i="5"/>
  <c r="N108" i="5"/>
  <c r="Q107" i="5"/>
  <c r="P107" i="5"/>
  <c r="N107" i="5"/>
  <c r="Q106" i="5"/>
  <c r="P106" i="5"/>
  <c r="N106" i="5"/>
  <c r="A106" i="5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P105" i="5"/>
  <c r="N105" i="5"/>
  <c r="L103" i="5"/>
  <c r="O102" i="5"/>
  <c r="L102" i="5"/>
  <c r="O101" i="5"/>
  <c r="L101" i="5"/>
  <c r="P100" i="5"/>
  <c r="N100" i="5"/>
  <c r="Q99" i="5"/>
  <c r="P99" i="5"/>
  <c r="N99" i="5"/>
  <c r="Q98" i="5"/>
  <c r="P98" i="5"/>
  <c r="N98" i="5"/>
  <c r="Q97" i="5"/>
  <c r="P97" i="5"/>
  <c r="N97" i="5"/>
  <c r="Q96" i="5"/>
  <c r="P96" i="5"/>
  <c r="N96" i="5"/>
  <c r="Q95" i="5"/>
  <c r="P95" i="5"/>
  <c r="N95" i="5"/>
  <c r="Q94" i="5"/>
  <c r="P94" i="5"/>
  <c r="N94" i="5"/>
  <c r="Q93" i="5"/>
  <c r="P93" i="5"/>
  <c r="N93" i="5"/>
  <c r="Q92" i="5"/>
  <c r="P92" i="5"/>
  <c r="N92" i="5"/>
  <c r="Q91" i="5"/>
  <c r="P91" i="5"/>
  <c r="N91" i="5"/>
  <c r="Q90" i="5"/>
  <c r="P90" i="5"/>
  <c r="N90" i="5"/>
  <c r="Q89" i="5"/>
  <c r="P89" i="5"/>
  <c r="N89" i="5"/>
  <c r="Q88" i="5"/>
  <c r="P88" i="5"/>
  <c r="N88" i="5"/>
  <c r="Q87" i="5"/>
  <c r="P87" i="5"/>
  <c r="N87" i="5"/>
  <c r="Q86" i="5"/>
  <c r="P86" i="5"/>
  <c r="N86" i="5"/>
  <c r="Q85" i="5"/>
  <c r="P85" i="5"/>
  <c r="N85" i="5"/>
  <c r="P84" i="5"/>
  <c r="N84" i="5"/>
  <c r="Q83" i="5"/>
  <c r="P83" i="5"/>
  <c r="N83" i="5"/>
  <c r="Q82" i="5"/>
  <c r="P82" i="5"/>
  <c r="N82" i="5"/>
  <c r="Q81" i="5"/>
  <c r="P81" i="5"/>
  <c r="N81" i="5"/>
  <c r="Q80" i="5"/>
  <c r="P80" i="5"/>
  <c r="N80" i="5"/>
  <c r="P79" i="5"/>
  <c r="N79" i="5"/>
  <c r="Q78" i="5"/>
  <c r="P78" i="5"/>
  <c r="N78" i="5"/>
  <c r="Q77" i="5"/>
  <c r="P77" i="5"/>
  <c r="N77" i="5"/>
  <c r="Q76" i="5"/>
  <c r="P76" i="5"/>
  <c r="N76" i="5"/>
  <c r="Q75" i="5"/>
  <c r="P75" i="5"/>
  <c r="N75" i="5"/>
  <c r="Q74" i="5"/>
  <c r="P74" i="5"/>
  <c r="N74" i="5"/>
  <c r="Q73" i="5"/>
  <c r="P73" i="5"/>
  <c r="N73" i="5"/>
  <c r="Q72" i="5"/>
  <c r="P72" i="5"/>
  <c r="N72" i="5"/>
  <c r="A72" i="5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Q71" i="5"/>
  <c r="P71" i="5"/>
  <c r="N71" i="5"/>
  <c r="L69" i="5"/>
  <c r="O68" i="5"/>
  <c r="L68" i="5"/>
  <c r="O67" i="5"/>
  <c r="L67" i="5"/>
  <c r="Q66" i="5"/>
  <c r="P66" i="5"/>
  <c r="N66" i="5"/>
  <c r="Q65" i="5"/>
  <c r="P65" i="5"/>
  <c r="N65" i="5"/>
  <c r="Q64" i="5"/>
  <c r="P64" i="5"/>
  <c r="N64" i="5"/>
  <c r="Q63" i="5"/>
  <c r="P63" i="5"/>
  <c r="N63" i="5"/>
  <c r="P62" i="5"/>
  <c r="N62" i="5"/>
  <c r="Q61" i="5"/>
  <c r="P61" i="5"/>
  <c r="N61" i="5"/>
  <c r="P60" i="5"/>
  <c r="N60" i="5"/>
  <c r="Q59" i="5"/>
  <c r="P59" i="5"/>
  <c r="N59" i="5"/>
  <c r="P58" i="5"/>
  <c r="N58" i="5"/>
  <c r="P57" i="5"/>
  <c r="N57" i="5"/>
  <c r="Q56" i="5"/>
  <c r="P56" i="5"/>
  <c r="N56" i="5"/>
  <c r="Q55" i="5"/>
  <c r="P55" i="5"/>
  <c r="N55" i="5"/>
  <c r="P54" i="5"/>
  <c r="N54" i="5"/>
  <c r="Q53" i="5"/>
  <c r="P53" i="5"/>
  <c r="N53" i="5"/>
  <c r="Q52" i="5"/>
  <c r="P52" i="5"/>
  <c r="N52" i="5"/>
  <c r="Q51" i="5"/>
  <c r="P51" i="5"/>
  <c r="N51" i="5"/>
  <c r="Q49" i="5"/>
  <c r="P49" i="5"/>
  <c r="N49" i="5"/>
  <c r="Q48" i="5"/>
  <c r="P48" i="5"/>
  <c r="N48" i="5"/>
  <c r="Q47" i="5"/>
  <c r="P47" i="5"/>
  <c r="N47" i="5"/>
  <c r="Q46" i="5"/>
  <c r="P46" i="5"/>
  <c r="N46" i="5"/>
  <c r="Q45" i="5"/>
  <c r="P45" i="5"/>
  <c r="N45" i="5"/>
  <c r="P44" i="5"/>
  <c r="N44" i="5"/>
  <c r="Q43" i="5"/>
  <c r="P43" i="5"/>
  <c r="N43" i="5"/>
  <c r="Q42" i="5"/>
  <c r="P42" i="5"/>
  <c r="N42" i="5"/>
  <c r="Q41" i="5"/>
  <c r="P41" i="5"/>
  <c r="N41" i="5"/>
  <c r="Q40" i="5"/>
  <c r="P40" i="5"/>
  <c r="N40" i="5"/>
  <c r="Q39" i="5"/>
  <c r="P39" i="5"/>
  <c r="N39" i="5"/>
  <c r="P38" i="5"/>
  <c r="N38" i="5"/>
  <c r="A38" i="5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P37" i="5"/>
  <c r="N37" i="5"/>
  <c r="L35" i="5"/>
  <c r="O34" i="5"/>
  <c r="L34" i="5"/>
  <c r="O33" i="5"/>
  <c r="L33" i="5"/>
  <c r="Q32" i="5"/>
  <c r="P32" i="5"/>
  <c r="N32" i="5"/>
  <c r="Q31" i="5"/>
  <c r="P31" i="5"/>
  <c r="N31" i="5"/>
  <c r="Q30" i="5"/>
  <c r="P30" i="5"/>
  <c r="N30" i="5"/>
  <c r="Q29" i="5"/>
  <c r="P29" i="5"/>
  <c r="N29" i="5"/>
  <c r="Q28" i="5"/>
  <c r="P28" i="5"/>
  <c r="N28" i="5"/>
  <c r="Q27" i="5"/>
  <c r="P27" i="5"/>
  <c r="N27" i="5"/>
  <c r="Q26" i="5"/>
  <c r="P26" i="5"/>
  <c r="N26" i="5"/>
  <c r="Q25" i="5"/>
  <c r="P25" i="5"/>
  <c r="N25" i="5"/>
  <c r="Q24" i="5"/>
  <c r="P24" i="5"/>
  <c r="N24" i="5"/>
  <c r="Q23" i="5"/>
  <c r="P23" i="5"/>
  <c r="N23" i="5"/>
  <c r="Q22" i="5"/>
  <c r="P22" i="5"/>
  <c r="N22" i="5"/>
  <c r="Q21" i="5"/>
  <c r="P21" i="5"/>
  <c r="N21" i="5"/>
  <c r="Q20" i="5"/>
  <c r="P20" i="5"/>
  <c r="N20" i="5"/>
  <c r="Q19" i="5"/>
  <c r="P19" i="5"/>
  <c r="N19" i="5"/>
  <c r="Q18" i="5"/>
  <c r="P18" i="5"/>
  <c r="N18" i="5"/>
  <c r="Q17" i="5"/>
  <c r="P17" i="5"/>
  <c r="N17" i="5"/>
  <c r="Q16" i="5"/>
  <c r="P16" i="5"/>
  <c r="N16" i="5"/>
  <c r="Q15" i="5"/>
  <c r="P15" i="5"/>
  <c r="N15" i="5"/>
  <c r="Q14" i="5"/>
  <c r="P14" i="5"/>
  <c r="N14" i="5"/>
  <c r="Q13" i="5"/>
  <c r="P13" i="5"/>
  <c r="N13" i="5"/>
  <c r="Q12" i="5"/>
  <c r="P12" i="5"/>
  <c r="N12" i="5"/>
  <c r="P10" i="5"/>
  <c r="N10" i="5"/>
  <c r="Q8" i="5"/>
  <c r="P8" i="5"/>
  <c r="N8" i="5"/>
  <c r="Q7" i="5"/>
  <c r="P7" i="5"/>
  <c r="N7" i="5"/>
  <c r="Q6" i="5"/>
  <c r="P6" i="5"/>
  <c r="N6" i="5"/>
  <c r="Q5" i="5"/>
  <c r="P5" i="5"/>
  <c r="N5" i="5"/>
  <c r="Q4" i="5"/>
  <c r="P4" i="5"/>
  <c r="N4" i="5"/>
  <c r="A4" i="5"/>
  <c r="A5" i="5" s="1"/>
  <c r="A6" i="5" s="1"/>
  <c r="A7" i="5" s="1"/>
  <c r="A8" i="5" s="1"/>
  <c r="A9" i="5" s="1"/>
  <c r="A10" i="5" s="1"/>
  <c r="A11" i="5" s="1"/>
  <c r="A12" i="5" s="1"/>
  <c r="A13" i="5" s="1"/>
  <c r="Q3" i="5"/>
  <c r="P3" i="5"/>
  <c r="N3" i="5"/>
  <c r="P1161" i="1"/>
  <c r="P1159" i="1"/>
  <c r="A40" i="2"/>
  <c r="A39" i="2"/>
  <c r="A38" i="2"/>
  <c r="A37" i="2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L1191" i="1"/>
  <c r="O1190" i="1"/>
  <c r="L1190" i="1"/>
  <c r="O1189" i="1"/>
  <c r="L1189" i="1"/>
  <c r="Q1188" i="1"/>
  <c r="P1188" i="1"/>
  <c r="N1188" i="1"/>
  <c r="M1188" i="1"/>
  <c r="Q1187" i="1"/>
  <c r="P1187" i="1"/>
  <c r="N1187" i="1"/>
  <c r="M1187" i="1"/>
  <c r="N1186" i="1"/>
  <c r="M1186" i="1"/>
  <c r="N1185" i="1"/>
  <c r="M1185" i="1"/>
  <c r="N1184" i="1"/>
  <c r="M1184" i="1"/>
  <c r="N1183" i="1"/>
  <c r="M1183" i="1"/>
  <c r="N1182" i="1"/>
  <c r="M1182" i="1"/>
  <c r="N1181" i="1"/>
  <c r="M1181" i="1"/>
  <c r="N1180" i="1"/>
  <c r="M1180" i="1"/>
  <c r="N1179" i="1"/>
  <c r="M1179" i="1"/>
  <c r="N1178" i="1"/>
  <c r="M1178" i="1"/>
  <c r="N1177" i="1"/>
  <c r="M1177" i="1"/>
  <c r="Q1176" i="1"/>
  <c r="P1176" i="1"/>
  <c r="N1176" i="1"/>
  <c r="M1176" i="1"/>
  <c r="Q1175" i="1"/>
  <c r="P1175" i="1"/>
  <c r="N1175" i="1"/>
  <c r="M1175" i="1"/>
  <c r="Q1174" i="1"/>
  <c r="P1174" i="1"/>
  <c r="N1174" i="1"/>
  <c r="M1174" i="1"/>
  <c r="Q1173" i="1"/>
  <c r="P1173" i="1"/>
  <c r="N1173" i="1"/>
  <c r="M1173" i="1"/>
  <c r="Q1172" i="1"/>
  <c r="P1172" i="1"/>
  <c r="N1172" i="1"/>
  <c r="M1172" i="1"/>
  <c r="N1171" i="1"/>
  <c r="M1171" i="1"/>
  <c r="N1170" i="1"/>
  <c r="M1170" i="1"/>
  <c r="N1169" i="1"/>
  <c r="M1169" i="1"/>
  <c r="N1168" i="1"/>
  <c r="M1168" i="1"/>
  <c r="N1167" i="1"/>
  <c r="M1167" i="1"/>
  <c r="N1166" i="1"/>
  <c r="M1166" i="1"/>
  <c r="N1165" i="1"/>
  <c r="M1165" i="1"/>
  <c r="N1164" i="1"/>
  <c r="M1164" i="1"/>
  <c r="N1163" i="1"/>
  <c r="M1163" i="1"/>
  <c r="N1162" i="1"/>
  <c r="M1162" i="1"/>
  <c r="N1161" i="1"/>
  <c r="M1161" i="1"/>
  <c r="Q1160" i="1"/>
  <c r="P1160" i="1"/>
  <c r="N1160" i="1"/>
  <c r="M1160" i="1"/>
  <c r="A1160" i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N1159" i="1"/>
  <c r="M1159" i="1"/>
  <c r="P1120" i="1"/>
  <c r="P1119" i="1"/>
  <c r="P1118" i="1"/>
  <c r="P1117" i="1"/>
  <c r="P1116" i="1"/>
  <c r="P1115" i="1"/>
  <c r="P1114" i="1"/>
  <c r="P1113" i="1"/>
  <c r="P1112" i="1"/>
  <c r="P1110" i="1"/>
  <c r="P1108" i="1"/>
  <c r="P1107" i="1"/>
  <c r="P1106" i="1"/>
  <c r="P1105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48" i="1"/>
  <c r="P1044" i="1"/>
  <c r="P1039" i="1"/>
  <c r="P1036" i="1"/>
  <c r="P1034" i="1"/>
  <c r="P1032" i="1"/>
  <c r="P1029" i="1"/>
  <c r="P1028" i="1"/>
  <c r="P1023" i="1"/>
  <c r="P1008" i="1"/>
  <c r="P1002" i="1"/>
  <c r="P1001" i="1"/>
  <c r="P997" i="1"/>
  <c r="P990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6" i="1"/>
  <c r="P1065" i="1"/>
  <c r="P1064" i="1"/>
  <c r="P1057" i="1"/>
  <c r="P1130" i="1"/>
  <c r="P1152" i="1"/>
  <c r="P1148" i="1"/>
  <c r="P1146" i="1"/>
  <c r="P1144" i="1"/>
  <c r="P1134" i="1"/>
  <c r="E26" i="6"/>
  <c r="B23" i="6"/>
  <c r="B29" i="6"/>
  <c r="B11" i="6"/>
  <c r="E18" i="6"/>
  <c r="B15" i="6"/>
  <c r="B21" i="6"/>
  <c r="E17" i="6"/>
  <c r="B32" i="6"/>
  <c r="B8" i="6"/>
  <c r="B16" i="6"/>
  <c r="E32" i="6"/>
  <c r="B10" i="2"/>
  <c r="E36" i="6"/>
  <c r="E10" i="6"/>
  <c r="E5" i="6"/>
  <c r="B13" i="6"/>
  <c r="B30" i="6"/>
  <c r="E25" i="6"/>
  <c r="E28" i="6"/>
  <c r="B7" i="6"/>
  <c r="E37" i="6"/>
  <c r="E3" i="6"/>
  <c r="E4" i="6"/>
  <c r="E20" i="6"/>
  <c r="E35" i="6"/>
  <c r="E29" i="6"/>
  <c r="E19" i="6"/>
  <c r="E9" i="6"/>
  <c r="E12" i="6"/>
  <c r="E27" i="6"/>
  <c r="E21" i="6"/>
  <c r="E11" i="6"/>
  <c r="B27" i="6"/>
  <c r="B9" i="6"/>
  <c r="E13" i="6"/>
  <c r="B33" i="6"/>
  <c r="B24" i="6"/>
  <c r="B34" i="6"/>
  <c r="E22" i="6"/>
  <c r="B25" i="6"/>
  <c r="B26" i="6"/>
  <c r="B3" i="6"/>
  <c r="B17" i="6"/>
  <c r="E6" i="6"/>
  <c r="B18" i="6"/>
  <c r="B22" i="6"/>
  <c r="E7" i="6"/>
  <c r="E30" i="6"/>
  <c r="E8" i="6"/>
  <c r="B35" i="6"/>
  <c r="E31" i="6"/>
  <c r="B36" i="6"/>
  <c r="E14" i="6"/>
  <c r="E23" i="6"/>
  <c r="B28" i="6"/>
  <c r="E24" i="6"/>
  <c r="B14" i="6"/>
  <c r="E15" i="6"/>
  <c r="B20" i="6"/>
  <c r="E16" i="6"/>
  <c r="E33" i="6"/>
  <c r="B4" i="6"/>
  <c r="B12" i="6"/>
  <c r="B19" i="6"/>
  <c r="E34" i="6"/>
  <c r="B31" i="6"/>
  <c r="B37" i="6"/>
  <c r="B6" i="6"/>
  <c r="B5" i="6"/>
  <c r="G27" i="8" l="1"/>
  <c r="G12" i="8"/>
  <c r="G36" i="8"/>
  <c r="H27" i="8"/>
  <c r="H12" i="8"/>
  <c r="H36" i="8"/>
  <c r="K43" i="8"/>
  <c r="K35" i="8"/>
  <c r="K27" i="8"/>
  <c r="K19" i="8"/>
  <c r="K11" i="8"/>
  <c r="K37" i="8"/>
  <c r="K29" i="8"/>
  <c r="K21" i="8"/>
  <c r="K13" i="8"/>
  <c r="K38" i="8"/>
  <c r="K32" i="8"/>
  <c r="K26" i="8"/>
  <c r="K30" i="8"/>
  <c r="K24" i="8"/>
  <c r="K18" i="8"/>
  <c r="K34" i="8"/>
  <c r="K15" i="8"/>
  <c r="K28" i="8"/>
  <c r="K17" i="8"/>
  <c r="K39" i="8"/>
  <c r="K22" i="8"/>
  <c r="K9" i="8"/>
  <c r="K7" i="8"/>
  <c r="K41" i="8"/>
  <c r="L5" i="8"/>
  <c r="K8" i="8"/>
  <c r="K6" i="8"/>
  <c r="K16" i="8"/>
  <c r="K42" i="8"/>
  <c r="K33" i="8"/>
  <c r="K36" i="8"/>
  <c r="K10" i="8"/>
  <c r="K40" i="8"/>
  <c r="K20" i="8"/>
  <c r="K23" i="8"/>
  <c r="K14" i="8"/>
  <c r="K25" i="8"/>
  <c r="K12" i="8"/>
  <c r="K31" i="8"/>
  <c r="L382" i="7"/>
  <c r="J382" i="7" s="1"/>
  <c r="O10" i="2"/>
  <c r="Q10" i="2"/>
  <c r="P10" i="2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N441" i="5"/>
  <c r="P917" i="5"/>
  <c r="Q1088" i="5"/>
  <c r="Q272" i="5"/>
  <c r="P137" i="5"/>
  <c r="Q747" i="5"/>
  <c r="N1019" i="5"/>
  <c r="Q951" i="5"/>
  <c r="M1020" i="5"/>
  <c r="M273" i="5"/>
  <c r="M442" i="5"/>
  <c r="M511" i="5"/>
  <c r="P747" i="5"/>
  <c r="N407" i="5"/>
  <c r="Q612" i="5"/>
  <c r="P815" i="5"/>
  <c r="Q952" i="5"/>
  <c r="M612" i="5"/>
  <c r="N747" i="5"/>
  <c r="P816" i="5"/>
  <c r="Q883" i="5"/>
  <c r="M918" i="5"/>
  <c r="Q986" i="5"/>
  <c r="P1019" i="5"/>
  <c r="P102" i="5"/>
  <c r="M407" i="5"/>
  <c r="M816" i="5"/>
  <c r="Q102" i="5"/>
  <c r="M953" i="5"/>
  <c r="M169" i="5"/>
  <c r="P612" i="5"/>
  <c r="N237" i="5"/>
  <c r="Q271" i="5"/>
  <c r="M510" i="5"/>
  <c r="P509" i="5"/>
  <c r="P680" i="5"/>
  <c r="Q713" i="5"/>
  <c r="Q917" i="5"/>
  <c r="Q1019" i="5"/>
  <c r="M681" i="5"/>
  <c r="P442" i="5"/>
  <c r="N509" i="5"/>
  <c r="N543" i="5"/>
  <c r="Q680" i="5"/>
  <c r="M884" i="5"/>
  <c r="Q1087" i="5"/>
  <c r="P986" i="5"/>
  <c r="Q68" i="5"/>
  <c r="M307" i="5"/>
  <c r="M579" i="5"/>
  <c r="N1087" i="5"/>
  <c r="P340" i="5"/>
  <c r="M68" i="5"/>
  <c r="P782" i="5"/>
  <c r="P579" i="5"/>
  <c r="P851" i="5"/>
  <c r="N1053" i="5"/>
  <c r="Q442" i="5"/>
  <c r="M1053" i="5"/>
  <c r="M1189" i="5"/>
  <c r="Q748" i="5"/>
  <c r="N815" i="5"/>
  <c r="P952" i="5"/>
  <c r="N611" i="5"/>
  <c r="Q578" i="5"/>
  <c r="M647" i="5"/>
  <c r="M374" i="5"/>
  <c r="Q373" i="5"/>
  <c r="M509" i="5"/>
  <c r="P647" i="5"/>
  <c r="Q782" i="5"/>
  <c r="P33" i="5"/>
  <c r="Q34" i="5"/>
  <c r="N33" i="5"/>
  <c r="D27" i="7"/>
  <c r="D36" i="7"/>
  <c r="D12" i="7"/>
  <c r="C36" i="7"/>
  <c r="C27" i="7"/>
  <c r="C12" i="7"/>
  <c r="E36" i="7"/>
  <c r="F12" i="7"/>
  <c r="E27" i="7"/>
  <c r="F27" i="7"/>
  <c r="E12" i="7"/>
  <c r="F36" i="7"/>
  <c r="K7" i="7"/>
  <c r="K15" i="7"/>
  <c r="K23" i="7"/>
  <c r="K31" i="7"/>
  <c r="K39" i="7"/>
  <c r="K16" i="7"/>
  <c r="K24" i="7"/>
  <c r="K40" i="7"/>
  <c r="K9" i="7"/>
  <c r="K25" i="7"/>
  <c r="K41" i="7"/>
  <c r="K18" i="7"/>
  <c r="K26" i="7"/>
  <c r="K42" i="7"/>
  <c r="K19" i="7"/>
  <c r="K27" i="7"/>
  <c r="K43" i="7"/>
  <c r="K20" i="7"/>
  <c r="K28" i="7"/>
  <c r="L12" i="7"/>
  <c r="L36" i="7"/>
  <c r="K21" i="7"/>
  <c r="K37" i="7"/>
  <c r="K22" i="7"/>
  <c r="K30" i="7"/>
  <c r="K8" i="7"/>
  <c r="K32" i="7"/>
  <c r="K17" i="7"/>
  <c r="K33" i="7"/>
  <c r="K10" i="7"/>
  <c r="K34" i="7"/>
  <c r="K11" i="7"/>
  <c r="K35" i="7"/>
  <c r="L27" i="7"/>
  <c r="K12" i="7"/>
  <c r="K36" i="7"/>
  <c r="K13" i="7"/>
  <c r="K29" i="7"/>
  <c r="K14" i="7"/>
  <c r="K38" i="7"/>
  <c r="G27" i="7"/>
  <c r="H27" i="7"/>
  <c r="I12" i="7"/>
  <c r="I36" i="7"/>
  <c r="J12" i="7"/>
  <c r="I27" i="7"/>
  <c r="J27" i="7"/>
  <c r="M12" i="7"/>
  <c r="N12" i="7"/>
  <c r="M27" i="7"/>
  <c r="N27" i="7"/>
  <c r="G36" i="7"/>
  <c r="H36" i="7"/>
  <c r="J36" i="7"/>
  <c r="M36" i="7"/>
  <c r="N36" i="7"/>
  <c r="G12" i="7"/>
  <c r="H12" i="7"/>
  <c r="K6" i="7"/>
  <c r="A8" i="7"/>
  <c r="M987" i="5"/>
  <c r="M1123" i="5"/>
  <c r="M137" i="5"/>
  <c r="A6" i="6"/>
  <c r="M237" i="5"/>
  <c r="M239" i="5"/>
  <c r="M238" i="5"/>
  <c r="Q816" i="5"/>
  <c r="Q815" i="5"/>
  <c r="P1155" i="5"/>
  <c r="P273" i="5"/>
  <c r="P271" i="5"/>
  <c r="M476" i="5"/>
  <c r="M545" i="5"/>
  <c r="M849" i="5"/>
  <c r="P1054" i="5"/>
  <c r="P1055" i="5"/>
  <c r="P1053" i="5"/>
  <c r="P237" i="5"/>
  <c r="P239" i="5"/>
  <c r="P238" i="5"/>
  <c r="N271" i="5"/>
  <c r="N577" i="5"/>
  <c r="M747" i="5"/>
  <c r="N849" i="5"/>
  <c r="Q1054" i="5"/>
  <c r="Q1053" i="5"/>
  <c r="M1087" i="5"/>
  <c r="M1089" i="5"/>
  <c r="Q476" i="5"/>
  <c r="Q475" i="5"/>
  <c r="Q510" i="5"/>
  <c r="Q645" i="5"/>
  <c r="M33" i="5"/>
  <c r="M35" i="5"/>
  <c r="M272" i="5"/>
  <c r="M782" i="5"/>
  <c r="M781" i="5"/>
  <c r="M783" i="5"/>
  <c r="M851" i="5"/>
  <c r="P951" i="5"/>
  <c r="P1121" i="5"/>
  <c r="M611" i="5"/>
  <c r="M613" i="5"/>
  <c r="Q850" i="5"/>
  <c r="Q849" i="5"/>
  <c r="P1089" i="5"/>
  <c r="P1088" i="5"/>
  <c r="P101" i="5"/>
  <c r="P34" i="5"/>
  <c r="P35" i="5"/>
  <c r="Q33" i="5"/>
  <c r="M205" i="5"/>
  <c r="M204" i="5"/>
  <c r="M203" i="5"/>
  <c r="P306" i="5"/>
  <c r="Q646" i="5"/>
  <c r="N883" i="5"/>
  <c r="N1121" i="5"/>
  <c r="M34" i="5"/>
  <c r="Q67" i="5"/>
  <c r="M136" i="5"/>
  <c r="M135" i="5"/>
  <c r="P205" i="5"/>
  <c r="P204" i="5"/>
  <c r="P203" i="5"/>
  <c r="N339" i="5"/>
  <c r="P375" i="5"/>
  <c r="P373" i="5"/>
  <c r="P885" i="5"/>
  <c r="P884" i="5"/>
  <c r="N645" i="5"/>
  <c r="P272" i="5"/>
  <c r="Q1020" i="5"/>
  <c r="P1087" i="5"/>
  <c r="Q374" i="5"/>
  <c r="Q306" i="5"/>
  <c r="Q305" i="5"/>
  <c r="P611" i="5"/>
  <c r="P613" i="5"/>
  <c r="N781" i="5"/>
  <c r="M883" i="5"/>
  <c r="M885" i="5"/>
  <c r="P103" i="5"/>
  <c r="N135" i="5"/>
  <c r="P341" i="5"/>
  <c r="P339" i="5"/>
  <c r="M443" i="5"/>
  <c r="M577" i="5"/>
  <c r="Q884" i="5"/>
  <c r="P919" i="5"/>
  <c r="P918" i="5"/>
  <c r="P136" i="5"/>
  <c r="P135" i="5"/>
  <c r="N169" i="5"/>
  <c r="Q170" i="5"/>
  <c r="Q169" i="5"/>
  <c r="Q340" i="5"/>
  <c r="Q339" i="5"/>
  <c r="Q408" i="5"/>
  <c r="P441" i="5"/>
  <c r="P443" i="5"/>
  <c r="M680" i="5"/>
  <c r="M679" i="5"/>
  <c r="M749" i="5"/>
  <c r="Q918" i="5"/>
  <c r="M1088" i="5"/>
  <c r="P1123" i="5"/>
  <c r="M1191" i="5"/>
  <c r="P69" i="5"/>
  <c r="P510" i="5"/>
  <c r="Q544" i="5"/>
  <c r="P783" i="5"/>
  <c r="M341" i="5"/>
  <c r="M340" i="5"/>
  <c r="M339" i="5"/>
  <c r="P475" i="5"/>
  <c r="M543" i="5"/>
  <c r="Q203" i="5"/>
  <c r="Q441" i="5"/>
  <c r="N679" i="5"/>
  <c r="M713" i="5"/>
  <c r="P987" i="5"/>
  <c r="M1157" i="5"/>
  <c r="M1156" i="5"/>
  <c r="M1155" i="5"/>
  <c r="N1189" i="5"/>
  <c r="Q237" i="5"/>
  <c r="Q238" i="5"/>
  <c r="N985" i="5"/>
  <c r="P681" i="5"/>
  <c r="Q101" i="5"/>
  <c r="P307" i="5"/>
  <c r="M1121" i="5"/>
  <c r="P67" i="5"/>
  <c r="N203" i="5"/>
  <c r="N373" i="5"/>
  <c r="P511" i="5"/>
  <c r="M952" i="5"/>
  <c r="M171" i="5"/>
  <c r="M170" i="5"/>
  <c r="P171" i="5"/>
  <c r="P170" i="5"/>
  <c r="P169" i="5"/>
  <c r="Q204" i="5"/>
  <c r="P68" i="5"/>
  <c r="P374" i="5"/>
  <c r="N713" i="5"/>
  <c r="P749" i="5"/>
  <c r="P850" i="5"/>
  <c r="P883" i="5"/>
  <c r="M1019" i="5"/>
  <c r="M1021" i="5"/>
  <c r="M1055" i="5"/>
  <c r="N1155" i="5"/>
  <c r="P1191" i="5"/>
  <c r="P1190" i="5"/>
  <c r="P1189" i="5"/>
  <c r="M306" i="5"/>
  <c r="M375" i="5"/>
  <c r="P679" i="5"/>
  <c r="Q781" i="5"/>
  <c r="N305" i="5"/>
  <c r="M305" i="5"/>
  <c r="Q407" i="5"/>
  <c r="M544" i="5"/>
  <c r="Q679" i="5"/>
  <c r="P408" i="5"/>
  <c r="M715" i="5"/>
  <c r="P1021" i="5"/>
  <c r="P1020" i="5"/>
  <c r="Q1156" i="5"/>
  <c r="Q135" i="5"/>
  <c r="M475" i="5"/>
  <c r="M477" i="5"/>
  <c r="P578" i="5"/>
  <c r="P577" i="5"/>
  <c r="M646" i="5"/>
  <c r="P715" i="5"/>
  <c r="P713" i="5"/>
  <c r="M815" i="5"/>
  <c r="M817" i="5"/>
  <c r="M917" i="5"/>
  <c r="M951" i="5"/>
  <c r="M986" i="5"/>
  <c r="P781" i="5"/>
  <c r="P407" i="5"/>
  <c r="P748" i="5"/>
  <c r="Q1190" i="5"/>
  <c r="M67" i="5"/>
  <c r="M69" i="5"/>
  <c r="M101" i="5"/>
  <c r="M103" i="5"/>
  <c r="M408" i="5"/>
  <c r="N475" i="5"/>
  <c r="P544" i="5"/>
  <c r="P543" i="5"/>
  <c r="Q611" i="5"/>
  <c r="Q714" i="5"/>
  <c r="N917" i="5"/>
  <c r="N951" i="5"/>
  <c r="M1054" i="5"/>
  <c r="M1122" i="5"/>
  <c r="Q1155" i="5"/>
  <c r="Q1189" i="5"/>
  <c r="P953" i="5"/>
  <c r="P985" i="5"/>
  <c r="M409" i="5"/>
  <c r="M645" i="5"/>
  <c r="M714" i="5"/>
  <c r="Q985" i="5"/>
  <c r="Q1122" i="5"/>
  <c r="Q1121" i="5"/>
  <c r="N101" i="5"/>
  <c r="P477" i="5"/>
  <c r="Q543" i="5"/>
  <c r="P646" i="5"/>
  <c r="M102" i="5"/>
  <c r="P409" i="5"/>
  <c r="P476" i="5"/>
  <c r="P545" i="5"/>
  <c r="M850" i="5"/>
  <c r="P1122" i="5"/>
  <c r="P1157" i="5"/>
  <c r="P1156" i="5"/>
  <c r="N67" i="5"/>
  <c r="M373" i="5"/>
  <c r="M578" i="5"/>
  <c r="P817" i="5"/>
  <c r="Q136" i="5"/>
  <c r="M271" i="5"/>
  <c r="P305" i="5"/>
  <c r="M441" i="5"/>
  <c r="Q577" i="5"/>
  <c r="P714" i="5"/>
  <c r="Q509" i="5"/>
  <c r="M748" i="5"/>
  <c r="P849" i="5"/>
  <c r="M919" i="5"/>
  <c r="M985" i="5"/>
  <c r="M1190" i="5"/>
  <c r="P645" i="5"/>
  <c r="Q1190" i="1"/>
  <c r="M1191" i="1"/>
  <c r="N1189" i="1"/>
  <c r="P1191" i="1"/>
  <c r="M1189" i="1"/>
  <c r="P1189" i="1"/>
  <c r="M1190" i="1"/>
  <c r="P1190" i="1"/>
  <c r="Q1189" i="1"/>
  <c r="N1" i="2"/>
  <c r="P972" i="1"/>
  <c r="P982" i="1"/>
  <c r="P981" i="1"/>
  <c r="P970" i="1"/>
  <c r="P966" i="1"/>
  <c r="P964" i="1"/>
  <c r="P963" i="1"/>
  <c r="P950" i="1"/>
  <c r="P949" i="1"/>
  <c r="P948" i="1"/>
  <c r="P947" i="1"/>
  <c r="P946" i="1"/>
  <c r="P944" i="1"/>
  <c r="P943" i="1"/>
  <c r="P942" i="1"/>
  <c r="P940" i="1"/>
  <c r="P938" i="1"/>
  <c r="P936" i="1"/>
  <c r="P935" i="1"/>
  <c r="P934" i="1"/>
  <c r="P932" i="1"/>
  <c r="P928" i="1"/>
  <c r="P926" i="1"/>
  <c r="Q887" i="1"/>
  <c r="P887" i="1"/>
  <c r="P905" i="1"/>
  <c r="P911" i="1"/>
  <c r="P894" i="1"/>
  <c r="P819" i="1"/>
  <c r="P832" i="1"/>
  <c r="P846" i="1"/>
  <c r="P848" i="1"/>
  <c r="P808" i="1"/>
  <c r="P802" i="1"/>
  <c r="P799" i="1"/>
  <c r="P797" i="1"/>
  <c r="P795" i="1"/>
  <c r="P789" i="1"/>
  <c r="Q789" i="1"/>
  <c r="P779" i="1"/>
  <c r="P772" i="1"/>
  <c r="P757" i="1"/>
  <c r="P767" i="1"/>
  <c r="P766" i="1"/>
  <c r="P762" i="1"/>
  <c r="P756" i="1"/>
  <c r="P753" i="1"/>
  <c r="P752" i="1"/>
  <c r="P732" i="1"/>
  <c r="P729" i="1"/>
  <c r="P721" i="1"/>
  <c r="P724" i="1"/>
  <c r="P707" i="1"/>
  <c r="P703" i="1"/>
  <c r="P702" i="1"/>
  <c r="P699" i="1"/>
  <c r="P695" i="1"/>
  <c r="P694" i="1"/>
  <c r="P690" i="1"/>
  <c r="P686" i="1"/>
  <c r="P678" i="1"/>
  <c r="P677" i="1"/>
  <c r="P674" i="1"/>
  <c r="P671" i="1"/>
  <c r="P666" i="1"/>
  <c r="P663" i="1"/>
  <c r="P659" i="1"/>
  <c r="P652" i="1"/>
  <c r="P654" i="1"/>
  <c r="N654" i="1"/>
  <c r="M654" i="1"/>
  <c r="P625" i="1"/>
  <c r="P627" i="1"/>
  <c r="P628" i="1"/>
  <c r="P630" i="1"/>
  <c r="P632" i="1"/>
  <c r="P633" i="1"/>
  <c r="P635" i="1"/>
  <c r="P636" i="1"/>
  <c r="P638" i="1"/>
  <c r="P640" i="1"/>
  <c r="P641" i="1"/>
  <c r="P642" i="1"/>
  <c r="P643" i="1"/>
  <c r="P644" i="1"/>
  <c r="P623" i="1"/>
  <c r="P622" i="1"/>
  <c r="P621" i="1"/>
  <c r="P620" i="1"/>
  <c r="P619" i="1"/>
  <c r="P618" i="1"/>
  <c r="P617" i="1"/>
  <c r="P616" i="1"/>
  <c r="P615" i="1"/>
  <c r="M624" i="1"/>
  <c r="N624" i="1"/>
  <c r="P624" i="1"/>
  <c r="Q624" i="1"/>
  <c r="P610" i="1"/>
  <c r="P609" i="1"/>
  <c r="P608" i="1"/>
  <c r="P606" i="1"/>
  <c r="P602" i="1"/>
  <c r="P598" i="1"/>
  <c r="P596" i="1"/>
  <c r="P592" i="1"/>
  <c r="P590" i="1"/>
  <c r="P587" i="1"/>
  <c r="P581" i="1"/>
  <c r="P858" i="1"/>
  <c r="P881" i="1"/>
  <c r="P876" i="1"/>
  <c r="P875" i="1"/>
  <c r="P873" i="1"/>
  <c r="P868" i="1"/>
  <c r="P861" i="1"/>
  <c r="L34" i="6"/>
  <c r="L35" i="6"/>
  <c r="L28" i="6"/>
  <c r="K34" i="6"/>
  <c r="D28" i="6"/>
  <c r="M21" i="6"/>
  <c r="H36" i="6"/>
  <c r="L4" i="6"/>
  <c r="K26" i="6"/>
  <c r="D26" i="6"/>
  <c r="K28" i="6"/>
  <c r="M18" i="6"/>
  <c r="G33" i="6"/>
  <c r="D17" i="6"/>
  <c r="I31" i="6"/>
  <c r="H26" i="6"/>
  <c r="H5" i="6"/>
  <c r="H21" i="6"/>
  <c r="L10" i="6"/>
  <c r="H19" i="6"/>
  <c r="I26" i="6"/>
  <c r="C12" i="6"/>
  <c r="L33" i="6"/>
  <c r="D37" i="6"/>
  <c r="I20" i="6"/>
  <c r="L21" i="6"/>
  <c r="D22" i="6"/>
  <c r="K23" i="6"/>
  <c r="K27" i="6"/>
  <c r="C33" i="6"/>
  <c r="D7" i="6"/>
  <c r="K25" i="6"/>
  <c r="H30" i="6"/>
  <c r="H23" i="6"/>
  <c r="I28" i="6"/>
  <c r="L22" i="6"/>
  <c r="K6" i="6"/>
  <c r="D27" i="6"/>
  <c r="D20" i="6"/>
  <c r="K12" i="6"/>
  <c r="H27" i="6"/>
  <c r="G6" i="6"/>
  <c r="I27" i="6"/>
  <c r="H11" i="6"/>
  <c r="M16" i="6"/>
  <c r="M36" i="6"/>
  <c r="K20" i="6"/>
  <c r="L8" i="6"/>
  <c r="I37" i="2"/>
  <c r="I15" i="6"/>
  <c r="M30" i="6"/>
  <c r="K8" i="6"/>
  <c r="H13" i="6"/>
  <c r="I25" i="6"/>
  <c r="C18" i="6"/>
  <c r="L6" i="6"/>
  <c r="D14" i="6"/>
  <c r="I17" i="6"/>
  <c r="K9" i="6"/>
  <c r="L37" i="2"/>
  <c r="C6" i="6"/>
  <c r="I19" i="6"/>
  <c r="I18" i="6"/>
  <c r="C35" i="6"/>
  <c r="C11" i="6"/>
  <c r="C20" i="6"/>
  <c r="G23" i="6"/>
  <c r="G20" i="6"/>
  <c r="C3" i="6"/>
  <c r="L5" i="6"/>
  <c r="H7" i="6"/>
  <c r="G29" i="6"/>
  <c r="I21" i="6"/>
  <c r="M20" i="6"/>
  <c r="I37" i="6"/>
  <c r="L18" i="6"/>
  <c r="H6" i="6"/>
  <c r="L29" i="6"/>
  <c r="M33" i="6"/>
  <c r="L14" i="6"/>
  <c r="H29" i="6"/>
  <c r="C30" i="6"/>
  <c r="D30" i="6"/>
  <c r="C25" i="6"/>
  <c r="D15" i="6"/>
  <c r="M29" i="6"/>
  <c r="H37" i="2"/>
  <c r="K14" i="6"/>
  <c r="C17" i="6"/>
  <c r="I33" i="6"/>
  <c r="K5" i="6"/>
  <c r="G26" i="6"/>
  <c r="I5" i="6"/>
  <c r="G32" i="6"/>
  <c r="L36" i="6"/>
  <c r="M12" i="6"/>
  <c r="G5" i="6"/>
  <c r="I32" i="6"/>
  <c r="I13" i="6"/>
  <c r="D24" i="6"/>
  <c r="L16" i="6"/>
  <c r="G30" i="6"/>
  <c r="G11" i="6"/>
  <c r="L24" i="6"/>
  <c r="M32" i="6"/>
  <c r="H17" i="6"/>
  <c r="K36" i="6"/>
  <c r="D8" i="6"/>
  <c r="L15" i="6"/>
  <c r="M5" i="6"/>
  <c r="L11" i="6"/>
  <c r="K7" i="6"/>
  <c r="C29" i="6"/>
  <c r="G7" i="6"/>
  <c r="M37" i="6"/>
  <c r="L19" i="6"/>
  <c r="L25" i="6"/>
  <c r="C22" i="6"/>
  <c r="K24" i="6"/>
  <c r="G9" i="6"/>
  <c r="H34" i="6"/>
  <c r="M9" i="6"/>
  <c r="H22" i="6"/>
  <c r="L32" i="6"/>
  <c r="L37" i="6"/>
  <c r="L26" i="6"/>
  <c r="I22" i="6"/>
  <c r="D12" i="6"/>
  <c r="H4" i="6"/>
  <c r="C37" i="6"/>
  <c r="G28" i="6"/>
  <c r="C31" i="6"/>
  <c r="H14" i="6"/>
  <c r="D3" i="6"/>
  <c r="H35" i="6"/>
  <c r="G13" i="6"/>
  <c r="D9" i="6"/>
  <c r="C4" i="6"/>
  <c r="H24" i="6"/>
  <c r="I30" i="6"/>
  <c r="K13" i="6"/>
  <c r="G4" i="6"/>
  <c r="D5" i="6"/>
  <c r="L3" i="6"/>
  <c r="M37" i="2"/>
  <c r="H32" i="6"/>
  <c r="K4" i="6"/>
  <c r="G25" i="6"/>
  <c r="I24" i="6"/>
  <c r="M27" i="6"/>
  <c r="C10" i="6"/>
  <c r="D4" i="6"/>
  <c r="K32" i="6"/>
  <c r="H16" i="6"/>
  <c r="M17" i="6"/>
  <c r="H8" i="6"/>
  <c r="I34" i="6"/>
  <c r="D11" i="6"/>
  <c r="G34" i="6"/>
  <c r="I7" i="6"/>
  <c r="G36" i="6"/>
  <c r="M31" i="6"/>
  <c r="C13" i="6"/>
  <c r="L20" i="6"/>
  <c r="M28" i="6"/>
  <c r="K11" i="6"/>
  <c r="M35" i="6"/>
  <c r="L13" i="6"/>
  <c r="D31" i="6"/>
  <c r="M14" i="6"/>
  <c r="E37" i="2"/>
  <c r="C16" i="6"/>
  <c r="M26" i="6"/>
  <c r="K15" i="6"/>
  <c r="D13" i="6"/>
  <c r="H10" i="6"/>
  <c r="G12" i="6"/>
  <c r="C24" i="6"/>
  <c r="G19" i="6"/>
  <c r="M25" i="6"/>
  <c r="I8" i="6"/>
  <c r="I11" i="6"/>
  <c r="G35" i="6"/>
  <c r="M24" i="6"/>
  <c r="D33" i="6"/>
  <c r="I23" i="6"/>
  <c r="H28" i="6"/>
  <c r="D10" i="6"/>
  <c r="K31" i="6"/>
  <c r="C19" i="6"/>
  <c r="G31" i="6"/>
  <c r="K30" i="6"/>
  <c r="H9" i="6"/>
  <c r="I29" i="6"/>
  <c r="H33" i="6"/>
  <c r="M23" i="6"/>
  <c r="M10" i="6"/>
  <c r="I14" i="6"/>
  <c r="C26" i="6"/>
  <c r="D16" i="6"/>
  <c r="L9" i="6"/>
  <c r="G21" i="6"/>
  <c r="H15" i="6"/>
  <c r="D32" i="6"/>
  <c r="I10" i="6"/>
  <c r="K19" i="6"/>
  <c r="G24" i="6"/>
  <c r="G17" i="6"/>
  <c r="L12" i="6"/>
  <c r="I4" i="6"/>
  <c r="H3" i="6"/>
  <c r="H25" i="6"/>
  <c r="C28" i="6"/>
  <c r="K29" i="6"/>
  <c r="G15" i="6"/>
  <c r="C9" i="6"/>
  <c r="C32" i="6"/>
  <c r="L17" i="6"/>
  <c r="I3" i="6"/>
  <c r="D37" i="2"/>
  <c r="M8" i="6"/>
  <c r="K22" i="6"/>
  <c r="D25" i="6"/>
  <c r="H20" i="6"/>
  <c r="I12" i="6"/>
  <c r="D34" i="6"/>
  <c r="K3" i="6"/>
  <c r="G37" i="2"/>
  <c r="K33" i="6"/>
  <c r="B37" i="2"/>
  <c r="I35" i="6"/>
  <c r="K37" i="2"/>
  <c r="G37" i="6"/>
  <c r="K37" i="6"/>
  <c r="H18" i="6"/>
  <c r="C34" i="6"/>
  <c r="G22" i="6"/>
  <c r="H12" i="6"/>
  <c r="D35" i="6"/>
  <c r="G27" i="6"/>
  <c r="M3" i="6"/>
  <c r="I36" i="6"/>
  <c r="G14" i="6"/>
  <c r="C14" i="6"/>
  <c r="M7" i="6"/>
  <c r="K21" i="6"/>
  <c r="M13" i="6"/>
  <c r="D19" i="6"/>
  <c r="C37" i="2"/>
  <c r="M34" i="6"/>
  <c r="L27" i="6"/>
  <c r="M11" i="6"/>
  <c r="H31" i="6"/>
  <c r="I9" i="6"/>
  <c r="D6" i="6"/>
  <c r="C21" i="6"/>
  <c r="G18" i="6"/>
  <c r="C27" i="6"/>
  <c r="I6" i="6"/>
  <c r="L23" i="6"/>
  <c r="M15" i="6"/>
  <c r="M4" i="6"/>
  <c r="C7" i="6"/>
  <c r="M22" i="6"/>
  <c r="G16" i="6"/>
  <c r="C15" i="6"/>
  <c r="D29" i="6"/>
  <c r="C5" i="6"/>
  <c r="M6" i="6"/>
  <c r="L7" i="6"/>
  <c r="D23" i="6"/>
  <c r="I16" i="6"/>
  <c r="G10" i="6"/>
  <c r="L30" i="6"/>
  <c r="K10" i="6"/>
  <c r="C23" i="6"/>
  <c r="C36" i="6"/>
  <c r="D21" i="6"/>
  <c r="K18" i="6"/>
  <c r="L31" i="6"/>
  <c r="K16" i="6"/>
  <c r="G8" i="6"/>
  <c r="H37" i="6"/>
  <c r="G3" i="6"/>
  <c r="K35" i="6"/>
  <c r="D36" i="6"/>
  <c r="D18" i="6"/>
  <c r="M19" i="6"/>
  <c r="K17" i="6"/>
  <c r="C8" i="6"/>
  <c r="H6" i="8" l="1"/>
  <c r="G6" i="8"/>
  <c r="G17" i="8"/>
  <c r="H29" i="8"/>
  <c r="G38" i="8"/>
  <c r="G10" i="8"/>
  <c r="H40" i="8"/>
  <c r="G13" i="8"/>
  <c r="G19" i="8"/>
  <c r="H33" i="8"/>
  <c r="H16" i="8"/>
  <c r="G32" i="8"/>
  <c r="H19" i="8"/>
  <c r="H28" i="8"/>
  <c r="G9" i="8"/>
  <c r="G7" i="8"/>
  <c r="G16" i="8"/>
  <c r="G15" i="8"/>
  <c r="H35" i="8"/>
  <c r="G29" i="8"/>
  <c r="H10" i="8"/>
  <c r="H13" i="8"/>
  <c r="H20" i="8"/>
  <c r="H39" i="8"/>
  <c r="G37" i="8"/>
  <c r="G26" i="8"/>
  <c r="H41" i="8"/>
  <c r="G21" i="8"/>
  <c r="H42" i="8"/>
  <c r="H34" i="8"/>
  <c r="H30" i="8"/>
  <c r="G18" i="8"/>
  <c r="H11" i="8"/>
  <c r="H17" i="8"/>
  <c r="H25" i="8"/>
  <c r="G28" i="8"/>
  <c r="G43" i="8"/>
  <c r="G23" i="8"/>
  <c r="H22" i="8"/>
  <c r="H23" i="8"/>
  <c r="G25" i="8"/>
  <c r="H18" i="8"/>
  <c r="H24" i="8"/>
  <c r="H32" i="8"/>
  <c r="H9" i="8"/>
  <c r="H43" i="8"/>
  <c r="H26" i="8"/>
  <c r="H8" i="8"/>
  <c r="G22" i="8"/>
  <c r="G33" i="8"/>
  <c r="H15" i="8"/>
  <c r="G24" i="8"/>
  <c r="G14" i="8"/>
  <c r="G35" i="8"/>
  <c r="G11" i="8"/>
  <c r="H14" i="8"/>
  <c r="H38" i="8"/>
  <c r="G34" i="8"/>
  <c r="H7" i="8"/>
  <c r="H37" i="8"/>
  <c r="G39" i="8"/>
  <c r="G40" i="8"/>
  <c r="G31" i="8"/>
  <c r="G42" i="8"/>
  <c r="G20" i="8"/>
  <c r="G41" i="8"/>
  <c r="H21" i="8"/>
  <c r="H31" i="8"/>
  <c r="G8" i="8"/>
  <c r="G30" i="8"/>
  <c r="J365" i="8"/>
  <c r="L27" i="8"/>
  <c r="L36" i="8"/>
  <c r="L12" i="8"/>
  <c r="E5" i="8"/>
  <c r="L383" i="7"/>
  <c r="J383" i="7" s="1"/>
  <c r="P37" i="2"/>
  <c r="Q37" i="2"/>
  <c r="O37" i="2"/>
  <c r="F37" i="7"/>
  <c r="F20" i="7"/>
  <c r="I34" i="7"/>
  <c r="J18" i="7"/>
  <c r="J33" i="7"/>
  <c r="G30" i="7"/>
  <c r="M18" i="7"/>
  <c r="E329" i="7" s="1"/>
  <c r="I24" i="7"/>
  <c r="C37" i="7"/>
  <c r="C20" i="7"/>
  <c r="F25" i="7"/>
  <c r="G17" i="7"/>
  <c r="I19" i="7"/>
  <c r="J20" i="7"/>
  <c r="I21" i="7"/>
  <c r="H29" i="7"/>
  <c r="C29" i="7"/>
  <c r="M30" i="7"/>
  <c r="E346" i="7" s="1"/>
  <c r="E38" i="7"/>
  <c r="M17" i="7"/>
  <c r="E335" i="7" s="1"/>
  <c r="G38" i="7"/>
  <c r="E40" i="7"/>
  <c r="I37" i="7"/>
  <c r="C35" i="7"/>
  <c r="F22" i="7"/>
  <c r="I43" i="7"/>
  <c r="C32" i="7"/>
  <c r="G10" i="7"/>
  <c r="C31" i="7"/>
  <c r="H40" i="7"/>
  <c r="G13" i="7"/>
  <c r="C43" i="7"/>
  <c r="I15" i="7"/>
  <c r="E22" i="7"/>
  <c r="M22" i="7"/>
  <c r="G19" i="7"/>
  <c r="J31" i="7"/>
  <c r="H33" i="7"/>
  <c r="J28" i="7"/>
  <c r="H16" i="7"/>
  <c r="G32" i="7"/>
  <c r="H19" i="7"/>
  <c r="H28" i="7"/>
  <c r="G9" i="7"/>
  <c r="I42" i="7"/>
  <c r="G7" i="7"/>
  <c r="J42" i="7"/>
  <c r="M11" i="7"/>
  <c r="J10" i="7"/>
  <c r="G16" i="7"/>
  <c r="F23" i="7"/>
  <c r="F38" i="7"/>
  <c r="I23" i="7"/>
  <c r="G15" i="7"/>
  <c r="H35" i="7"/>
  <c r="J11" i="7"/>
  <c r="E14" i="7"/>
  <c r="G29" i="7"/>
  <c r="E29" i="7"/>
  <c r="F26" i="7"/>
  <c r="J21" i="7"/>
  <c r="H10" i="7"/>
  <c r="C28" i="7"/>
  <c r="H13" i="7"/>
  <c r="J19" i="7"/>
  <c r="H20" i="7"/>
  <c r="H39" i="7"/>
  <c r="M35" i="7"/>
  <c r="E342" i="7" s="1"/>
  <c r="C26" i="7"/>
  <c r="C19" i="7"/>
  <c r="G37" i="7"/>
  <c r="E35" i="7"/>
  <c r="G26" i="7"/>
  <c r="I38" i="7"/>
  <c r="M31" i="7"/>
  <c r="J43" i="7"/>
  <c r="J32" i="7"/>
  <c r="F29" i="7"/>
  <c r="I32" i="7"/>
  <c r="C42" i="7"/>
  <c r="C23" i="7"/>
  <c r="H41" i="7"/>
  <c r="F11" i="7"/>
  <c r="I11" i="7"/>
  <c r="M14" i="7"/>
  <c r="E344" i="7" s="1"/>
  <c r="C11" i="7"/>
  <c r="G21" i="7"/>
  <c r="E28" i="7"/>
  <c r="F35" i="7"/>
  <c r="I8" i="7"/>
  <c r="I14" i="7"/>
  <c r="I28" i="7"/>
  <c r="H42" i="7"/>
  <c r="I40" i="7"/>
  <c r="H34" i="7"/>
  <c r="J40" i="7"/>
  <c r="M19" i="7"/>
  <c r="M40" i="7"/>
  <c r="H30" i="7"/>
  <c r="J41" i="7"/>
  <c r="M9" i="7"/>
  <c r="E33" i="7"/>
  <c r="G18" i="7"/>
  <c r="I41" i="7"/>
  <c r="H11" i="7"/>
  <c r="H17" i="7"/>
  <c r="H25" i="7"/>
  <c r="J13" i="7"/>
  <c r="M23" i="7"/>
  <c r="I18" i="7"/>
  <c r="J24" i="7"/>
  <c r="F41" i="7"/>
  <c r="G28" i="7"/>
  <c r="G43" i="7"/>
  <c r="M29" i="7"/>
  <c r="J30" i="7"/>
  <c r="C14" i="7"/>
  <c r="F9" i="7"/>
  <c r="E20" i="7"/>
  <c r="C24" i="7"/>
  <c r="C17" i="7"/>
  <c r="J15" i="7"/>
  <c r="I25" i="7"/>
  <c r="G23" i="7"/>
  <c r="I31" i="7"/>
  <c r="C30" i="7"/>
  <c r="H22" i="7"/>
  <c r="E37" i="7"/>
  <c r="C10" i="7"/>
  <c r="I20" i="7"/>
  <c r="E17" i="7"/>
  <c r="M20" i="7"/>
  <c r="E348" i="7" s="1"/>
  <c r="C15" i="7"/>
  <c r="H23" i="7"/>
  <c r="M38" i="7"/>
  <c r="E351" i="7" s="1"/>
  <c r="E34" i="7"/>
  <c r="J25" i="7"/>
  <c r="C9" i="7"/>
  <c r="J35" i="7"/>
  <c r="C21" i="7"/>
  <c r="G25" i="7"/>
  <c r="F28" i="7"/>
  <c r="H18" i="7"/>
  <c r="I10" i="7"/>
  <c r="M43" i="7"/>
  <c r="H24" i="7"/>
  <c r="H32" i="7"/>
  <c r="H9" i="7"/>
  <c r="J9" i="7"/>
  <c r="H43" i="7"/>
  <c r="I30" i="7"/>
  <c r="F34" i="7"/>
  <c r="J26" i="7"/>
  <c r="H26" i="7"/>
  <c r="F40" i="7"/>
  <c r="M26" i="7"/>
  <c r="E358" i="7" s="1"/>
  <c r="J23" i="7"/>
  <c r="J38" i="7"/>
  <c r="M33" i="7"/>
  <c r="E325" i="7" s="1"/>
  <c r="H8" i="7"/>
  <c r="G22" i="7"/>
  <c r="C40" i="7"/>
  <c r="G33" i="7"/>
  <c r="C39" i="7"/>
  <c r="I29" i="7"/>
  <c r="C33" i="7"/>
  <c r="C34" i="7"/>
  <c r="I13" i="7"/>
  <c r="J37" i="7"/>
  <c r="J29" i="7"/>
  <c r="M15" i="7"/>
  <c r="M13" i="7"/>
  <c r="H15" i="7"/>
  <c r="M37" i="7"/>
  <c r="C41" i="7"/>
  <c r="M34" i="7"/>
  <c r="E13" i="7"/>
  <c r="G24" i="7"/>
  <c r="C38" i="7"/>
  <c r="J8" i="7"/>
  <c r="E30" i="7"/>
  <c r="I17" i="7"/>
  <c r="G14" i="7"/>
  <c r="G35" i="7"/>
  <c r="F17" i="7"/>
  <c r="G11" i="7"/>
  <c r="H14" i="7"/>
  <c r="E10" i="7"/>
  <c r="C13" i="7"/>
  <c r="F21" i="7"/>
  <c r="J7" i="7"/>
  <c r="C16" i="7"/>
  <c r="I9" i="7"/>
  <c r="M25" i="7"/>
  <c r="F31" i="7"/>
  <c r="H38" i="7"/>
  <c r="E31" i="7"/>
  <c r="F10" i="7"/>
  <c r="E43" i="7"/>
  <c r="C18" i="7"/>
  <c r="M21" i="7"/>
  <c r="E337" i="7" s="1"/>
  <c r="C25" i="7"/>
  <c r="I33" i="7"/>
  <c r="E19" i="7"/>
  <c r="C22" i="7"/>
  <c r="J34" i="7"/>
  <c r="F14" i="7"/>
  <c r="M24" i="7"/>
  <c r="G34" i="7"/>
  <c r="F30" i="7"/>
  <c r="I26" i="7"/>
  <c r="I7" i="7"/>
  <c r="F19" i="7"/>
  <c r="H7" i="7"/>
  <c r="I35" i="7"/>
  <c r="H37" i="7"/>
  <c r="F33" i="7"/>
  <c r="E9" i="7"/>
  <c r="J14" i="7"/>
  <c r="G39" i="7"/>
  <c r="G40" i="7"/>
  <c r="I39" i="7"/>
  <c r="G31" i="7"/>
  <c r="E25" i="7"/>
  <c r="I22" i="7"/>
  <c r="G42" i="7"/>
  <c r="G20" i="7"/>
  <c r="C7" i="7"/>
  <c r="G41" i="7"/>
  <c r="M10" i="7"/>
  <c r="E354" i="7" s="1"/>
  <c r="F43" i="7"/>
  <c r="H21" i="7"/>
  <c r="E21" i="7"/>
  <c r="F13" i="7"/>
  <c r="J39" i="7"/>
  <c r="H31" i="7"/>
  <c r="G8" i="7"/>
  <c r="E23" i="7"/>
  <c r="C8" i="7"/>
  <c r="I16" i="7"/>
  <c r="E11" i="7"/>
  <c r="J22" i="7"/>
  <c r="E26" i="7"/>
  <c r="J17" i="7"/>
  <c r="J16" i="7"/>
  <c r="M28" i="7"/>
  <c r="I6" i="7"/>
  <c r="C6" i="7"/>
  <c r="J6" i="7"/>
  <c r="H6" i="7"/>
  <c r="G6" i="7"/>
  <c r="E41" i="7"/>
  <c r="F8" i="7"/>
  <c r="F15" i="7"/>
  <c r="E15" i="7"/>
  <c r="E32" i="7"/>
  <c r="E16" i="7"/>
  <c r="E42" i="7"/>
  <c r="F7" i="7"/>
  <c r="F42" i="7"/>
  <c r="F39" i="7"/>
  <c r="F24" i="7"/>
  <c r="F16" i="7"/>
  <c r="E8" i="7"/>
  <c r="F32" i="7"/>
  <c r="E24" i="7"/>
  <c r="E18" i="7"/>
  <c r="E39" i="7"/>
  <c r="F18" i="7"/>
  <c r="E7" i="7"/>
  <c r="M16" i="7"/>
  <c r="E357" i="7" s="1"/>
  <c r="M41" i="7"/>
  <c r="M7" i="7"/>
  <c r="E352" i="7" s="1"/>
  <c r="M42" i="7"/>
  <c r="M32" i="7"/>
  <c r="E333" i="7" s="1"/>
  <c r="M8" i="7"/>
  <c r="E341" i="7" s="1"/>
  <c r="M39" i="7"/>
  <c r="E6" i="7"/>
  <c r="F6" i="7"/>
  <c r="M6" i="7"/>
  <c r="E356" i="7" s="1"/>
  <c r="A9" i="7"/>
  <c r="F3" i="6"/>
  <c r="L6" i="7" s="1"/>
  <c r="J3" i="6"/>
  <c r="N3" i="6"/>
  <c r="N6" i="7" s="1"/>
  <c r="F4" i="6"/>
  <c r="L35" i="7" s="1"/>
  <c r="N5" i="6"/>
  <c r="N16" i="7" s="1"/>
  <c r="J4" i="6"/>
  <c r="N4" i="6"/>
  <c r="N35" i="7" s="1"/>
  <c r="F5" i="6"/>
  <c r="L16" i="7" s="1"/>
  <c r="J5" i="6"/>
  <c r="A7" i="6"/>
  <c r="J37" i="2"/>
  <c r="F37" i="2"/>
  <c r="N37" i="2"/>
  <c r="L16" i="8" l="1"/>
  <c r="L35" i="8"/>
  <c r="L6" i="8"/>
  <c r="J366" i="8"/>
  <c r="E40" i="8"/>
  <c r="E32" i="8"/>
  <c r="E24" i="8"/>
  <c r="E16" i="8"/>
  <c r="E8" i="8"/>
  <c r="E42" i="8"/>
  <c r="E34" i="8"/>
  <c r="E26" i="8"/>
  <c r="E18" i="8"/>
  <c r="E10" i="8"/>
  <c r="E43" i="8"/>
  <c r="E37" i="8"/>
  <c r="E31" i="8"/>
  <c r="E11" i="8"/>
  <c r="E35" i="8"/>
  <c r="E29" i="8"/>
  <c r="E23" i="8"/>
  <c r="E41" i="8"/>
  <c r="E21" i="8"/>
  <c r="E19" i="8"/>
  <c r="E17" i="8"/>
  <c r="E6" i="8"/>
  <c r="E25" i="8"/>
  <c r="E38" i="8"/>
  <c r="E36" i="8"/>
  <c r="E30" i="8"/>
  <c r="E15" i="8"/>
  <c r="F5" i="8"/>
  <c r="E27" i="8"/>
  <c r="E22" i="8"/>
  <c r="E39" i="8"/>
  <c r="E20" i="8"/>
  <c r="E33" i="8"/>
  <c r="E7" i="8"/>
  <c r="E28" i="8"/>
  <c r="E9" i="8"/>
  <c r="E12" i="8"/>
  <c r="E14" i="8"/>
  <c r="E13" i="8"/>
  <c r="E350" i="7"/>
  <c r="E336" i="7"/>
  <c r="E332" i="7"/>
  <c r="E334" i="7"/>
  <c r="E339" i="7"/>
  <c r="E343" i="7"/>
  <c r="E331" i="7"/>
  <c r="E327" i="7"/>
  <c r="E355" i="7"/>
  <c r="E347" i="7"/>
  <c r="E328" i="7"/>
  <c r="E340" i="7"/>
  <c r="E349" i="7"/>
  <c r="E338" i="7"/>
  <c r="E353" i="7"/>
  <c r="E330" i="7"/>
  <c r="E326" i="7"/>
  <c r="E345" i="7"/>
  <c r="E324" i="7"/>
  <c r="L384" i="7"/>
  <c r="J384" i="7" s="1"/>
  <c r="D6" i="7"/>
  <c r="D35" i="7"/>
  <c r="D16" i="7"/>
  <c r="A10" i="7"/>
  <c r="F6" i="6"/>
  <c r="N6" i="6"/>
  <c r="N7" i="7" s="1"/>
  <c r="J6" i="6"/>
  <c r="A8" i="6"/>
  <c r="J367" i="8" l="1"/>
  <c r="F40" i="8"/>
  <c r="F32" i="8"/>
  <c r="F24" i="8"/>
  <c r="F16" i="8"/>
  <c r="F8" i="8"/>
  <c r="F41" i="8"/>
  <c r="F33" i="8"/>
  <c r="F25" i="8"/>
  <c r="F17" i="8"/>
  <c r="F9" i="8"/>
  <c r="F43" i="8"/>
  <c r="F37" i="8"/>
  <c r="F31" i="8"/>
  <c r="F11" i="8"/>
  <c r="F10" i="8"/>
  <c r="F19" i="8"/>
  <c r="F34" i="8"/>
  <c r="F42" i="8"/>
  <c r="F38" i="8"/>
  <c r="F36" i="8"/>
  <c r="F23" i="8"/>
  <c r="F21" i="8"/>
  <c r="F6" i="8"/>
  <c r="F30" i="8"/>
  <c r="F15" i="8"/>
  <c r="F28" i="8"/>
  <c r="F26" i="8"/>
  <c r="F13" i="8"/>
  <c r="F22" i="8"/>
  <c r="F39" i="8"/>
  <c r="C5" i="8"/>
  <c r="F18" i="8"/>
  <c r="F7" i="8"/>
  <c r="F29" i="8"/>
  <c r="F20" i="8"/>
  <c r="F27" i="8"/>
  <c r="F12" i="8"/>
  <c r="F14" i="8"/>
  <c r="F35" i="8"/>
  <c r="L7" i="7"/>
  <c r="L7" i="8"/>
  <c r="L385" i="7"/>
  <c r="J385" i="7" s="1"/>
  <c r="D7" i="7"/>
  <c r="D2" i="7" s="1"/>
  <c r="A11" i="7"/>
  <c r="J7" i="6"/>
  <c r="F7" i="6"/>
  <c r="N7" i="6"/>
  <c r="N19" i="7" s="1"/>
  <c r="A9" i="6"/>
  <c r="L19" i="7" l="1"/>
  <c r="L19" i="8"/>
  <c r="C39" i="8"/>
  <c r="C31" i="8"/>
  <c r="C23" i="8"/>
  <c r="C15" i="8"/>
  <c r="C7" i="8"/>
  <c r="C41" i="8"/>
  <c r="C33" i="8"/>
  <c r="C25" i="8"/>
  <c r="C17" i="8"/>
  <c r="C9" i="8"/>
  <c r="C34" i="8"/>
  <c r="C28" i="8"/>
  <c r="C22" i="8"/>
  <c r="D5" i="8"/>
  <c r="C26" i="8"/>
  <c r="C20" i="8"/>
  <c r="C14" i="8"/>
  <c r="C29" i="8"/>
  <c r="C27" i="8"/>
  <c r="C12" i="8"/>
  <c r="C40" i="8"/>
  <c r="C10" i="8"/>
  <c r="C8" i="8"/>
  <c r="C42" i="8"/>
  <c r="C38" i="8"/>
  <c r="C36" i="8"/>
  <c r="C32" i="8"/>
  <c r="C21" i="8"/>
  <c r="C19" i="8"/>
  <c r="C6" i="8"/>
  <c r="C35" i="8"/>
  <c r="C16" i="8"/>
  <c r="C37" i="8"/>
  <c r="C24" i="8"/>
  <c r="C43" i="8"/>
  <c r="C11" i="8"/>
  <c r="C30" i="8"/>
  <c r="C18" i="8"/>
  <c r="C13" i="8"/>
  <c r="J368" i="8"/>
  <c r="L386" i="7"/>
  <c r="J386" i="7" s="1"/>
  <c r="D19" i="7"/>
  <c r="A12" i="7"/>
  <c r="N8" i="6"/>
  <c r="N10" i="7" s="1"/>
  <c r="J8" i="6"/>
  <c r="F8" i="6"/>
  <c r="A10" i="6"/>
  <c r="L10" i="7" l="1"/>
  <c r="L10" i="8"/>
  <c r="D7" i="8"/>
  <c r="D2" i="8" s="1"/>
  <c r="D16" i="8"/>
  <c r="D27" i="8"/>
  <c r="D12" i="8"/>
  <c r="D36" i="8"/>
  <c r="D10" i="8"/>
  <c r="D19" i="8"/>
  <c r="D6" i="8"/>
  <c r="D35" i="8"/>
  <c r="I5" i="8"/>
  <c r="J369" i="8"/>
  <c r="L387" i="7"/>
  <c r="J387" i="7" s="1"/>
  <c r="D10" i="7"/>
  <c r="A13" i="7"/>
  <c r="J9" i="6"/>
  <c r="D21" i="8" s="1"/>
  <c r="N9" i="6"/>
  <c r="N21" i="7" s="1"/>
  <c r="F9" i="6"/>
  <c r="A11" i="6"/>
  <c r="J370" i="8" l="1"/>
  <c r="I42" i="8"/>
  <c r="I34" i="8"/>
  <c r="I26" i="8"/>
  <c r="I18" i="8"/>
  <c r="I10" i="8"/>
  <c r="I36" i="8"/>
  <c r="I28" i="8"/>
  <c r="I20" i="8"/>
  <c r="I12" i="8"/>
  <c r="J5" i="8"/>
  <c r="I29" i="8"/>
  <c r="I23" i="8"/>
  <c r="I17" i="8"/>
  <c r="I41" i="8"/>
  <c r="I21" i="8"/>
  <c r="I15" i="8"/>
  <c r="I9" i="8"/>
  <c r="I25" i="8"/>
  <c r="I32" i="8"/>
  <c r="I13" i="8"/>
  <c r="I40" i="8"/>
  <c r="I19" i="8"/>
  <c r="I8" i="8"/>
  <c r="I6" i="8"/>
  <c r="I30" i="8"/>
  <c r="I11" i="8"/>
  <c r="I39" i="8"/>
  <c r="I24" i="8"/>
  <c r="I31" i="8"/>
  <c r="I27" i="8"/>
  <c r="I16" i="8"/>
  <c r="I37" i="8"/>
  <c r="I14" i="8"/>
  <c r="I22" i="8"/>
  <c r="I43" i="8"/>
  <c r="I35" i="8"/>
  <c r="I38" i="8"/>
  <c r="I7" i="8"/>
  <c r="I33" i="8"/>
  <c r="L21" i="7"/>
  <c r="L21" i="8"/>
  <c r="L388" i="7"/>
  <c r="J388" i="7" s="1"/>
  <c r="D21" i="7"/>
  <c r="A14" i="7"/>
  <c r="J10" i="6"/>
  <c r="D18" i="8" s="1"/>
  <c r="N10" i="6"/>
  <c r="N18" i="7" s="1"/>
  <c r="F10" i="6"/>
  <c r="A12" i="6"/>
  <c r="J42" i="8" l="1"/>
  <c r="J34" i="8"/>
  <c r="J26" i="8"/>
  <c r="J18" i="8"/>
  <c r="J10" i="8"/>
  <c r="J43" i="8"/>
  <c r="J35" i="8"/>
  <c r="J27" i="8"/>
  <c r="J19" i="8"/>
  <c r="J11" i="8"/>
  <c r="M5" i="8"/>
  <c r="J29" i="8"/>
  <c r="J23" i="8"/>
  <c r="J17" i="8"/>
  <c r="J40" i="8"/>
  <c r="J8" i="8"/>
  <c r="J6" i="8"/>
  <c r="J15" i="8"/>
  <c r="J13" i="8"/>
  <c r="J28" i="8"/>
  <c r="J32" i="8"/>
  <c r="J30" i="8"/>
  <c r="J39" i="8"/>
  <c r="J24" i="8"/>
  <c r="J37" i="8"/>
  <c r="J22" i="8"/>
  <c r="J9" i="8"/>
  <c r="J7" i="8"/>
  <c r="J12" i="8"/>
  <c r="J33" i="8"/>
  <c r="J25" i="8"/>
  <c r="J31" i="8"/>
  <c r="J16" i="8"/>
  <c r="J41" i="8"/>
  <c r="J14" i="8"/>
  <c r="J36" i="8"/>
  <c r="J21" i="8"/>
  <c r="J38" i="8"/>
  <c r="J20" i="8"/>
  <c r="J371" i="8"/>
  <c r="L18" i="7"/>
  <c r="L18" i="8"/>
  <c r="L389" i="7"/>
  <c r="J389" i="7" s="1"/>
  <c r="D18" i="7"/>
  <c r="A15" i="7"/>
  <c r="F11" i="6"/>
  <c r="J11" i="6"/>
  <c r="D23" i="8" s="1"/>
  <c r="N11" i="6"/>
  <c r="N23" i="7" s="1"/>
  <c r="A13" i="6"/>
  <c r="J372" i="8" l="1"/>
  <c r="M36" i="8"/>
  <c r="M28" i="8"/>
  <c r="M20" i="8"/>
  <c r="M12" i="8"/>
  <c r="N5" i="8"/>
  <c r="M38" i="8"/>
  <c r="M30" i="8"/>
  <c r="M22" i="8"/>
  <c r="M14" i="8"/>
  <c r="M6" i="8"/>
  <c r="M41" i="8"/>
  <c r="M35" i="8"/>
  <c r="M15" i="8"/>
  <c r="M9" i="8"/>
  <c r="M39" i="8"/>
  <c r="M33" i="8"/>
  <c r="M27" i="8"/>
  <c r="M7" i="8"/>
  <c r="M34" i="8"/>
  <c r="M19" i="8"/>
  <c r="M24" i="8"/>
  <c r="M43" i="8"/>
  <c r="M32" i="8"/>
  <c r="M17" i="8"/>
  <c r="M13" i="8"/>
  <c r="M37" i="8"/>
  <c r="M26" i="8"/>
  <c r="M11" i="8"/>
  <c r="M10" i="8"/>
  <c r="M31" i="8"/>
  <c r="M42" i="8"/>
  <c r="M23" i="8"/>
  <c r="M8" i="8"/>
  <c r="M25" i="8"/>
  <c r="M21" i="8"/>
  <c r="M16" i="8"/>
  <c r="M18" i="8"/>
  <c r="M29" i="8"/>
  <c r="M40" i="8"/>
  <c r="L23" i="7"/>
  <c r="L23" i="8"/>
  <c r="L390" i="7"/>
  <c r="J390" i="7" s="1"/>
  <c r="D23" i="7"/>
  <c r="A16" i="7"/>
  <c r="F12" i="6"/>
  <c r="J12" i="6"/>
  <c r="D11" i="8" s="1"/>
  <c r="N12" i="6"/>
  <c r="N11" i="7" s="1"/>
  <c r="A14" i="6"/>
  <c r="N36" i="8" l="1"/>
  <c r="N12" i="8"/>
  <c r="O5" i="8"/>
  <c r="N21" i="8"/>
  <c r="N35" i="8"/>
  <c r="N6" i="8"/>
  <c r="N11" i="8"/>
  <c r="N7" i="8"/>
  <c r="N18" i="8"/>
  <c r="N16" i="8"/>
  <c r="N23" i="8"/>
  <c r="N10" i="8"/>
  <c r="N27" i="8"/>
  <c r="N19" i="8"/>
  <c r="L11" i="7"/>
  <c r="L11" i="8"/>
  <c r="J373" i="8"/>
  <c r="L391" i="7"/>
  <c r="J391" i="7" s="1"/>
  <c r="D11" i="7"/>
  <c r="A17" i="7"/>
  <c r="F13" i="6"/>
  <c r="J13" i="6"/>
  <c r="D41" i="8" s="1"/>
  <c r="N13" i="6"/>
  <c r="N41" i="7" s="1"/>
  <c r="A15" i="6"/>
  <c r="N41" i="8" l="1"/>
  <c r="L41" i="7"/>
  <c r="L41" i="8"/>
  <c r="J374" i="8"/>
  <c r="L392" i="7"/>
  <c r="J392" i="7" s="1"/>
  <c r="D41" i="7"/>
  <c r="A18" i="7"/>
  <c r="F14" i="6"/>
  <c r="J14" i="6"/>
  <c r="D22" i="8" s="1"/>
  <c r="N14" i="6"/>
  <c r="A16" i="6"/>
  <c r="N22" i="7" l="1"/>
  <c r="N22" i="8"/>
  <c r="J375" i="8"/>
  <c r="L22" i="7"/>
  <c r="L22" i="8"/>
  <c r="L393" i="7"/>
  <c r="J393" i="7" s="1"/>
  <c r="D22" i="7"/>
  <c r="A19" i="7"/>
  <c r="J15" i="6"/>
  <c r="D20" i="8" s="1"/>
  <c r="N15" i="6"/>
  <c r="F15" i="6"/>
  <c r="A17" i="6"/>
  <c r="N20" i="7" l="1"/>
  <c r="N20" i="8"/>
  <c r="J376" i="8"/>
  <c r="L20" i="7"/>
  <c r="L20" i="8"/>
  <c r="L394" i="7"/>
  <c r="J394" i="7" s="1"/>
  <c r="D20" i="7"/>
  <c r="A20" i="7"/>
  <c r="N16" i="6"/>
  <c r="J16" i="6"/>
  <c r="D42" i="8" s="1"/>
  <c r="F16" i="6"/>
  <c r="A18" i="6"/>
  <c r="J377" i="8" l="1"/>
  <c r="L42" i="7"/>
  <c r="L42" i="8"/>
  <c r="N42" i="7"/>
  <c r="N42" i="8"/>
  <c r="L395" i="7"/>
  <c r="J395" i="7" s="1"/>
  <c r="D42" i="7"/>
  <c r="A21" i="7"/>
  <c r="N17" i="6"/>
  <c r="F17" i="6"/>
  <c r="J17" i="6"/>
  <c r="D28" i="8" s="1"/>
  <c r="A19" i="6"/>
  <c r="J378" i="8" l="1"/>
  <c r="L28" i="7"/>
  <c r="L28" i="8"/>
  <c r="N28" i="7"/>
  <c r="N28" i="8"/>
  <c r="L396" i="7"/>
  <c r="J396" i="7" s="1"/>
  <c r="D28" i="7"/>
  <c r="A22" i="7"/>
  <c r="N18" i="6"/>
  <c r="J18" i="6"/>
  <c r="D31" i="8" s="1"/>
  <c r="F18" i="6"/>
  <c r="A20" i="6"/>
  <c r="N31" i="7" l="1"/>
  <c r="N31" i="8"/>
  <c r="J379" i="8"/>
  <c r="L31" i="7"/>
  <c r="L31" i="8"/>
  <c r="M396" i="7"/>
  <c r="N396" i="7" s="1"/>
  <c r="D31" i="7"/>
  <c r="A23" i="7"/>
  <c r="F19" i="6"/>
  <c r="J19" i="6"/>
  <c r="D13" i="8" s="1"/>
  <c r="N19" i="6"/>
  <c r="A21" i="6"/>
  <c r="L13" i="7" l="1"/>
  <c r="L13" i="8"/>
  <c r="J380" i="8"/>
  <c r="N13" i="7"/>
  <c r="N13" i="8"/>
  <c r="R396" i="7"/>
  <c r="S396" i="7"/>
  <c r="U396" i="7"/>
  <c r="V396" i="7"/>
  <c r="T396" i="7"/>
  <c r="B399" i="7"/>
  <c r="O396" i="7"/>
  <c r="P396" i="7"/>
  <c r="Q396" i="7"/>
  <c r="M382" i="7"/>
  <c r="N382" i="7" s="1"/>
  <c r="M367" i="7"/>
  <c r="N367" i="7" s="1"/>
  <c r="M370" i="7"/>
  <c r="N370" i="7" s="1"/>
  <c r="M377" i="7"/>
  <c r="N377" i="7" s="1"/>
  <c r="M364" i="7"/>
  <c r="N364" i="7" s="1"/>
  <c r="M371" i="7"/>
  <c r="N371" i="7" s="1"/>
  <c r="M379" i="7"/>
  <c r="N379" i="7" s="1"/>
  <c r="M376" i="7"/>
  <c r="N376" i="7" s="1"/>
  <c r="M381" i="7"/>
  <c r="N381" i="7" s="1"/>
  <c r="M362" i="7"/>
  <c r="N362" i="7" s="1"/>
  <c r="M378" i="7"/>
  <c r="N378" i="7" s="1"/>
  <c r="M380" i="7"/>
  <c r="N380" i="7" s="1"/>
  <c r="M373" i="7"/>
  <c r="N373" i="7" s="1"/>
  <c r="M375" i="7"/>
  <c r="N375" i="7" s="1"/>
  <c r="M374" i="7"/>
  <c r="N374" i="7" s="1"/>
  <c r="M372" i="7"/>
  <c r="N372" i="7" s="1"/>
  <c r="M366" i="7"/>
  <c r="N366" i="7" s="1"/>
  <c r="M368" i="7"/>
  <c r="N368" i="7" s="1"/>
  <c r="M365" i="7"/>
  <c r="N365" i="7" s="1"/>
  <c r="M363" i="7"/>
  <c r="N363" i="7" s="1"/>
  <c r="M369" i="7"/>
  <c r="N369" i="7" s="1"/>
  <c r="M383" i="7"/>
  <c r="N383" i="7" s="1"/>
  <c r="M384" i="7"/>
  <c r="N384" i="7" s="1"/>
  <c r="M386" i="7"/>
  <c r="N386" i="7" s="1"/>
  <c r="M385" i="7"/>
  <c r="N385" i="7" s="1"/>
  <c r="M388" i="7"/>
  <c r="N388" i="7" s="1"/>
  <c r="M389" i="7"/>
  <c r="N389" i="7" s="1"/>
  <c r="M391" i="7"/>
  <c r="N391" i="7" s="1"/>
  <c r="M390" i="7"/>
  <c r="N390" i="7" s="1"/>
  <c r="M387" i="7"/>
  <c r="N387" i="7" s="1"/>
  <c r="M395" i="7"/>
  <c r="N395" i="7" s="1"/>
  <c r="M394" i="7"/>
  <c r="N394" i="7" s="1"/>
  <c r="M392" i="7"/>
  <c r="N392" i="7" s="1"/>
  <c r="M393" i="7"/>
  <c r="N393" i="7" s="1"/>
  <c r="D13" i="7"/>
  <c r="A24" i="7"/>
  <c r="F20" i="6"/>
  <c r="N20" i="6"/>
  <c r="J20" i="6"/>
  <c r="D9" i="8" s="1"/>
  <c r="A22" i="6"/>
  <c r="L9" i="7" l="1"/>
  <c r="L9" i="8"/>
  <c r="J381" i="8"/>
  <c r="N9" i="7"/>
  <c r="N9" i="8"/>
  <c r="R384" i="7"/>
  <c r="S384" i="7"/>
  <c r="U384" i="7"/>
  <c r="V384" i="7"/>
  <c r="T384" i="7"/>
  <c r="O384" i="7"/>
  <c r="P384" i="7"/>
  <c r="Q384" i="7"/>
  <c r="O379" i="7"/>
  <c r="Q379" i="7"/>
  <c r="R379" i="7"/>
  <c r="T379" i="7"/>
  <c r="S379" i="7"/>
  <c r="V379" i="7"/>
  <c r="P379" i="7"/>
  <c r="U379" i="7"/>
  <c r="O371" i="7"/>
  <c r="P371" i="7"/>
  <c r="S371" i="7"/>
  <c r="T371" i="7"/>
  <c r="V371" i="7"/>
  <c r="Q371" i="7"/>
  <c r="R371" i="7"/>
  <c r="U371" i="7"/>
  <c r="R364" i="7"/>
  <c r="U364" i="7"/>
  <c r="O364" i="7"/>
  <c r="S364" i="7"/>
  <c r="T364" i="7"/>
  <c r="V364" i="7"/>
  <c r="P364" i="7"/>
  <c r="Q364" i="7"/>
  <c r="Q377" i="7"/>
  <c r="O377" i="7"/>
  <c r="U377" i="7"/>
  <c r="P377" i="7"/>
  <c r="R377" i="7"/>
  <c r="S377" i="7"/>
  <c r="T377" i="7"/>
  <c r="V377" i="7"/>
  <c r="P365" i="7"/>
  <c r="S365" i="7"/>
  <c r="T365" i="7"/>
  <c r="Q365" i="7"/>
  <c r="O365" i="7"/>
  <c r="R365" i="7"/>
  <c r="U365" i="7"/>
  <c r="V365" i="7"/>
  <c r="Q393" i="7"/>
  <c r="R393" i="7"/>
  <c r="U393" i="7"/>
  <c r="V393" i="7"/>
  <c r="O393" i="7"/>
  <c r="P393" i="7"/>
  <c r="S393" i="7"/>
  <c r="T393" i="7"/>
  <c r="R368" i="7"/>
  <c r="V368" i="7"/>
  <c r="S368" i="7"/>
  <c r="U368" i="7"/>
  <c r="T368" i="7"/>
  <c r="O368" i="7"/>
  <c r="P368" i="7"/>
  <c r="Q368" i="7"/>
  <c r="R392" i="7"/>
  <c r="S392" i="7"/>
  <c r="U392" i="7"/>
  <c r="T392" i="7"/>
  <c r="V392" i="7"/>
  <c r="O392" i="7"/>
  <c r="P392" i="7"/>
  <c r="Q392" i="7"/>
  <c r="R366" i="7"/>
  <c r="V366" i="7"/>
  <c r="S366" i="7"/>
  <c r="U366" i="7"/>
  <c r="O366" i="7"/>
  <c r="T366" i="7"/>
  <c r="P366" i="7"/>
  <c r="Q366" i="7"/>
  <c r="R382" i="7"/>
  <c r="V382" i="7"/>
  <c r="S382" i="7"/>
  <c r="U382" i="7"/>
  <c r="T382" i="7"/>
  <c r="O382" i="7"/>
  <c r="P382" i="7"/>
  <c r="Q382" i="7"/>
  <c r="R394" i="7"/>
  <c r="V394" i="7"/>
  <c r="S394" i="7"/>
  <c r="U394" i="7"/>
  <c r="T394" i="7"/>
  <c r="O394" i="7"/>
  <c r="P394" i="7"/>
  <c r="Q394" i="7"/>
  <c r="R372" i="7"/>
  <c r="V372" i="7"/>
  <c r="S372" i="7"/>
  <c r="U372" i="7"/>
  <c r="O372" i="7"/>
  <c r="T372" i="7"/>
  <c r="P372" i="7"/>
  <c r="Q372" i="7"/>
  <c r="Q395" i="7"/>
  <c r="R395" i="7"/>
  <c r="T395" i="7"/>
  <c r="V395" i="7"/>
  <c r="O395" i="7"/>
  <c r="P395" i="7"/>
  <c r="S395" i="7"/>
  <c r="U395" i="7"/>
  <c r="R374" i="7"/>
  <c r="S374" i="7"/>
  <c r="U374" i="7"/>
  <c r="V374" i="7"/>
  <c r="T374" i="7"/>
  <c r="O374" i="7"/>
  <c r="P374" i="7"/>
  <c r="Q374" i="7"/>
  <c r="O387" i="7"/>
  <c r="Q387" i="7"/>
  <c r="S387" i="7"/>
  <c r="V387" i="7"/>
  <c r="R387" i="7"/>
  <c r="P387" i="7"/>
  <c r="T387" i="7"/>
  <c r="U387" i="7"/>
  <c r="O375" i="7"/>
  <c r="Q375" i="7"/>
  <c r="R375" i="7"/>
  <c r="S375" i="7"/>
  <c r="T375" i="7"/>
  <c r="P375" i="7"/>
  <c r="V375" i="7"/>
  <c r="U375" i="7"/>
  <c r="R390" i="7"/>
  <c r="S390" i="7"/>
  <c r="V390" i="7"/>
  <c r="T390" i="7"/>
  <c r="U390" i="7"/>
  <c r="O390" i="7"/>
  <c r="P390" i="7"/>
  <c r="Q390" i="7"/>
  <c r="Q373" i="7"/>
  <c r="O373" i="7"/>
  <c r="R373" i="7"/>
  <c r="S373" i="7"/>
  <c r="T373" i="7"/>
  <c r="U373" i="7"/>
  <c r="P373" i="7"/>
  <c r="V373" i="7"/>
  <c r="D399" i="7"/>
  <c r="I399" i="7"/>
  <c r="C399" i="7"/>
  <c r="E399" i="7"/>
  <c r="F399" i="7"/>
  <c r="H399" i="7"/>
  <c r="G399" i="7"/>
  <c r="O391" i="7"/>
  <c r="P391" i="7"/>
  <c r="Q391" i="7"/>
  <c r="S391" i="7"/>
  <c r="T391" i="7"/>
  <c r="R391" i="7"/>
  <c r="U391" i="7"/>
  <c r="V391" i="7"/>
  <c r="R380" i="7"/>
  <c r="O380" i="7"/>
  <c r="S380" i="7"/>
  <c r="U380" i="7"/>
  <c r="T380" i="7"/>
  <c r="V380" i="7"/>
  <c r="P380" i="7"/>
  <c r="Q380" i="7"/>
  <c r="R378" i="7"/>
  <c r="V378" i="7"/>
  <c r="S378" i="7"/>
  <c r="U378" i="7"/>
  <c r="O378" i="7"/>
  <c r="T378" i="7"/>
  <c r="Q378" i="7"/>
  <c r="P378" i="7"/>
  <c r="P362" i="7"/>
  <c r="R362" i="7"/>
  <c r="T362" i="7"/>
  <c r="U362" i="7"/>
  <c r="V362" i="7"/>
  <c r="Q362" i="7"/>
  <c r="S362" i="7"/>
  <c r="O362" i="7"/>
  <c r="T385" i="7"/>
  <c r="O385" i="7"/>
  <c r="P385" i="7"/>
  <c r="U385" i="7"/>
  <c r="Q385" i="7"/>
  <c r="R385" i="7"/>
  <c r="S385" i="7"/>
  <c r="V385" i="7"/>
  <c r="P381" i="7"/>
  <c r="Q381" i="7"/>
  <c r="S381" i="7"/>
  <c r="O381" i="7"/>
  <c r="R381" i="7"/>
  <c r="T381" i="7"/>
  <c r="U381" i="7"/>
  <c r="V381" i="7"/>
  <c r="O383" i="7"/>
  <c r="Q383" i="7"/>
  <c r="R383" i="7"/>
  <c r="T383" i="7"/>
  <c r="S383" i="7"/>
  <c r="V383" i="7"/>
  <c r="P383" i="7"/>
  <c r="U383" i="7"/>
  <c r="Q369" i="7"/>
  <c r="R369" i="7"/>
  <c r="T369" i="7"/>
  <c r="O369" i="7"/>
  <c r="U369" i="7"/>
  <c r="P369" i="7"/>
  <c r="S369" i="7"/>
  <c r="V369" i="7"/>
  <c r="O363" i="7"/>
  <c r="R363" i="7"/>
  <c r="T363" i="7"/>
  <c r="U363" i="7"/>
  <c r="V363" i="7"/>
  <c r="P363" i="7"/>
  <c r="Q363" i="7"/>
  <c r="S363" i="7"/>
  <c r="R370" i="7"/>
  <c r="O370" i="7"/>
  <c r="S370" i="7"/>
  <c r="U370" i="7"/>
  <c r="T370" i="7"/>
  <c r="V370" i="7"/>
  <c r="P370" i="7"/>
  <c r="Q370" i="7"/>
  <c r="Q367" i="7"/>
  <c r="U367" i="7"/>
  <c r="V367" i="7"/>
  <c r="O367" i="7"/>
  <c r="P367" i="7"/>
  <c r="R367" i="7"/>
  <c r="S367" i="7"/>
  <c r="T367" i="7"/>
  <c r="R389" i="7"/>
  <c r="T389" i="7"/>
  <c r="O389" i="7"/>
  <c r="Q389" i="7"/>
  <c r="S389" i="7"/>
  <c r="U389" i="7"/>
  <c r="V389" i="7"/>
  <c r="P389" i="7"/>
  <c r="R388" i="7"/>
  <c r="V388" i="7"/>
  <c r="S388" i="7"/>
  <c r="U388" i="7"/>
  <c r="T388" i="7"/>
  <c r="O388" i="7"/>
  <c r="P388" i="7"/>
  <c r="Q388" i="7"/>
  <c r="R386" i="7"/>
  <c r="U386" i="7"/>
  <c r="S386" i="7"/>
  <c r="T386" i="7"/>
  <c r="V386" i="7"/>
  <c r="O386" i="7"/>
  <c r="P386" i="7"/>
  <c r="Q386" i="7"/>
  <c r="R376" i="7"/>
  <c r="O376" i="7"/>
  <c r="S376" i="7"/>
  <c r="U376" i="7"/>
  <c r="T376" i="7"/>
  <c r="V376" i="7"/>
  <c r="P376" i="7"/>
  <c r="Q376" i="7"/>
  <c r="D9" i="7"/>
  <c r="A25" i="7"/>
  <c r="F21" i="6"/>
  <c r="J21" i="6"/>
  <c r="D15" i="8" s="1"/>
  <c r="N21" i="6"/>
  <c r="A23" i="6"/>
  <c r="L15" i="7" l="1"/>
  <c r="L15" i="8"/>
  <c r="J382" i="8"/>
  <c r="N15" i="7"/>
  <c r="N15" i="8"/>
  <c r="D15" i="7"/>
  <c r="A26" i="7"/>
  <c r="F22" i="6"/>
  <c r="J22" i="6"/>
  <c r="D17" i="8" s="1"/>
  <c r="N22" i="6"/>
  <c r="A24" i="6"/>
  <c r="N17" i="7" l="1"/>
  <c r="N17" i="8"/>
  <c r="L17" i="7"/>
  <c r="L17" i="8"/>
  <c r="J383" i="8"/>
  <c r="D17" i="7"/>
  <c r="A27" i="7"/>
  <c r="J23" i="6"/>
  <c r="D8" i="8" s="1"/>
  <c r="N23" i="6"/>
  <c r="F23" i="6"/>
  <c r="A25" i="6"/>
  <c r="L8" i="7" l="1"/>
  <c r="L8" i="8"/>
  <c r="N8" i="7"/>
  <c r="N8" i="8"/>
  <c r="J384" i="8"/>
  <c r="D8" i="7"/>
  <c r="A28" i="7"/>
  <c r="J24" i="6"/>
  <c r="D34" i="8" s="1"/>
  <c r="N24" i="6"/>
  <c r="F24" i="6"/>
  <c r="A26" i="6"/>
  <c r="L34" i="7" l="1"/>
  <c r="L34" i="8"/>
  <c r="N34" i="7"/>
  <c r="N34" i="8"/>
  <c r="J385" i="8"/>
  <c r="D34" i="7"/>
  <c r="A29" i="7"/>
  <c r="N25" i="6"/>
  <c r="F25" i="6"/>
  <c r="J25" i="6"/>
  <c r="D43" i="8" s="1"/>
  <c r="A27" i="6"/>
  <c r="J386" i="8" l="1"/>
  <c r="L43" i="7"/>
  <c r="L43" i="8"/>
  <c r="N43" i="7"/>
  <c r="N43" i="8"/>
  <c r="D43" i="7"/>
  <c r="A30" i="7"/>
  <c r="N26" i="6"/>
  <c r="F26" i="6"/>
  <c r="J26" i="6"/>
  <c r="D25" i="8" s="1"/>
  <c r="A28" i="6"/>
  <c r="L25" i="7" l="1"/>
  <c r="L25" i="8"/>
  <c r="N25" i="7"/>
  <c r="N25" i="8"/>
  <c r="J387" i="8"/>
  <c r="D25" i="7"/>
  <c r="A31" i="7"/>
  <c r="F27" i="6"/>
  <c r="J27" i="6"/>
  <c r="D38" i="8" s="1"/>
  <c r="N27" i="6"/>
  <c r="A29" i="6"/>
  <c r="N38" i="7" l="1"/>
  <c r="N38" i="8"/>
  <c r="J388" i="8"/>
  <c r="L38" i="7"/>
  <c r="L38" i="8"/>
  <c r="D38" i="7"/>
  <c r="A32" i="7"/>
  <c r="F28" i="6"/>
  <c r="J28" i="6"/>
  <c r="D14" i="8" s="1"/>
  <c r="N28" i="6"/>
  <c r="A30" i="6"/>
  <c r="J389" i="8" l="1"/>
  <c r="N14" i="7"/>
  <c r="N14" i="8"/>
  <c r="L14" i="7"/>
  <c r="L14" i="8"/>
  <c r="D14" i="7"/>
  <c r="A33" i="7"/>
  <c r="F29" i="6"/>
  <c r="J29" i="6"/>
  <c r="D30" i="8" s="1"/>
  <c r="N29" i="6"/>
  <c r="A31" i="6"/>
  <c r="P558" i="1"/>
  <c r="P554" i="1"/>
  <c r="P549" i="1"/>
  <c r="P514" i="1"/>
  <c r="Q513" i="1"/>
  <c r="P513" i="1"/>
  <c r="Q479" i="1"/>
  <c r="P479" i="1"/>
  <c r="P482" i="1"/>
  <c r="P413" i="1"/>
  <c r="Q411" i="1"/>
  <c r="P411" i="1"/>
  <c r="Q377" i="1"/>
  <c r="P377" i="1"/>
  <c r="P382" i="1"/>
  <c r="Q343" i="1"/>
  <c r="P343" i="1"/>
  <c r="P353" i="1"/>
  <c r="Q309" i="1"/>
  <c r="P309" i="1"/>
  <c r="P311" i="1"/>
  <c r="Q275" i="1"/>
  <c r="P275" i="1"/>
  <c r="P277" i="1"/>
  <c r="Q207" i="1"/>
  <c r="P207" i="1"/>
  <c r="P211" i="1"/>
  <c r="Q173" i="1"/>
  <c r="P173" i="1"/>
  <c r="P177" i="1"/>
  <c r="P146" i="1"/>
  <c r="Q71" i="1"/>
  <c r="P71" i="1"/>
  <c r="P79" i="1"/>
  <c r="Q3" i="1"/>
  <c r="P3" i="1"/>
  <c r="P531" i="1"/>
  <c r="P530" i="1"/>
  <c r="P525" i="1"/>
  <c r="P516" i="1"/>
  <c r="P507" i="1"/>
  <c r="P501" i="1"/>
  <c r="P492" i="1"/>
  <c r="P468" i="1"/>
  <c r="P467" i="1"/>
  <c r="P466" i="1"/>
  <c r="P462" i="1"/>
  <c r="P459" i="1"/>
  <c r="P461" i="1"/>
  <c r="P451" i="1"/>
  <c r="L1157" i="1"/>
  <c r="O1156" i="1"/>
  <c r="L1156" i="1"/>
  <c r="O1155" i="1"/>
  <c r="L1155" i="1"/>
  <c r="Q1154" i="1"/>
  <c r="P1154" i="1"/>
  <c r="N1154" i="1"/>
  <c r="M1154" i="1"/>
  <c r="Q1153" i="1"/>
  <c r="P1153" i="1"/>
  <c r="N1153" i="1"/>
  <c r="M1153" i="1"/>
  <c r="N1152" i="1"/>
  <c r="M1152" i="1"/>
  <c r="Q1151" i="1"/>
  <c r="P1151" i="1"/>
  <c r="N1151" i="1"/>
  <c r="M1151" i="1"/>
  <c r="Q1150" i="1"/>
  <c r="P1150" i="1"/>
  <c r="N1150" i="1"/>
  <c r="M1150" i="1"/>
  <c r="Q1149" i="1"/>
  <c r="P1149" i="1"/>
  <c r="N1149" i="1"/>
  <c r="M1149" i="1"/>
  <c r="N1148" i="1"/>
  <c r="M1148" i="1"/>
  <c r="Q1147" i="1"/>
  <c r="P1147" i="1"/>
  <c r="N1147" i="1"/>
  <c r="M1147" i="1"/>
  <c r="N1146" i="1"/>
  <c r="M1146" i="1"/>
  <c r="Q1145" i="1"/>
  <c r="P1145" i="1"/>
  <c r="N1145" i="1"/>
  <c r="M1145" i="1"/>
  <c r="N1144" i="1"/>
  <c r="M1144" i="1"/>
  <c r="Q1143" i="1"/>
  <c r="P1143" i="1"/>
  <c r="N1143" i="1"/>
  <c r="M1143" i="1"/>
  <c r="Q1142" i="1"/>
  <c r="P1142" i="1"/>
  <c r="N1142" i="1"/>
  <c r="M1142" i="1"/>
  <c r="Q1141" i="1"/>
  <c r="P1141" i="1"/>
  <c r="N1141" i="1"/>
  <c r="M1141" i="1"/>
  <c r="Q1140" i="1"/>
  <c r="P1140" i="1"/>
  <c r="N1140" i="1"/>
  <c r="M1140" i="1"/>
  <c r="Q1139" i="1"/>
  <c r="P1139" i="1"/>
  <c r="N1139" i="1"/>
  <c r="M1139" i="1"/>
  <c r="Q1138" i="1"/>
  <c r="P1138" i="1"/>
  <c r="N1138" i="1"/>
  <c r="M1138" i="1"/>
  <c r="Q1137" i="1"/>
  <c r="P1137" i="1"/>
  <c r="N1137" i="1"/>
  <c r="M1137" i="1"/>
  <c r="Q1136" i="1"/>
  <c r="P1136" i="1"/>
  <c r="N1136" i="1"/>
  <c r="M1136" i="1"/>
  <c r="Q1135" i="1"/>
  <c r="P1135" i="1"/>
  <c r="N1135" i="1"/>
  <c r="M1135" i="1"/>
  <c r="N1134" i="1"/>
  <c r="M1134" i="1"/>
  <c r="Q1133" i="1"/>
  <c r="P1133" i="1"/>
  <c r="N1133" i="1"/>
  <c r="M1133" i="1"/>
  <c r="Q1132" i="1"/>
  <c r="P1132" i="1"/>
  <c r="N1132" i="1"/>
  <c r="M1132" i="1"/>
  <c r="Q1131" i="1"/>
  <c r="P1131" i="1"/>
  <c r="N1131" i="1"/>
  <c r="M1131" i="1"/>
  <c r="N1130" i="1"/>
  <c r="M1130" i="1"/>
  <c r="Q1129" i="1"/>
  <c r="P1129" i="1"/>
  <c r="N1129" i="1"/>
  <c r="M1129" i="1"/>
  <c r="Q1128" i="1"/>
  <c r="P1128" i="1"/>
  <c r="N1128" i="1"/>
  <c r="M1128" i="1"/>
  <c r="Q1127" i="1"/>
  <c r="P1127" i="1"/>
  <c r="N1127" i="1"/>
  <c r="M1127" i="1"/>
  <c r="Q1126" i="1"/>
  <c r="P1126" i="1"/>
  <c r="N1126" i="1"/>
  <c r="M1126" i="1"/>
  <c r="A1126" i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Q1125" i="1"/>
  <c r="P1125" i="1"/>
  <c r="N1125" i="1"/>
  <c r="M1125" i="1"/>
  <c r="L1123" i="1"/>
  <c r="O1122" i="1"/>
  <c r="L1122" i="1"/>
  <c r="O1121" i="1"/>
  <c r="L1121" i="1"/>
  <c r="N1120" i="1"/>
  <c r="M1120" i="1"/>
  <c r="N1119" i="1"/>
  <c r="M1119" i="1"/>
  <c r="N1118" i="1"/>
  <c r="M1118" i="1"/>
  <c r="N1117" i="1"/>
  <c r="M1117" i="1"/>
  <c r="N1116" i="1"/>
  <c r="M1116" i="1"/>
  <c r="N1115" i="1"/>
  <c r="M1115" i="1"/>
  <c r="N1114" i="1"/>
  <c r="M1114" i="1"/>
  <c r="N1113" i="1"/>
  <c r="M1113" i="1"/>
  <c r="N1112" i="1"/>
  <c r="M1112" i="1"/>
  <c r="Q1111" i="1"/>
  <c r="P1111" i="1"/>
  <c r="N1111" i="1"/>
  <c r="M1111" i="1"/>
  <c r="N1110" i="1"/>
  <c r="M1110" i="1"/>
  <c r="Q1109" i="1"/>
  <c r="P1109" i="1"/>
  <c r="N1109" i="1"/>
  <c r="M1109" i="1"/>
  <c r="N1108" i="1"/>
  <c r="M1108" i="1"/>
  <c r="N1107" i="1"/>
  <c r="M1107" i="1"/>
  <c r="N1106" i="1"/>
  <c r="M1106" i="1"/>
  <c r="N1105" i="1"/>
  <c r="M1105" i="1"/>
  <c r="Q1104" i="1"/>
  <c r="P1104" i="1"/>
  <c r="N1104" i="1"/>
  <c r="M1104" i="1"/>
  <c r="N1103" i="1"/>
  <c r="M1103" i="1"/>
  <c r="N1102" i="1"/>
  <c r="M1102" i="1"/>
  <c r="N1101" i="1"/>
  <c r="M1101" i="1"/>
  <c r="N1100" i="1"/>
  <c r="M1100" i="1"/>
  <c r="N1099" i="1"/>
  <c r="M1099" i="1"/>
  <c r="N1098" i="1"/>
  <c r="M1098" i="1"/>
  <c r="N1097" i="1"/>
  <c r="M1097" i="1"/>
  <c r="N1096" i="1"/>
  <c r="M1096" i="1"/>
  <c r="N1095" i="1"/>
  <c r="M1095" i="1"/>
  <c r="N1094" i="1"/>
  <c r="M1094" i="1"/>
  <c r="N1093" i="1"/>
  <c r="M1093" i="1"/>
  <c r="N1092" i="1"/>
  <c r="M1092" i="1"/>
  <c r="A1092" i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N1091" i="1"/>
  <c r="M1091" i="1"/>
  <c r="L1089" i="1"/>
  <c r="O1088" i="1"/>
  <c r="L1088" i="1"/>
  <c r="O1087" i="1"/>
  <c r="L1087" i="1"/>
  <c r="N1086" i="1"/>
  <c r="M1086" i="1"/>
  <c r="N1085" i="1"/>
  <c r="M1085" i="1"/>
  <c r="N1084" i="1"/>
  <c r="M1084" i="1"/>
  <c r="N1083" i="1"/>
  <c r="M1083" i="1"/>
  <c r="N1082" i="1"/>
  <c r="M1082" i="1"/>
  <c r="N1081" i="1"/>
  <c r="M1081" i="1"/>
  <c r="N1080" i="1"/>
  <c r="M1080" i="1"/>
  <c r="N1079" i="1"/>
  <c r="M1079" i="1"/>
  <c r="N1078" i="1"/>
  <c r="M1078" i="1"/>
  <c r="N1077" i="1"/>
  <c r="M1077" i="1"/>
  <c r="N1076" i="1"/>
  <c r="M1076" i="1"/>
  <c r="N1075" i="1"/>
  <c r="M1075" i="1"/>
  <c r="N1074" i="1"/>
  <c r="M1074" i="1"/>
  <c r="N1073" i="1"/>
  <c r="M1073" i="1"/>
  <c r="N1072" i="1"/>
  <c r="M1072" i="1"/>
  <c r="N1071" i="1"/>
  <c r="M1071" i="1"/>
  <c r="N1070" i="1"/>
  <c r="M1070" i="1"/>
  <c r="N1069" i="1"/>
  <c r="M1069" i="1"/>
  <c r="N1068" i="1"/>
  <c r="M1068" i="1"/>
  <c r="Q1067" i="1"/>
  <c r="P1067" i="1"/>
  <c r="N1067" i="1"/>
  <c r="M1067" i="1"/>
  <c r="N1066" i="1"/>
  <c r="M1066" i="1"/>
  <c r="N1065" i="1"/>
  <c r="M1065" i="1"/>
  <c r="N1064" i="1"/>
  <c r="M1064" i="1"/>
  <c r="Q1063" i="1"/>
  <c r="P1063" i="1"/>
  <c r="N1063" i="1"/>
  <c r="M1063" i="1"/>
  <c r="Q1062" i="1"/>
  <c r="P1062" i="1"/>
  <c r="N1062" i="1"/>
  <c r="M1062" i="1"/>
  <c r="Q1060" i="1"/>
  <c r="P1060" i="1"/>
  <c r="N1060" i="1"/>
  <c r="M1060" i="1"/>
  <c r="Q1059" i="1"/>
  <c r="P1059" i="1"/>
  <c r="N1059" i="1"/>
  <c r="M1059" i="1"/>
  <c r="Q1058" i="1"/>
  <c r="P1058" i="1"/>
  <c r="N1058" i="1"/>
  <c r="M1058" i="1"/>
  <c r="A1058" i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N1057" i="1"/>
  <c r="M1057" i="1"/>
  <c r="L1055" i="1"/>
  <c r="O1054" i="1"/>
  <c r="L1054" i="1"/>
  <c r="O1053" i="1"/>
  <c r="L1053" i="1"/>
  <c r="Q1052" i="1"/>
  <c r="P1052" i="1"/>
  <c r="N1052" i="1"/>
  <c r="M1052" i="1"/>
  <c r="Q1050" i="1"/>
  <c r="P1050" i="1"/>
  <c r="N1050" i="1"/>
  <c r="M1050" i="1"/>
  <c r="Q1049" i="1"/>
  <c r="P1049" i="1"/>
  <c r="N1049" i="1"/>
  <c r="M1049" i="1"/>
  <c r="N1048" i="1"/>
  <c r="M1048" i="1"/>
  <c r="Q1047" i="1"/>
  <c r="P1047" i="1"/>
  <c r="N1047" i="1"/>
  <c r="M1047" i="1"/>
  <c r="Q1046" i="1"/>
  <c r="P1046" i="1"/>
  <c r="N1046" i="1"/>
  <c r="M1046" i="1"/>
  <c r="Q1045" i="1"/>
  <c r="P1045" i="1"/>
  <c r="N1045" i="1"/>
  <c r="M1045" i="1"/>
  <c r="N1044" i="1"/>
  <c r="M1044" i="1"/>
  <c r="Q1043" i="1"/>
  <c r="P1043" i="1"/>
  <c r="N1043" i="1"/>
  <c r="M1043" i="1"/>
  <c r="Q1042" i="1"/>
  <c r="P1042" i="1"/>
  <c r="N1042" i="1"/>
  <c r="M1042" i="1"/>
  <c r="Q1041" i="1"/>
  <c r="P1041" i="1"/>
  <c r="N1041" i="1"/>
  <c r="M1041" i="1"/>
  <c r="Q1040" i="1"/>
  <c r="P1040" i="1"/>
  <c r="N1040" i="1"/>
  <c r="M1040" i="1"/>
  <c r="N1039" i="1"/>
  <c r="M1039" i="1"/>
  <c r="Q1038" i="1"/>
  <c r="P1038" i="1"/>
  <c r="N1038" i="1"/>
  <c r="M1038" i="1"/>
  <c r="Q1037" i="1"/>
  <c r="P1037" i="1"/>
  <c r="N1037" i="1"/>
  <c r="M1037" i="1"/>
  <c r="N1036" i="1"/>
  <c r="M1036" i="1"/>
  <c r="Q1035" i="1"/>
  <c r="P1035" i="1"/>
  <c r="N1035" i="1"/>
  <c r="M1035" i="1"/>
  <c r="N1034" i="1"/>
  <c r="M1034" i="1"/>
  <c r="Q1033" i="1"/>
  <c r="P1033" i="1"/>
  <c r="N1033" i="1"/>
  <c r="M1033" i="1"/>
  <c r="N1032" i="1"/>
  <c r="M1032" i="1"/>
  <c r="Q1031" i="1"/>
  <c r="P1031" i="1"/>
  <c r="N1031" i="1"/>
  <c r="M1031" i="1"/>
  <c r="Q1030" i="1"/>
  <c r="P1030" i="1"/>
  <c r="N1030" i="1"/>
  <c r="M1030" i="1"/>
  <c r="N1029" i="1"/>
  <c r="M1029" i="1"/>
  <c r="N1028" i="1"/>
  <c r="M1028" i="1"/>
  <c r="Q1027" i="1"/>
  <c r="P1027" i="1"/>
  <c r="N1027" i="1"/>
  <c r="M1027" i="1"/>
  <c r="Q1026" i="1"/>
  <c r="P1026" i="1"/>
  <c r="N1026" i="1"/>
  <c r="M1026" i="1"/>
  <c r="Q1025" i="1"/>
  <c r="P1025" i="1"/>
  <c r="N1025" i="1"/>
  <c r="M1025" i="1"/>
  <c r="Q1024" i="1"/>
  <c r="P1024" i="1"/>
  <c r="N1024" i="1"/>
  <c r="M1024" i="1"/>
  <c r="A1024" i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N1023" i="1"/>
  <c r="M1023" i="1"/>
  <c r="L1021" i="1"/>
  <c r="O1020" i="1"/>
  <c r="L1020" i="1"/>
  <c r="O1019" i="1"/>
  <c r="L1019" i="1"/>
  <c r="Q1018" i="1"/>
  <c r="P1018" i="1"/>
  <c r="N1018" i="1"/>
  <c r="M1018" i="1"/>
  <c r="Q1017" i="1"/>
  <c r="P1017" i="1"/>
  <c r="N1017" i="1"/>
  <c r="M1017" i="1"/>
  <c r="Q1016" i="1"/>
  <c r="P1016" i="1"/>
  <c r="N1016" i="1"/>
  <c r="M1016" i="1"/>
  <c r="Q1015" i="1"/>
  <c r="P1015" i="1"/>
  <c r="N1015" i="1"/>
  <c r="M1015" i="1"/>
  <c r="Q1013" i="1"/>
  <c r="P1013" i="1"/>
  <c r="N1013" i="1"/>
  <c r="M1013" i="1"/>
  <c r="Q1012" i="1"/>
  <c r="P1012" i="1"/>
  <c r="N1012" i="1"/>
  <c r="M1012" i="1"/>
  <c r="Q1011" i="1"/>
  <c r="P1011" i="1"/>
  <c r="N1011" i="1"/>
  <c r="M1011" i="1"/>
  <c r="Q1010" i="1"/>
  <c r="P1010" i="1"/>
  <c r="N1010" i="1"/>
  <c r="M1010" i="1"/>
  <c r="Q1009" i="1"/>
  <c r="P1009" i="1"/>
  <c r="N1009" i="1"/>
  <c r="M1009" i="1"/>
  <c r="N1008" i="1"/>
  <c r="M1008" i="1"/>
  <c r="Q1007" i="1"/>
  <c r="P1007" i="1"/>
  <c r="N1007" i="1"/>
  <c r="M1007" i="1"/>
  <c r="Q1006" i="1"/>
  <c r="P1006" i="1"/>
  <c r="N1006" i="1"/>
  <c r="M1006" i="1"/>
  <c r="Q1005" i="1"/>
  <c r="P1005" i="1"/>
  <c r="N1005" i="1"/>
  <c r="M1005" i="1"/>
  <c r="Q1004" i="1"/>
  <c r="P1004" i="1"/>
  <c r="N1004" i="1"/>
  <c r="M1004" i="1"/>
  <c r="Q1003" i="1"/>
  <c r="P1003" i="1"/>
  <c r="N1003" i="1"/>
  <c r="M1003" i="1"/>
  <c r="N1002" i="1"/>
  <c r="M1002" i="1"/>
  <c r="N1001" i="1"/>
  <c r="M1001" i="1"/>
  <c r="Q1000" i="1"/>
  <c r="P1000" i="1"/>
  <c r="N1000" i="1"/>
  <c r="M1000" i="1"/>
  <c r="Q999" i="1"/>
  <c r="P999" i="1"/>
  <c r="N999" i="1"/>
  <c r="M999" i="1"/>
  <c r="Q998" i="1"/>
  <c r="P998" i="1"/>
  <c r="N998" i="1"/>
  <c r="M998" i="1"/>
  <c r="N997" i="1"/>
  <c r="M997" i="1"/>
  <c r="Q996" i="1"/>
  <c r="P996" i="1"/>
  <c r="N996" i="1"/>
  <c r="M996" i="1"/>
  <c r="Q995" i="1"/>
  <c r="P995" i="1"/>
  <c r="N995" i="1"/>
  <c r="M995" i="1"/>
  <c r="Q994" i="1"/>
  <c r="P994" i="1"/>
  <c r="N994" i="1"/>
  <c r="M994" i="1"/>
  <c r="Q993" i="1"/>
  <c r="P993" i="1"/>
  <c r="N993" i="1"/>
  <c r="M993" i="1"/>
  <c r="Q991" i="1"/>
  <c r="P991" i="1"/>
  <c r="N991" i="1"/>
  <c r="M991" i="1"/>
  <c r="N990" i="1"/>
  <c r="M990" i="1"/>
  <c r="A990" i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Q989" i="1"/>
  <c r="P989" i="1"/>
  <c r="N989" i="1"/>
  <c r="M989" i="1"/>
  <c r="L987" i="1"/>
  <c r="O986" i="1"/>
  <c r="L986" i="1"/>
  <c r="O985" i="1"/>
  <c r="L985" i="1"/>
  <c r="Q984" i="1"/>
  <c r="P984" i="1"/>
  <c r="N984" i="1"/>
  <c r="M984" i="1"/>
  <c r="N982" i="1"/>
  <c r="M982" i="1"/>
  <c r="N981" i="1"/>
  <c r="M981" i="1"/>
  <c r="Q980" i="1"/>
  <c r="P980" i="1"/>
  <c r="N980" i="1"/>
  <c r="M980" i="1"/>
  <c r="Q979" i="1"/>
  <c r="P979" i="1"/>
  <c r="N979" i="1"/>
  <c r="M979" i="1"/>
  <c r="Q978" i="1"/>
  <c r="P978" i="1"/>
  <c r="N978" i="1"/>
  <c r="M978" i="1"/>
  <c r="Q976" i="1"/>
  <c r="P976" i="1"/>
  <c r="N976" i="1"/>
  <c r="M976" i="1"/>
  <c r="Q974" i="1"/>
  <c r="P974" i="1"/>
  <c r="N974" i="1"/>
  <c r="M974" i="1"/>
  <c r="Q973" i="1"/>
  <c r="P973" i="1"/>
  <c r="N973" i="1"/>
  <c r="M973" i="1"/>
  <c r="N972" i="1"/>
  <c r="M972" i="1"/>
  <c r="Q971" i="1"/>
  <c r="P971" i="1"/>
  <c r="N971" i="1"/>
  <c r="M971" i="1"/>
  <c r="N970" i="1"/>
  <c r="M970" i="1"/>
  <c r="Q969" i="1"/>
  <c r="P969" i="1"/>
  <c r="N969" i="1"/>
  <c r="M969" i="1"/>
  <c r="Q968" i="1"/>
  <c r="P968" i="1"/>
  <c r="N968" i="1"/>
  <c r="M968" i="1"/>
  <c r="N966" i="1"/>
  <c r="M966" i="1"/>
  <c r="Q965" i="1"/>
  <c r="P965" i="1"/>
  <c r="N965" i="1"/>
  <c r="M965" i="1"/>
  <c r="N964" i="1"/>
  <c r="M964" i="1"/>
  <c r="N963" i="1"/>
  <c r="M963" i="1"/>
  <c r="Q962" i="1"/>
  <c r="P962" i="1"/>
  <c r="N962" i="1"/>
  <c r="M962" i="1"/>
  <c r="Q961" i="1"/>
  <c r="P961" i="1"/>
  <c r="N961" i="1"/>
  <c r="M961" i="1"/>
  <c r="Q960" i="1"/>
  <c r="P960" i="1"/>
  <c r="N960" i="1"/>
  <c r="M960" i="1"/>
  <c r="Q959" i="1"/>
  <c r="P959" i="1"/>
  <c r="N959" i="1"/>
  <c r="M959" i="1"/>
  <c r="Q958" i="1"/>
  <c r="P958" i="1"/>
  <c r="N958" i="1"/>
  <c r="M958" i="1"/>
  <c r="Q957" i="1"/>
  <c r="P957" i="1"/>
  <c r="N957" i="1"/>
  <c r="M957" i="1"/>
  <c r="Q956" i="1"/>
  <c r="P956" i="1"/>
  <c r="N956" i="1"/>
  <c r="M956" i="1"/>
  <c r="A956" i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Q955" i="1"/>
  <c r="P955" i="1"/>
  <c r="N955" i="1"/>
  <c r="M955" i="1"/>
  <c r="L953" i="1"/>
  <c r="O952" i="1"/>
  <c r="L952" i="1"/>
  <c r="O951" i="1"/>
  <c r="L951" i="1"/>
  <c r="N950" i="1"/>
  <c r="M950" i="1"/>
  <c r="N949" i="1"/>
  <c r="M949" i="1"/>
  <c r="N948" i="1"/>
  <c r="M948" i="1"/>
  <c r="N947" i="1"/>
  <c r="M947" i="1"/>
  <c r="N946" i="1"/>
  <c r="M946" i="1"/>
  <c r="Q945" i="1"/>
  <c r="P945" i="1"/>
  <c r="N945" i="1"/>
  <c r="M945" i="1"/>
  <c r="N944" i="1"/>
  <c r="M944" i="1"/>
  <c r="N943" i="1"/>
  <c r="M943" i="1"/>
  <c r="N942" i="1"/>
  <c r="M942" i="1"/>
  <c r="Q941" i="1"/>
  <c r="P941" i="1"/>
  <c r="N941" i="1"/>
  <c r="M941" i="1"/>
  <c r="N940" i="1"/>
  <c r="M940" i="1"/>
  <c r="N938" i="1"/>
  <c r="M938" i="1"/>
  <c r="Q937" i="1"/>
  <c r="P937" i="1"/>
  <c r="N937" i="1"/>
  <c r="M937" i="1"/>
  <c r="N936" i="1"/>
  <c r="M936" i="1"/>
  <c r="N935" i="1"/>
  <c r="M935" i="1"/>
  <c r="N934" i="1"/>
  <c r="M934" i="1"/>
  <c r="Q933" i="1"/>
  <c r="P933" i="1"/>
  <c r="N933" i="1"/>
  <c r="M933" i="1"/>
  <c r="N932" i="1"/>
  <c r="M932" i="1"/>
  <c r="Q931" i="1"/>
  <c r="P931" i="1"/>
  <c r="N931" i="1"/>
  <c r="M931" i="1"/>
  <c r="Q930" i="1"/>
  <c r="P930" i="1"/>
  <c r="N930" i="1"/>
  <c r="M930" i="1"/>
  <c r="Q929" i="1"/>
  <c r="P929" i="1"/>
  <c r="N929" i="1"/>
  <c r="M929" i="1"/>
  <c r="N928" i="1"/>
  <c r="M928" i="1"/>
  <c r="Q927" i="1"/>
  <c r="P927" i="1"/>
  <c r="N927" i="1"/>
  <c r="M927" i="1"/>
  <c r="N926" i="1"/>
  <c r="M926" i="1"/>
  <c r="Q925" i="1"/>
  <c r="P925" i="1"/>
  <c r="N925" i="1"/>
  <c r="M925" i="1"/>
  <c r="Q924" i="1"/>
  <c r="P924" i="1"/>
  <c r="N924" i="1"/>
  <c r="M924" i="1"/>
  <c r="Q923" i="1"/>
  <c r="P923" i="1"/>
  <c r="N923" i="1"/>
  <c r="M923" i="1"/>
  <c r="Q922" i="1"/>
  <c r="P922" i="1"/>
  <c r="N922" i="1"/>
  <c r="M922" i="1"/>
  <c r="A922" i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Q921" i="1"/>
  <c r="P921" i="1"/>
  <c r="N921" i="1"/>
  <c r="M921" i="1"/>
  <c r="L919" i="1"/>
  <c r="O918" i="1"/>
  <c r="L918" i="1"/>
  <c r="O917" i="1"/>
  <c r="L917" i="1"/>
  <c r="Q916" i="1"/>
  <c r="P916" i="1"/>
  <c r="N916" i="1"/>
  <c r="M916" i="1"/>
  <c r="Q914" i="1"/>
  <c r="P914" i="1"/>
  <c r="N914" i="1"/>
  <c r="M914" i="1"/>
  <c r="Q912" i="1"/>
  <c r="P912" i="1"/>
  <c r="N912" i="1"/>
  <c r="M912" i="1"/>
  <c r="N911" i="1"/>
  <c r="M911" i="1"/>
  <c r="Q910" i="1"/>
  <c r="P910" i="1"/>
  <c r="N910" i="1"/>
  <c r="M910" i="1"/>
  <c r="Q909" i="1"/>
  <c r="P909" i="1"/>
  <c r="N909" i="1"/>
  <c r="M909" i="1"/>
  <c r="Q908" i="1"/>
  <c r="P908" i="1"/>
  <c r="N908" i="1"/>
  <c r="M908" i="1"/>
  <c r="Q907" i="1"/>
  <c r="P907" i="1"/>
  <c r="N907" i="1"/>
  <c r="M907" i="1"/>
  <c r="Q906" i="1"/>
  <c r="P906" i="1"/>
  <c r="N906" i="1"/>
  <c r="M906" i="1"/>
  <c r="N905" i="1"/>
  <c r="M905" i="1"/>
  <c r="Q903" i="1"/>
  <c r="P903" i="1"/>
  <c r="N903" i="1"/>
  <c r="M903" i="1"/>
  <c r="Q902" i="1"/>
  <c r="P902" i="1"/>
  <c r="N902" i="1"/>
  <c r="M902" i="1"/>
  <c r="Q901" i="1"/>
  <c r="P901" i="1"/>
  <c r="N901" i="1"/>
  <c r="M901" i="1"/>
  <c r="Q900" i="1"/>
  <c r="P900" i="1"/>
  <c r="N900" i="1"/>
  <c r="M900" i="1"/>
  <c r="Q899" i="1"/>
  <c r="P899" i="1"/>
  <c r="N899" i="1"/>
  <c r="M899" i="1"/>
  <c r="Q898" i="1"/>
  <c r="P898" i="1"/>
  <c r="N898" i="1"/>
  <c r="M898" i="1"/>
  <c r="Q897" i="1"/>
  <c r="P897" i="1"/>
  <c r="N897" i="1"/>
  <c r="M897" i="1"/>
  <c r="Q896" i="1"/>
  <c r="P896" i="1"/>
  <c r="N896" i="1"/>
  <c r="M896" i="1"/>
  <c r="Q895" i="1"/>
  <c r="P895" i="1"/>
  <c r="N895" i="1"/>
  <c r="M895" i="1"/>
  <c r="N894" i="1"/>
  <c r="M894" i="1"/>
  <c r="Q893" i="1"/>
  <c r="P893" i="1"/>
  <c r="N893" i="1"/>
  <c r="M893" i="1"/>
  <c r="Q891" i="1"/>
  <c r="P891" i="1"/>
  <c r="N891" i="1"/>
  <c r="M891" i="1"/>
  <c r="Q890" i="1"/>
  <c r="P890" i="1"/>
  <c r="N890" i="1"/>
  <c r="M890" i="1"/>
  <c r="Q889" i="1"/>
  <c r="P889" i="1"/>
  <c r="N889" i="1"/>
  <c r="M889" i="1"/>
  <c r="Q888" i="1"/>
  <c r="P888" i="1"/>
  <c r="N888" i="1"/>
  <c r="M888" i="1"/>
  <c r="A888" i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N887" i="1"/>
  <c r="M887" i="1"/>
  <c r="L885" i="1"/>
  <c r="O884" i="1"/>
  <c r="L884" i="1"/>
  <c r="O883" i="1"/>
  <c r="L883" i="1"/>
  <c r="Q882" i="1"/>
  <c r="P882" i="1"/>
  <c r="N882" i="1"/>
  <c r="M882" i="1"/>
  <c r="N881" i="1"/>
  <c r="M881" i="1"/>
  <c r="Q880" i="1"/>
  <c r="P880" i="1"/>
  <c r="N880" i="1"/>
  <c r="M880" i="1"/>
  <c r="Q879" i="1"/>
  <c r="P879" i="1"/>
  <c r="N879" i="1"/>
  <c r="M879" i="1"/>
  <c r="Q878" i="1"/>
  <c r="P878" i="1"/>
  <c r="N878" i="1"/>
  <c r="M878" i="1"/>
  <c r="Q877" i="1"/>
  <c r="P877" i="1"/>
  <c r="N877" i="1"/>
  <c r="M877" i="1"/>
  <c r="N876" i="1"/>
  <c r="M876" i="1"/>
  <c r="N875" i="1"/>
  <c r="M875" i="1"/>
  <c r="Q874" i="1"/>
  <c r="P874" i="1"/>
  <c r="N874" i="1"/>
  <c r="M874" i="1"/>
  <c r="N873" i="1"/>
  <c r="M873" i="1"/>
  <c r="Q871" i="1"/>
  <c r="P871" i="1"/>
  <c r="N871" i="1"/>
  <c r="M871" i="1"/>
  <c r="Q870" i="1"/>
  <c r="P870" i="1"/>
  <c r="N870" i="1"/>
  <c r="M870" i="1"/>
  <c r="Q869" i="1"/>
  <c r="P869" i="1"/>
  <c r="N869" i="1"/>
  <c r="M869" i="1"/>
  <c r="N868" i="1"/>
  <c r="M868" i="1"/>
  <c r="Q867" i="1"/>
  <c r="P867" i="1"/>
  <c r="N867" i="1"/>
  <c r="M867" i="1"/>
  <c r="Q866" i="1"/>
  <c r="P866" i="1"/>
  <c r="N866" i="1"/>
  <c r="M866" i="1"/>
  <c r="Q865" i="1"/>
  <c r="P865" i="1"/>
  <c r="N865" i="1"/>
  <c r="M865" i="1"/>
  <c r="Q864" i="1"/>
  <c r="P864" i="1"/>
  <c r="N864" i="1"/>
  <c r="M864" i="1"/>
  <c r="Q863" i="1"/>
  <c r="P863" i="1"/>
  <c r="N863" i="1"/>
  <c r="M863" i="1"/>
  <c r="Q862" i="1"/>
  <c r="P862" i="1"/>
  <c r="N862" i="1"/>
  <c r="M862" i="1"/>
  <c r="Q854" i="1"/>
  <c r="P854" i="1"/>
  <c r="N854" i="1"/>
  <c r="M854" i="1"/>
  <c r="N861" i="1"/>
  <c r="M861" i="1"/>
  <c r="Q860" i="1"/>
  <c r="P860" i="1"/>
  <c r="N860" i="1"/>
  <c r="M860" i="1"/>
  <c r="Q859" i="1"/>
  <c r="P859" i="1"/>
  <c r="N859" i="1"/>
  <c r="M859" i="1"/>
  <c r="N858" i="1"/>
  <c r="M858" i="1"/>
  <c r="Q857" i="1"/>
  <c r="P857" i="1"/>
  <c r="N857" i="1"/>
  <c r="M857" i="1"/>
  <c r="Q856" i="1"/>
  <c r="P856" i="1"/>
  <c r="N856" i="1"/>
  <c r="M856" i="1"/>
  <c r="Q855" i="1"/>
  <c r="P855" i="1"/>
  <c r="N855" i="1"/>
  <c r="M855" i="1"/>
  <c r="A854" i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Q853" i="1"/>
  <c r="P853" i="1"/>
  <c r="N853" i="1"/>
  <c r="M853" i="1"/>
  <c r="L851" i="1"/>
  <c r="O850" i="1"/>
  <c r="L850" i="1"/>
  <c r="O849" i="1"/>
  <c r="L849" i="1"/>
  <c r="N848" i="1"/>
  <c r="M848" i="1"/>
  <c r="N846" i="1"/>
  <c r="M846" i="1"/>
  <c r="Q845" i="1"/>
  <c r="P845" i="1"/>
  <c r="N845" i="1"/>
  <c r="M845" i="1"/>
  <c r="Q844" i="1"/>
  <c r="P844" i="1"/>
  <c r="N844" i="1"/>
  <c r="M844" i="1"/>
  <c r="Q843" i="1"/>
  <c r="P843" i="1"/>
  <c r="N843" i="1"/>
  <c r="M843" i="1"/>
  <c r="Q842" i="1"/>
  <c r="P842" i="1"/>
  <c r="N842" i="1"/>
  <c r="M842" i="1"/>
  <c r="Q841" i="1"/>
  <c r="P841" i="1"/>
  <c r="N841" i="1"/>
  <c r="M841" i="1"/>
  <c r="Q840" i="1"/>
  <c r="P840" i="1"/>
  <c r="N840" i="1"/>
  <c r="M840" i="1"/>
  <c r="Q839" i="1"/>
  <c r="P839" i="1"/>
  <c r="N839" i="1"/>
  <c r="M839" i="1"/>
  <c r="Q838" i="1"/>
  <c r="P838" i="1"/>
  <c r="N838" i="1"/>
  <c r="M838" i="1"/>
  <c r="Q836" i="1"/>
  <c r="P836" i="1"/>
  <c r="N836" i="1"/>
  <c r="M836" i="1"/>
  <c r="Q835" i="1"/>
  <c r="P835" i="1"/>
  <c r="N835" i="1"/>
  <c r="M835" i="1"/>
  <c r="Q834" i="1"/>
  <c r="P834" i="1"/>
  <c r="N834" i="1"/>
  <c r="M834" i="1"/>
  <c r="Q833" i="1"/>
  <c r="P833" i="1"/>
  <c r="N833" i="1"/>
  <c r="M833" i="1"/>
  <c r="N832" i="1"/>
  <c r="M832" i="1"/>
  <c r="Q831" i="1"/>
  <c r="P831" i="1"/>
  <c r="N831" i="1"/>
  <c r="M831" i="1"/>
  <c r="Q830" i="1"/>
  <c r="P830" i="1"/>
  <c r="N830" i="1"/>
  <c r="M830" i="1"/>
  <c r="Q829" i="1"/>
  <c r="P829" i="1"/>
  <c r="N829" i="1"/>
  <c r="M829" i="1"/>
  <c r="Q828" i="1"/>
  <c r="P828" i="1"/>
  <c r="N828" i="1"/>
  <c r="M828" i="1"/>
  <c r="Q827" i="1"/>
  <c r="P827" i="1"/>
  <c r="N827" i="1"/>
  <c r="M827" i="1"/>
  <c r="Q826" i="1"/>
  <c r="P826" i="1"/>
  <c r="N826" i="1"/>
  <c r="M826" i="1"/>
  <c r="Q825" i="1"/>
  <c r="P825" i="1"/>
  <c r="N825" i="1"/>
  <c r="M825" i="1"/>
  <c r="Q824" i="1"/>
  <c r="P824" i="1"/>
  <c r="N824" i="1"/>
  <c r="M824" i="1"/>
  <c r="Q823" i="1"/>
  <c r="P823" i="1"/>
  <c r="N823" i="1"/>
  <c r="M823" i="1"/>
  <c r="Q822" i="1"/>
  <c r="P822" i="1"/>
  <c r="N822" i="1"/>
  <c r="M822" i="1"/>
  <c r="Q821" i="1"/>
  <c r="P821" i="1"/>
  <c r="N821" i="1"/>
  <c r="M821" i="1"/>
  <c r="Q820" i="1"/>
  <c r="P820" i="1"/>
  <c r="N820" i="1"/>
  <c r="M820" i="1"/>
  <c r="A820" i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N819" i="1"/>
  <c r="M819" i="1"/>
  <c r="L817" i="1"/>
  <c r="O816" i="1"/>
  <c r="L816" i="1"/>
  <c r="O815" i="1"/>
  <c r="L815" i="1"/>
  <c r="Q813" i="1"/>
  <c r="P813" i="1"/>
  <c r="N813" i="1"/>
  <c r="M813" i="1"/>
  <c r="Q812" i="1"/>
  <c r="P812" i="1"/>
  <c r="N812" i="1"/>
  <c r="M812" i="1"/>
  <c r="Q811" i="1"/>
  <c r="P811" i="1"/>
  <c r="N811" i="1"/>
  <c r="M811" i="1"/>
  <c r="Q810" i="1"/>
  <c r="P810" i="1"/>
  <c r="N810" i="1"/>
  <c r="M810" i="1"/>
  <c r="Q809" i="1"/>
  <c r="P809" i="1"/>
  <c r="N809" i="1"/>
  <c r="M809" i="1"/>
  <c r="N808" i="1"/>
  <c r="M808" i="1"/>
  <c r="Q807" i="1"/>
  <c r="P807" i="1"/>
  <c r="N807" i="1"/>
  <c r="M807" i="1"/>
  <c r="Q805" i="1"/>
  <c r="P805" i="1"/>
  <c r="N805" i="1"/>
  <c r="M805" i="1"/>
  <c r="Q803" i="1"/>
  <c r="P803" i="1"/>
  <c r="N803" i="1"/>
  <c r="M803" i="1"/>
  <c r="N802" i="1"/>
  <c r="M802" i="1"/>
  <c r="Q801" i="1"/>
  <c r="P801" i="1"/>
  <c r="N801" i="1"/>
  <c r="M801" i="1"/>
  <c r="Q800" i="1"/>
  <c r="P800" i="1"/>
  <c r="N800" i="1"/>
  <c r="M800" i="1"/>
  <c r="N799" i="1"/>
  <c r="M799" i="1"/>
  <c r="N797" i="1"/>
  <c r="M797" i="1"/>
  <c r="Q796" i="1"/>
  <c r="P796" i="1"/>
  <c r="N796" i="1"/>
  <c r="M796" i="1"/>
  <c r="N795" i="1"/>
  <c r="M795" i="1"/>
  <c r="Q793" i="1"/>
  <c r="P793" i="1"/>
  <c r="N793" i="1"/>
  <c r="M793" i="1"/>
  <c r="Q792" i="1"/>
  <c r="P792" i="1"/>
  <c r="N792" i="1"/>
  <c r="M792" i="1"/>
  <c r="Q790" i="1"/>
  <c r="P790" i="1"/>
  <c r="N790" i="1"/>
  <c r="M790" i="1"/>
  <c r="N789" i="1"/>
  <c r="M789" i="1"/>
  <c r="Q788" i="1"/>
  <c r="P788" i="1"/>
  <c r="N788" i="1"/>
  <c r="M788" i="1"/>
  <c r="Q787" i="1"/>
  <c r="P787" i="1"/>
  <c r="N787" i="1"/>
  <c r="M787" i="1"/>
  <c r="Q786" i="1"/>
  <c r="P786" i="1"/>
  <c r="N786" i="1"/>
  <c r="M786" i="1"/>
  <c r="A786" i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Q785" i="1"/>
  <c r="P785" i="1"/>
  <c r="N785" i="1"/>
  <c r="M785" i="1"/>
  <c r="L783" i="1"/>
  <c r="O782" i="1"/>
  <c r="L782" i="1"/>
  <c r="O781" i="1"/>
  <c r="L781" i="1"/>
  <c r="Q780" i="1"/>
  <c r="P780" i="1"/>
  <c r="N780" i="1"/>
  <c r="M780" i="1"/>
  <c r="N779" i="1"/>
  <c r="M779" i="1"/>
  <c r="Q778" i="1"/>
  <c r="P778" i="1"/>
  <c r="N778" i="1"/>
  <c r="M778" i="1"/>
  <c r="Q777" i="1"/>
  <c r="P777" i="1"/>
  <c r="N777" i="1"/>
  <c r="M777" i="1"/>
  <c r="Q776" i="1"/>
  <c r="P776" i="1"/>
  <c r="N776" i="1"/>
  <c r="M776" i="1"/>
  <c r="Q775" i="1"/>
  <c r="P775" i="1"/>
  <c r="N775" i="1"/>
  <c r="M775" i="1"/>
  <c r="Q773" i="1"/>
  <c r="P773" i="1"/>
  <c r="N773" i="1"/>
  <c r="M773" i="1"/>
  <c r="N772" i="1"/>
  <c r="M772" i="1"/>
  <c r="Q771" i="1"/>
  <c r="P771" i="1"/>
  <c r="N771" i="1"/>
  <c r="M771" i="1"/>
  <c r="Q770" i="1"/>
  <c r="P770" i="1"/>
  <c r="N770" i="1"/>
  <c r="M770" i="1"/>
  <c r="Q769" i="1"/>
  <c r="P769" i="1"/>
  <c r="N769" i="1"/>
  <c r="M769" i="1"/>
  <c r="Q768" i="1"/>
  <c r="P768" i="1"/>
  <c r="N768" i="1"/>
  <c r="M768" i="1"/>
  <c r="N767" i="1"/>
  <c r="M767" i="1"/>
  <c r="N766" i="1"/>
  <c r="M766" i="1"/>
  <c r="Q765" i="1"/>
  <c r="P765" i="1"/>
  <c r="N765" i="1"/>
  <c r="M765" i="1"/>
  <c r="Q764" i="1"/>
  <c r="P764" i="1"/>
  <c r="N764" i="1"/>
  <c r="M764" i="1"/>
  <c r="Q763" i="1"/>
  <c r="P763" i="1"/>
  <c r="N763" i="1"/>
  <c r="M763" i="1"/>
  <c r="N762" i="1"/>
  <c r="M762" i="1"/>
  <c r="Q761" i="1"/>
  <c r="P761" i="1"/>
  <c r="N761" i="1"/>
  <c r="M761" i="1"/>
  <c r="Q760" i="1"/>
  <c r="P760" i="1"/>
  <c r="N760" i="1"/>
  <c r="M760" i="1"/>
  <c r="Q759" i="1"/>
  <c r="P759" i="1"/>
  <c r="N759" i="1"/>
  <c r="M759" i="1"/>
  <c r="Q758" i="1"/>
  <c r="P758" i="1"/>
  <c r="N758" i="1"/>
  <c r="M758" i="1"/>
  <c r="N757" i="1"/>
  <c r="M757" i="1"/>
  <c r="N756" i="1"/>
  <c r="M756" i="1"/>
  <c r="Q755" i="1"/>
  <c r="P755" i="1"/>
  <c r="N755" i="1"/>
  <c r="M755" i="1"/>
  <c r="Q754" i="1"/>
  <c r="P754" i="1"/>
  <c r="N754" i="1"/>
  <c r="M754" i="1"/>
  <c r="N753" i="1"/>
  <c r="M753" i="1"/>
  <c r="N752" i="1"/>
  <c r="M752" i="1"/>
  <c r="A752" i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Q751" i="1"/>
  <c r="P751" i="1"/>
  <c r="N751" i="1"/>
  <c r="M751" i="1"/>
  <c r="L749" i="1"/>
  <c r="O748" i="1"/>
  <c r="L748" i="1"/>
  <c r="O747" i="1"/>
  <c r="L747" i="1"/>
  <c r="Q746" i="1"/>
  <c r="P746" i="1"/>
  <c r="N746" i="1"/>
  <c r="M746" i="1"/>
  <c r="Q745" i="1"/>
  <c r="P745" i="1"/>
  <c r="N745" i="1"/>
  <c r="M745" i="1"/>
  <c r="Q743" i="1"/>
  <c r="P743" i="1"/>
  <c r="N743" i="1"/>
  <c r="M743" i="1"/>
  <c r="Q741" i="1"/>
  <c r="P741" i="1"/>
  <c r="N741" i="1"/>
  <c r="M741" i="1"/>
  <c r="Q740" i="1"/>
  <c r="P740" i="1"/>
  <c r="N740" i="1"/>
  <c r="M740" i="1"/>
  <c r="Q739" i="1"/>
  <c r="P739" i="1"/>
  <c r="N739" i="1"/>
  <c r="M739" i="1"/>
  <c r="Q738" i="1"/>
  <c r="P738" i="1"/>
  <c r="N738" i="1"/>
  <c r="M738" i="1"/>
  <c r="Q737" i="1"/>
  <c r="P737" i="1"/>
  <c r="N737" i="1"/>
  <c r="M737" i="1"/>
  <c r="Q735" i="1"/>
  <c r="P735" i="1"/>
  <c r="N735" i="1"/>
  <c r="M735" i="1"/>
  <c r="Q733" i="1"/>
  <c r="P733" i="1"/>
  <c r="N733" i="1"/>
  <c r="M733" i="1"/>
  <c r="N732" i="1"/>
  <c r="M732" i="1"/>
  <c r="Q731" i="1"/>
  <c r="P731" i="1"/>
  <c r="N731" i="1"/>
  <c r="M731" i="1"/>
  <c r="N729" i="1"/>
  <c r="M729" i="1"/>
  <c r="Q728" i="1"/>
  <c r="P728" i="1"/>
  <c r="N728" i="1"/>
  <c r="M728" i="1"/>
  <c r="Q726" i="1"/>
  <c r="P726" i="1"/>
  <c r="N726" i="1"/>
  <c r="M726" i="1"/>
  <c r="Q725" i="1"/>
  <c r="P725" i="1"/>
  <c r="N725" i="1"/>
  <c r="M725" i="1"/>
  <c r="N724" i="1"/>
  <c r="M724" i="1"/>
  <c r="Q723" i="1"/>
  <c r="P723" i="1"/>
  <c r="N723" i="1"/>
  <c r="M723" i="1"/>
  <c r="Q722" i="1"/>
  <c r="P722" i="1"/>
  <c r="N722" i="1"/>
  <c r="M722" i="1"/>
  <c r="N721" i="1"/>
  <c r="M721" i="1"/>
  <c r="Q719" i="1"/>
  <c r="P719" i="1"/>
  <c r="N719" i="1"/>
  <c r="M719" i="1"/>
  <c r="Q718" i="1"/>
  <c r="P718" i="1"/>
  <c r="N718" i="1"/>
  <c r="M718" i="1"/>
  <c r="A718" i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Q717" i="1"/>
  <c r="P717" i="1"/>
  <c r="N717" i="1"/>
  <c r="M717" i="1"/>
  <c r="L715" i="1"/>
  <c r="O714" i="1"/>
  <c r="L714" i="1"/>
  <c r="O713" i="1"/>
  <c r="L713" i="1"/>
  <c r="Q712" i="1"/>
  <c r="P712" i="1"/>
  <c r="N712" i="1"/>
  <c r="M712" i="1"/>
  <c r="Q711" i="1"/>
  <c r="P711" i="1"/>
  <c r="N711" i="1"/>
  <c r="M711" i="1"/>
  <c r="Q710" i="1"/>
  <c r="P710" i="1"/>
  <c r="N710" i="1"/>
  <c r="M710" i="1"/>
  <c r="Q709" i="1"/>
  <c r="P709" i="1"/>
  <c r="N709" i="1"/>
  <c r="M709" i="1"/>
  <c r="Q708" i="1"/>
  <c r="P708" i="1"/>
  <c r="N708" i="1"/>
  <c r="M708" i="1"/>
  <c r="N707" i="1"/>
  <c r="M707" i="1"/>
  <c r="Q705" i="1"/>
  <c r="P705" i="1"/>
  <c r="N705" i="1"/>
  <c r="M705" i="1"/>
  <c r="Q704" i="1"/>
  <c r="P704" i="1"/>
  <c r="N704" i="1"/>
  <c r="M704" i="1"/>
  <c r="N703" i="1"/>
  <c r="M703" i="1"/>
  <c r="N702" i="1"/>
  <c r="M702" i="1"/>
  <c r="Q701" i="1"/>
  <c r="P701" i="1"/>
  <c r="N701" i="1"/>
  <c r="M701" i="1"/>
  <c r="Q700" i="1"/>
  <c r="P700" i="1"/>
  <c r="N700" i="1"/>
  <c r="M700" i="1"/>
  <c r="N699" i="1"/>
  <c r="M699" i="1"/>
  <c r="Q698" i="1"/>
  <c r="P698" i="1"/>
  <c r="N698" i="1"/>
  <c r="M698" i="1"/>
  <c r="Q697" i="1"/>
  <c r="P697" i="1"/>
  <c r="N697" i="1"/>
  <c r="M697" i="1"/>
  <c r="Q696" i="1"/>
  <c r="P696" i="1"/>
  <c r="N696" i="1"/>
  <c r="M696" i="1"/>
  <c r="N695" i="1"/>
  <c r="M695" i="1"/>
  <c r="N694" i="1"/>
  <c r="M694" i="1"/>
  <c r="Q693" i="1"/>
  <c r="P693" i="1"/>
  <c r="N693" i="1"/>
  <c r="M693" i="1"/>
  <c r="Q692" i="1"/>
  <c r="P692" i="1"/>
  <c r="N692" i="1"/>
  <c r="M692" i="1"/>
  <c r="Q691" i="1"/>
  <c r="P691" i="1"/>
  <c r="N691" i="1"/>
  <c r="M691" i="1"/>
  <c r="N690" i="1"/>
  <c r="M690" i="1"/>
  <c r="Q689" i="1"/>
  <c r="P689" i="1"/>
  <c r="N689" i="1"/>
  <c r="M689" i="1"/>
  <c r="Q688" i="1"/>
  <c r="P688" i="1"/>
  <c r="N688" i="1"/>
  <c r="M688" i="1"/>
  <c r="Q687" i="1"/>
  <c r="P687" i="1"/>
  <c r="N687" i="1"/>
  <c r="M687" i="1"/>
  <c r="N686" i="1"/>
  <c r="M686" i="1"/>
  <c r="Q685" i="1"/>
  <c r="P685" i="1"/>
  <c r="N685" i="1"/>
  <c r="M685" i="1"/>
  <c r="Q684" i="1"/>
  <c r="P684" i="1"/>
  <c r="N684" i="1"/>
  <c r="M684" i="1"/>
  <c r="A684" i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Q683" i="1"/>
  <c r="P683" i="1"/>
  <c r="N683" i="1"/>
  <c r="M683" i="1"/>
  <c r="L681" i="1"/>
  <c r="O680" i="1"/>
  <c r="L680" i="1"/>
  <c r="O679" i="1"/>
  <c r="L679" i="1"/>
  <c r="N678" i="1"/>
  <c r="M678" i="1"/>
  <c r="N677" i="1"/>
  <c r="M677" i="1"/>
  <c r="Q676" i="1"/>
  <c r="P676" i="1"/>
  <c r="N676" i="1"/>
  <c r="M676" i="1"/>
  <c r="Q675" i="1"/>
  <c r="P675" i="1"/>
  <c r="N675" i="1"/>
  <c r="M675" i="1"/>
  <c r="N674" i="1"/>
  <c r="M674" i="1"/>
  <c r="Q673" i="1"/>
  <c r="P673" i="1"/>
  <c r="N673" i="1"/>
  <c r="M673" i="1"/>
  <c r="Q672" i="1"/>
  <c r="P672" i="1"/>
  <c r="N672" i="1"/>
  <c r="M672" i="1"/>
  <c r="N671" i="1"/>
  <c r="M671" i="1"/>
  <c r="Q670" i="1"/>
  <c r="P670" i="1"/>
  <c r="N670" i="1"/>
  <c r="M670" i="1"/>
  <c r="Q669" i="1"/>
  <c r="P669" i="1"/>
  <c r="N669" i="1"/>
  <c r="M669" i="1"/>
  <c r="Q667" i="1"/>
  <c r="P667" i="1"/>
  <c r="N667" i="1"/>
  <c r="M667" i="1"/>
  <c r="N666" i="1"/>
  <c r="M666" i="1"/>
  <c r="Q665" i="1"/>
  <c r="P665" i="1"/>
  <c r="N665" i="1"/>
  <c r="M665" i="1"/>
  <c r="Q664" i="1"/>
  <c r="P664" i="1"/>
  <c r="N664" i="1"/>
  <c r="M664" i="1"/>
  <c r="N663" i="1"/>
  <c r="M663" i="1"/>
  <c r="Q662" i="1"/>
  <c r="P662" i="1"/>
  <c r="N662" i="1"/>
  <c r="M662" i="1"/>
  <c r="Q661" i="1"/>
  <c r="P661" i="1"/>
  <c r="N661" i="1"/>
  <c r="M661" i="1"/>
  <c r="Q660" i="1"/>
  <c r="P660" i="1"/>
  <c r="N660" i="1"/>
  <c r="M660" i="1"/>
  <c r="N659" i="1"/>
  <c r="M659" i="1"/>
  <c r="Q658" i="1"/>
  <c r="P658" i="1"/>
  <c r="N658" i="1"/>
  <c r="M658" i="1"/>
  <c r="Q657" i="1"/>
  <c r="P657" i="1"/>
  <c r="N657" i="1"/>
  <c r="M657" i="1"/>
  <c r="Q656" i="1"/>
  <c r="P656" i="1"/>
  <c r="N656" i="1"/>
  <c r="M656" i="1"/>
  <c r="Q655" i="1"/>
  <c r="P655" i="1"/>
  <c r="N655" i="1"/>
  <c r="M655" i="1"/>
  <c r="N652" i="1"/>
  <c r="M652" i="1"/>
  <c r="Q651" i="1"/>
  <c r="P651" i="1"/>
  <c r="N651" i="1"/>
  <c r="M651" i="1"/>
  <c r="Q650" i="1"/>
  <c r="P650" i="1"/>
  <c r="N650" i="1"/>
  <c r="M650" i="1"/>
  <c r="A650" i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Q649" i="1"/>
  <c r="P649" i="1"/>
  <c r="N649" i="1"/>
  <c r="M649" i="1"/>
  <c r="L647" i="1"/>
  <c r="O646" i="1"/>
  <c r="L646" i="1"/>
  <c r="O645" i="1"/>
  <c r="L645" i="1"/>
  <c r="N644" i="1"/>
  <c r="M644" i="1"/>
  <c r="N643" i="1"/>
  <c r="M643" i="1"/>
  <c r="N642" i="1"/>
  <c r="M642" i="1"/>
  <c r="N641" i="1"/>
  <c r="M641" i="1"/>
  <c r="N640" i="1"/>
  <c r="M640" i="1"/>
  <c r="Q639" i="1"/>
  <c r="P639" i="1"/>
  <c r="N639" i="1"/>
  <c r="M639" i="1"/>
  <c r="N638" i="1"/>
  <c r="M638" i="1"/>
  <c r="Q637" i="1"/>
  <c r="P637" i="1"/>
  <c r="N637" i="1"/>
  <c r="M637" i="1"/>
  <c r="N636" i="1"/>
  <c r="M636" i="1"/>
  <c r="N635" i="1"/>
  <c r="M635" i="1"/>
  <c r="Q634" i="1"/>
  <c r="P634" i="1"/>
  <c r="N634" i="1"/>
  <c r="M634" i="1"/>
  <c r="N633" i="1"/>
  <c r="M633" i="1"/>
  <c r="N632" i="1"/>
  <c r="M632" i="1"/>
  <c r="Q631" i="1"/>
  <c r="P631" i="1"/>
  <c r="N631" i="1"/>
  <c r="M631" i="1"/>
  <c r="N630" i="1"/>
  <c r="M630" i="1"/>
  <c r="Q629" i="1"/>
  <c r="P629" i="1"/>
  <c r="N629" i="1"/>
  <c r="M629" i="1"/>
  <c r="N628" i="1"/>
  <c r="M628" i="1"/>
  <c r="N627" i="1"/>
  <c r="M627" i="1"/>
  <c r="Q626" i="1"/>
  <c r="P626" i="1"/>
  <c r="N626" i="1"/>
  <c r="M626" i="1"/>
  <c r="N625" i="1"/>
  <c r="M625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A616" i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N615" i="1"/>
  <c r="M615" i="1"/>
  <c r="L613" i="1"/>
  <c r="O612" i="1"/>
  <c r="L612" i="1"/>
  <c r="O611" i="1"/>
  <c r="L611" i="1"/>
  <c r="N610" i="1"/>
  <c r="M610" i="1"/>
  <c r="N609" i="1"/>
  <c r="M609" i="1"/>
  <c r="N608" i="1"/>
  <c r="M608" i="1"/>
  <c r="Q607" i="1"/>
  <c r="P607" i="1"/>
  <c r="N607" i="1"/>
  <c r="M607" i="1"/>
  <c r="N606" i="1"/>
  <c r="M606" i="1"/>
  <c r="Q603" i="1"/>
  <c r="P603" i="1"/>
  <c r="N603" i="1"/>
  <c r="M603" i="1"/>
  <c r="N602" i="1"/>
  <c r="M602" i="1"/>
  <c r="Q601" i="1"/>
  <c r="P601" i="1"/>
  <c r="N601" i="1"/>
  <c r="M601" i="1"/>
  <c r="Q599" i="1"/>
  <c r="P599" i="1"/>
  <c r="N599" i="1"/>
  <c r="M599" i="1"/>
  <c r="N598" i="1"/>
  <c r="M598" i="1"/>
  <c r="Q597" i="1"/>
  <c r="P597" i="1"/>
  <c r="N597" i="1"/>
  <c r="M597" i="1"/>
  <c r="N596" i="1"/>
  <c r="M596" i="1"/>
  <c r="Q595" i="1"/>
  <c r="P595" i="1"/>
  <c r="N595" i="1"/>
  <c r="M595" i="1"/>
  <c r="N592" i="1"/>
  <c r="M592" i="1"/>
  <c r="Q591" i="1"/>
  <c r="P591" i="1"/>
  <c r="N591" i="1"/>
  <c r="M591" i="1"/>
  <c r="N590" i="1"/>
  <c r="M590" i="1"/>
  <c r="Q589" i="1"/>
  <c r="P589" i="1"/>
  <c r="N589" i="1"/>
  <c r="M589" i="1"/>
  <c r="Q588" i="1"/>
  <c r="P588" i="1"/>
  <c r="N588" i="1"/>
  <c r="M588" i="1"/>
  <c r="N587" i="1"/>
  <c r="M587" i="1"/>
  <c r="Q586" i="1"/>
  <c r="P586" i="1"/>
  <c r="N586" i="1"/>
  <c r="M586" i="1"/>
  <c r="Q585" i="1"/>
  <c r="P585" i="1"/>
  <c r="N585" i="1"/>
  <c r="M585" i="1"/>
  <c r="Q584" i="1"/>
  <c r="P584" i="1"/>
  <c r="N584" i="1"/>
  <c r="M584" i="1"/>
  <c r="Q583" i="1"/>
  <c r="P583" i="1"/>
  <c r="N583" i="1"/>
  <c r="M583" i="1"/>
  <c r="Q582" i="1"/>
  <c r="P582" i="1"/>
  <c r="N582" i="1"/>
  <c r="M582" i="1"/>
  <c r="A582" i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N581" i="1"/>
  <c r="M581" i="1"/>
  <c r="L579" i="1"/>
  <c r="O578" i="1"/>
  <c r="L578" i="1"/>
  <c r="O577" i="1"/>
  <c r="L577" i="1"/>
  <c r="Q575" i="1"/>
  <c r="P575" i="1"/>
  <c r="N575" i="1"/>
  <c r="M575" i="1"/>
  <c r="Q556" i="1"/>
  <c r="P556" i="1"/>
  <c r="N556" i="1"/>
  <c r="M556" i="1"/>
  <c r="Q568" i="1"/>
  <c r="P568" i="1"/>
  <c r="N568" i="1"/>
  <c r="M568" i="1"/>
  <c r="Q567" i="1"/>
  <c r="P567" i="1"/>
  <c r="N567" i="1"/>
  <c r="M567" i="1"/>
  <c r="Q566" i="1"/>
  <c r="P566" i="1"/>
  <c r="N566" i="1"/>
  <c r="M566" i="1"/>
  <c r="Q559" i="1"/>
  <c r="P559" i="1"/>
  <c r="N559" i="1"/>
  <c r="M559" i="1"/>
  <c r="N558" i="1"/>
  <c r="M558" i="1"/>
  <c r="Q557" i="1"/>
  <c r="P557" i="1"/>
  <c r="N557" i="1"/>
  <c r="M557" i="1"/>
  <c r="Q552" i="1"/>
  <c r="P552" i="1"/>
  <c r="N552" i="1"/>
  <c r="M552" i="1"/>
  <c r="Q555" i="1"/>
  <c r="P555" i="1"/>
  <c r="N555" i="1"/>
  <c r="M555" i="1"/>
  <c r="N554" i="1"/>
  <c r="M554" i="1"/>
  <c r="Q553" i="1"/>
  <c r="P553" i="1"/>
  <c r="N553" i="1"/>
  <c r="M553" i="1"/>
  <c r="Q551" i="1"/>
  <c r="P551" i="1"/>
  <c r="N551" i="1"/>
  <c r="M551" i="1"/>
  <c r="Q547" i="1"/>
  <c r="P547" i="1"/>
  <c r="N547" i="1"/>
  <c r="M547" i="1"/>
  <c r="Q550" i="1"/>
  <c r="P550" i="1"/>
  <c r="N550" i="1"/>
  <c r="M550" i="1"/>
  <c r="N549" i="1"/>
  <c r="M549" i="1"/>
  <c r="Q548" i="1"/>
  <c r="P548" i="1"/>
  <c r="N548" i="1"/>
  <c r="M548" i="1"/>
  <c r="A548" i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Q576" i="1"/>
  <c r="P576" i="1"/>
  <c r="N576" i="1"/>
  <c r="M576" i="1"/>
  <c r="L545" i="1"/>
  <c r="O544" i="1"/>
  <c r="L544" i="1"/>
  <c r="O543" i="1"/>
  <c r="L543" i="1"/>
  <c r="Q542" i="1"/>
  <c r="P542" i="1"/>
  <c r="N542" i="1"/>
  <c r="M542" i="1"/>
  <c r="Q541" i="1"/>
  <c r="P541" i="1"/>
  <c r="N541" i="1"/>
  <c r="M541" i="1"/>
  <c r="Q539" i="1"/>
  <c r="P539" i="1"/>
  <c r="N539" i="1"/>
  <c r="M539" i="1"/>
  <c r="Q537" i="1"/>
  <c r="P537" i="1"/>
  <c r="N537" i="1"/>
  <c r="M537" i="1"/>
  <c r="Q536" i="1"/>
  <c r="P536" i="1"/>
  <c r="N536" i="1"/>
  <c r="M536" i="1"/>
  <c r="Q535" i="1"/>
  <c r="P535" i="1"/>
  <c r="N535" i="1"/>
  <c r="M535" i="1"/>
  <c r="Q534" i="1"/>
  <c r="P534" i="1"/>
  <c r="N534" i="1"/>
  <c r="M534" i="1"/>
  <c r="Q533" i="1"/>
  <c r="P533" i="1"/>
  <c r="N533" i="1"/>
  <c r="M533" i="1"/>
  <c r="Q532" i="1"/>
  <c r="P532" i="1"/>
  <c r="N532" i="1"/>
  <c r="M532" i="1"/>
  <c r="N531" i="1"/>
  <c r="M531" i="1"/>
  <c r="N530" i="1"/>
  <c r="M530" i="1"/>
  <c r="Q529" i="1"/>
  <c r="P529" i="1"/>
  <c r="N529" i="1"/>
  <c r="M529" i="1"/>
  <c r="Q528" i="1"/>
  <c r="P528" i="1"/>
  <c r="N528" i="1"/>
  <c r="M528" i="1"/>
  <c r="Q527" i="1"/>
  <c r="P527" i="1"/>
  <c r="N527" i="1"/>
  <c r="M527" i="1"/>
  <c r="Q526" i="1"/>
  <c r="P526" i="1"/>
  <c r="N526" i="1"/>
  <c r="M526" i="1"/>
  <c r="N525" i="1"/>
  <c r="M525" i="1"/>
  <c r="Q523" i="1"/>
  <c r="P523" i="1"/>
  <c r="N523" i="1"/>
  <c r="M523" i="1"/>
  <c r="Q522" i="1"/>
  <c r="P522" i="1"/>
  <c r="N522" i="1"/>
  <c r="M522" i="1"/>
  <c r="Q521" i="1"/>
  <c r="P521" i="1"/>
  <c r="N521" i="1"/>
  <c r="M521" i="1"/>
  <c r="Q520" i="1"/>
  <c r="P520" i="1"/>
  <c r="N520" i="1"/>
  <c r="M520" i="1"/>
  <c r="Q519" i="1"/>
  <c r="P519" i="1"/>
  <c r="N519" i="1"/>
  <c r="M519" i="1"/>
  <c r="Q518" i="1"/>
  <c r="P518" i="1"/>
  <c r="N518" i="1"/>
  <c r="M518" i="1"/>
  <c r="Q517" i="1"/>
  <c r="P517" i="1"/>
  <c r="N517" i="1"/>
  <c r="M517" i="1"/>
  <c r="N516" i="1"/>
  <c r="M516" i="1"/>
  <c r="Q515" i="1"/>
  <c r="P515" i="1"/>
  <c r="N515" i="1"/>
  <c r="M515" i="1"/>
  <c r="N514" i="1"/>
  <c r="M514" i="1"/>
  <c r="A514" i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N513" i="1"/>
  <c r="M513" i="1"/>
  <c r="L511" i="1"/>
  <c r="O510" i="1"/>
  <c r="L510" i="1"/>
  <c r="O509" i="1"/>
  <c r="L509" i="1"/>
  <c r="Q508" i="1"/>
  <c r="P508" i="1"/>
  <c r="N508" i="1"/>
  <c r="M508" i="1"/>
  <c r="N507" i="1"/>
  <c r="M507" i="1"/>
  <c r="Q506" i="1"/>
  <c r="P506" i="1"/>
  <c r="N506" i="1"/>
  <c r="M506" i="1"/>
  <c r="Q505" i="1"/>
  <c r="P505" i="1"/>
  <c r="N505" i="1"/>
  <c r="M505" i="1"/>
  <c r="Q503" i="1"/>
  <c r="P503" i="1"/>
  <c r="N503" i="1"/>
  <c r="M503" i="1"/>
  <c r="Q502" i="1"/>
  <c r="P502" i="1"/>
  <c r="N502" i="1"/>
  <c r="M502" i="1"/>
  <c r="N501" i="1"/>
  <c r="M501" i="1"/>
  <c r="Q500" i="1"/>
  <c r="P500" i="1"/>
  <c r="N500" i="1"/>
  <c r="M500" i="1"/>
  <c r="Q499" i="1"/>
  <c r="P499" i="1"/>
  <c r="N499" i="1"/>
  <c r="M499" i="1"/>
  <c r="Q498" i="1"/>
  <c r="P498" i="1"/>
  <c r="N498" i="1"/>
  <c r="M498" i="1"/>
  <c r="Q497" i="1"/>
  <c r="P497" i="1"/>
  <c r="N497" i="1"/>
  <c r="M497" i="1"/>
  <c r="Q496" i="1"/>
  <c r="P496" i="1"/>
  <c r="N496" i="1"/>
  <c r="M496" i="1"/>
  <c r="Q495" i="1"/>
  <c r="P495" i="1"/>
  <c r="N495" i="1"/>
  <c r="M495" i="1"/>
  <c r="Q494" i="1"/>
  <c r="P494" i="1"/>
  <c r="N494" i="1"/>
  <c r="M494" i="1"/>
  <c r="Q493" i="1"/>
  <c r="P493" i="1"/>
  <c r="N493" i="1"/>
  <c r="M493" i="1"/>
  <c r="N492" i="1"/>
  <c r="M492" i="1"/>
  <c r="Q491" i="1"/>
  <c r="P491" i="1"/>
  <c r="N491" i="1"/>
  <c r="M491" i="1"/>
  <c r="Q489" i="1"/>
  <c r="P489" i="1"/>
  <c r="N489" i="1"/>
  <c r="M489" i="1"/>
  <c r="Q488" i="1"/>
  <c r="P488" i="1"/>
  <c r="N488" i="1"/>
  <c r="M488" i="1"/>
  <c r="Q487" i="1"/>
  <c r="P487" i="1"/>
  <c r="N487" i="1"/>
  <c r="M487" i="1"/>
  <c r="Q486" i="1"/>
  <c r="P486" i="1"/>
  <c r="N486" i="1"/>
  <c r="M486" i="1"/>
  <c r="Q485" i="1"/>
  <c r="P485" i="1"/>
  <c r="N485" i="1"/>
  <c r="M485" i="1"/>
  <c r="Q484" i="1"/>
  <c r="P484" i="1"/>
  <c r="N484" i="1"/>
  <c r="M484" i="1"/>
  <c r="Q483" i="1"/>
  <c r="P483" i="1"/>
  <c r="N483" i="1"/>
  <c r="M483" i="1"/>
  <c r="N482" i="1"/>
  <c r="M482" i="1"/>
  <c r="Q481" i="1"/>
  <c r="P481" i="1"/>
  <c r="N481" i="1"/>
  <c r="M481" i="1"/>
  <c r="Q480" i="1"/>
  <c r="P480" i="1"/>
  <c r="N480" i="1"/>
  <c r="M480" i="1"/>
  <c r="A480" i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N479" i="1"/>
  <c r="M479" i="1"/>
  <c r="Q474" i="1"/>
  <c r="P474" i="1"/>
  <c r="N474" i="1"/>
  <c r="M474" i="1"/>
  <c r="Q472" i="1"/>
  <c r="P472" i="1"/>
  <c r="N472" i="1"/>
  <c r="M472" i="1"/>
  <c r="Q471" i="1"/>
  <c r="P471" i="1"/>
  <c r="N471" i="1"/>
  <c r="M471" i="1"/>
  <c r="Q470" i="1"/>
  <c r="P470" i="1"/>
  <c r="N470" i="1"/>
  <c r="M470" i="1"/>
  <c r="Q469" i="1"/>
  <c r="P469" i="1"/>
  <c r="N469" i="1"/>
  <c r="M469" i="1"/>
  <c r="N468" i="1"/>
  <c r="M468" i="1"/>
  <c r="N467" i="1"/>
  <c r="M467" i="1"/>
  <c r="N466" i="1"/>
  <c r="M466" i="1"/>
  <c r="Q465" i="1"/>
  <c r="P465" i="1"/>
  <c r="N465" i="1"/>
  <c r="M465" i="1"/>
  <c r="Q464" i="1"/>
  <c r="P464" i="1"/>
  <c r="N464" i="1"/>
  <c r="M464" i="1"/>
  <c r="Q463" i="1"/>
  <c r="P463" i="1"/>
  <c r="N463" i="1"/>
  <c r="M463" i="1"/>
  <c r="N462" i="1"/>
  <c r="M462" i="1"/>
  <c r="N461" i="1"/>
  <c r="M461" i="1"/>
  <c r="Q460" i="1"/>
  <c r="P460" i="1"/>
  <c r="N460" i="1"/>
  <c r="M460" i="1"/>
  <c r="N459" i="1"/>
  <c r="M459" i="1"/>
  <c r="Q458" i="1"/>
  <c r="P458" i="1"/>
  <c r="N458" i="1"/>
  <c r="M458" i="1"/>
  <c r="Q457" i="1"/>
  <c r="P457" i="1"/>
  <c r="N457" i="1"/>
  <c r="M457" i="1"/>
  <c r="Q455" i="1"/>
  <c r="P455" i="1"/>
  <c r="N455" i="1"/>
  <c r="M455" i="1"/>
  <c r="Q454" i="1"/>
  <c r="P454" i="1"/>
  <c r="N454" i="1"/>
  <c r="M454" i="1"/>
  <c r="Q453" i="1"/>
  <c r="P453" i="1"/>
  <c r="N453" i="1"/>
  <c r="M453" i="1"/>
  <c r="Q452" i="1"/>
  <c r="P452" i="1"/>
  <c r="N452" i="1"/>
  <c r="M452" i="1"/>
  <c r="N451" i="1"/>
  <c r="M451" i="1"/>
  <c r="Q450" i="1"/>
  <c r="P450" i="1"/>
  <c r="N450" i="1"/>
  <c r="M450" i="1"/>
  <c r="Q449" i="1"/>
  <c r="P449" i="1"/>
  <c r="N449" i="1"/>
  <c r="M449" i="1"/>
  <c r="Q448" i="1"/>
  <c r="P448" i="1"/>
  <c r="N448" i="1"/>
  <c r="M448" i="1"/>
  <c r="Q447" i="1"/>
  <c r="P447" i="1"/>
  <c r="N447" i="1"/>
  <c r="M447" i="1"/>
  <c r="Q446" i="1"/>
  <c r="P446" i="1"/>
  <c r="N446" i="1"/>
  <c r="M446" i="1"/>
  <c r="P445" i="1"/>
  <c r="L477" i="1"/>
  <c r="O476" i="1"/>
  <c r="L476" i="1"/>
  <c r="O475" i="1"/>
  <c r="L475" i="1"/>
  <c r="A446" i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N445" i="1"/>
  <c r="M445" i="1"/>
  <c r="P440" i="1"/>
  <c r="N440" i="1"/>
  <c r="M440" i="1"/>
  <c r="Q439" i="1"/>
  <c r="P439" i="1"/>
  <c r="N439" i="1"/>
  <c r="M439" i="1"/>
  <c r="Q438" i="1"/>
  <c r="P438" i="1"/>
  <c r="N438" i="1"/>
  <c r="M438" i="1"/>
  <c r="Q437" i="1"/>
  <c r="P437" i="1"/>
  <c r="N437" i="1"/>
  <c r="M437" i="1"/>
  <c r="Q436" i="1"/>
  <c r="P436" i="1"/>
  <c r="N436" i="1"/>
  <c r="M436" i="1"/>
  <c r="Q435" i="1"/>
  <c r="P435" i="1"/>
  <c r="N435" i="1"/>
  <c r="M435" i="1"/>
  <c r="Q433" i="1"/>
  <c r="P433" i="1"/>
  <c r="N433" i="1"/>
  <c r="M433" i="1"/>
  <c r="Q430" i="1"/>
  <c r="P430" i="1"/>
  <c r="N430" i="1"/>
  <c r="M430" i="1"/>
  <c r="Q429" i="1"/>
  <c r="P429" i="1"/>
  <c r="N429" i="1"/>
  <c r="M429" i="1"/>
  <c r="Q428" i="1"/>
  <c r="P428" i="1"/>
  <c r="N428" i="1"/>
  <c r="M428" i="1"/>
  <c r="Q427" i="1"/>
  <c r="P427" i="1"/>
  <c r="N427" i="1"/>
  <c r="M427" i="1"/>
  <c r="Q426" i="1"/>
  <c r="P426" i="1"/>
  <c r="N426" i="1"/>
  <c r="M426" i="1"/>
  <c r="Q425" i="1"/>
  <c r="P425" i="1"/>
  <c r="N425" i="1"/>
  <c r="M425" i="1"/>
  <c r="Q424" i="1"/>
  <c r="P424" i="1"/>
  <c r="N424" i="1"/>
  <c r="M424" i="1"/>
  <c r="Q423" i="1"/>
  <c r="P423" i="1"/>
  <c r="N423" i="1"/>
  <c r="M423" i="1"/>
  <c r="Q422" i="1"/>
  <c r="P422" i="1"/>
  <c r="N422" i="1"/>
  <c r="M422" i="1"/>
  <c r="Q421" i="1"/>
  <c r="P421" i="1"/>
  <c r="N421" i="1"/>
  <c r="M421" i="1"/>
  <c r="Q420" i="1"/>
  <c r="P420" i="1"/>
  <c r="N420" i="1"/>
  <c r="M420" i="1"/>
  <c r="Q419" i="1"/>
  <c r="P419" i="1"/>
  <c r="N419" i="1"/>
  <c r="M419" i="1"/>
  <c r="Q418" i="1"/>
  <c r="P418" i="1"/>
  <c r="N418" i="1"/>
  <c r="M418" i="1"/>
  <c r="Q417" i="1"/>
  <c r="P417" i="1"/>
  <c r="N417" i="1"/>
  <c r="M417" i="1"/>
  <c r="Q416" i="1"/>
  <c r="P416" i="1"/>
  <c r="N416" i="1"/>
  <c r="M416" i="1"/>
  <c r="Q415" i="1"/>
  <c r="P415" i="1"/>
  <c r="N415" i="1"/>
  <c r="M415" i="1"/>
  <c r="Q414" i="1"/>
  <c r="P414" i="1"/>
  <c r="N414" i="1"/>
  <c r="M414" i="1"/>
  <c r="N413" i="1"/>
  <c r="M413" i="1"/>
  <c r="P412" i="1"/>
  <c r="N412" i="1"/>
  <c r="M412" i="1"/>
  <c r="M411" i="1"/>
  <c r="N411" i="1"/>
  <c r="A412" i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L441" i="1"/>
  <c r="O441" i="1"/>
  <c r="L442" i="1"/>
  <c r="O442" i="1"/>
  <c r="L443" i="1"/>
  <c r="P404" i="1"/>
  <c r="P406" i="1"/>
  <c r="Q406" i="1"/>
  <c r="J390" i="8" l="1"/>
  <c r="N30" i="7"/>
  <c r="N30" i="8"/>
  <c r="L30" i="7"/>
  <c r="L30" i="8"/>
  <c r="D30" i="7"/>
  <c r="A34" i="7"/>
  <c r="J30" i="6"/>
  <c r="D24" i="8" s="1"/>
  <c r="N30" i="6"/>
  <c r="F30" i="6"/>
  <c r="A32" i="6"/>
  <c r="M477" i="1"/>
  <c r="M545" i="1"/>
  <c r="M511" i="1"/>
  <c r="M579" i="1"/>
  <c r="M443" i="1"/>
  <c r="N1087" i="1"/>
  <c r="N849" i="1"/>
  <c r="P579" i="1"/>
  <c r="M783" i="1"/>
  <c r="P817" i="1"/>
  <c r="P1055" i="1"/>
  <c r="P646" i="1"/>
  <c r="P884" i="1"/>
  <c r="Q578" i="1"/>
  <c r="Q816" i="1"/>
  <c r="Q1054" i="1"/>
  <c r="M849" i="1"/>
  <c r="Q612" i="1"/>
  <c r="P680" i="1"/>
  <c r="Q850" i="1"/>
  <c r="Q1088" i="1"/>
  <c r="P1122" i="1"/>
  <c r="M646" i="1"/>
  <c r="M883" i="1"/>
  <c r="N883" i="1"/>
  <c r="N645" i="1"/>
  <c r="M612" i="1"/>
  <c r="N611" i="1"/>
  <c r="M749" i="1"/>
  <c r="P783" i="1"/>
  <c r="M1021" i="1"/>
  <c r="Q782" i="1"/>
  <c r="N577" i="1"/>
  <c r="N815" i="1"/>
  <c r="N1053" i="1"/>
  <c r="Q1019" i="1"/>
  <c r="P1054" i="1"/>
  <c r="M715" i="1"/>
  <c r="P987" i="1"/>
  <c r="M1157" i="1"/>
  <c r="N441" i="1"/>
  <c r="M681" i="1"/>
  <c r="P715" i="1"/>
  <c r="N747" i="1"/>
  <c r="P953" i="1"/>
  <c r="P1157" i="1"/>
  <c r="P748" i="1"/>
  <c r="M986" i="1"/>
  <c r="P1019" i="1"/>
  <c r="Q1156" i="1"/>
  <c r="P681" i="1"/>
  <c r="M885" i="1"/>
  <c r="P919" i="1"/>
  <c r="N985" i="1"/>
  <c r="M1087" i="1"/>
  <c r="P612" i="1"/>
  <c r="P815" i="1"/>
  <c r="Q1020" i="1"/>
  <c r="M748" i="1"/>
  <c r="P918" i="1"/>
  <c r="P850" i="1"/>
  <c r="M1054" i="1"/>
  <c r="P749" i="1"/>
  <c r="M987" i="1"/>
  <c r="P1021" i="1"/>
  <c r="P578" i="1"/>
  <c r="Q747" i="1"/>
  <c r="M781" i="1"/>
  <c r="P1020" i="1"/>
  <c r="N781" i="1"/>
  <c r="M953" i="1"/>
  <c r="P781" i="1"/>
  <c r="Q986" i="1"/>
  <c r="M919" i="1"/>
  <c r="N1019" i="1"/>
  <c r="M1123" i="1"/>
  <c r="Q714" i="1"/>
  <c r="Q952" i="1"/>
  <c r="M647" i="1"/>
  <c r="P1123" i="1"/>
  <c r="Q680" i="1"/>
  <c r="Q918" i="1"/>
  <c r="M952" i="1"/>
  <c r="Q1122" i="1"/>
  <c r="M1155" i="1"/>
  <c r="M613" i="1"/>
  <c r="P647" i="1"/>
  <c r="N713" i="1"/>
  <c r="M851" i="1"/>
  <c r="P885" i="1"/>
  <c r="N951" i="1"/>
  <c r="M1089" i="1"/>
  <c r="N1155" i="1"/>
  <c r="Q645" i="1"/>
  <c r="M680" i="1"/>
  <c r="P714" i="1"/>
  <c r="P816" i="1"/>
  <c r="Q884" i="1"/>
  <c r="M917" i="1"/>
  <c r="P952" i="1"/>
  <c r="M1121" i="1"/>
  <c r="P1155" i="1"/>
  <c r="M577" i="1"/>
  <c r="M815" i="1"/>
  <c r="P1088" i="1"/>
  <c r="M713" i="1"/>
  <c r="P986" i="1"/>
  <c r="P613" i="1"/>
  <c r="N679" i="1"/>
  <c r="M817" i="1"/>
  <c r="P851" i="1"/>
  <c r="N917" i="1"/>
  <c r="M1055" i="1"/>
  <c r="P1089" i="1"/>
  <c r="N1121" i="1"/>
  <c r="Q544" i="1"/>
  <c r="P545" i="1"/>
  <c r="P544" i="1"/>
  <c r="N543" i="1"/>
  <c r="M544" i="1"/>
  <c r="Q510" i="1"/>
  <c r="P510" i="1"/>
  <c r="P511" i="1"/>
  <c r="N509" i="1"/>
  <c r="M510" i="1"/>
  <c r="P477" i="1"/>
  <c r="Q1155" i="1"/>
  <c r="M1156" i="1"/>
  <c r="P1156" i="1"/>
  <c r="M1122" i="1"/>
  <c r="Q1121" i="1"/>
  <c r="P1121" i="1"/>
  <c r="P1087" i="1"/>
  <c r="Q1087" i="1"/>
  <c r="M1088" i="1"/>
  <c r="M1053" i="1"/>
  <c r="P1053" i="1"/>
  <c r="Q1053" i="1"/>
  <c r="M1019" i="1"/>
  <c r="M1020" i="1"/>
  <c r="M985" i="1"/>
  <c r="P985" i="1"/>
  <c r="Q985" i="1"/>
  <c r="M951" i="1"/>
  <c r="P951" i="1"/>
  <c r="Q951" i="1"/>
  <c r="P917" i="1"/>
  <c r="Q917" i="1"/>
  <c r="M918" i="1"/>
  <c r="P883" i="1"/>
  <c r="Q883" i="1"/>
  <c r="M884" i="1"/>
  <c r="M850" i="1"/>
  <c r="P849" i="1"/>
  <c r="Q849" i="1"/>
  <c r="Q815" i="1"/>
  <c r="M816" i="1"/>
  <c r="M782" i="1"/>
  <c r="P782" i="1"/>
  <c r="Q781" i="1"/>
  <c r="M747" i="1"/>
  <c r="P747" i="1"/>
  <c r="Q748" i="1"/>
  <c r="P713" i="1"/>
  <c r="M714" i="1"/>
  <c r="Q713" i="1"/>
  <c r="M679" i="1"/>
  <c r="P679" i="1"/>
  <c r="Q679" i="1"/>
  <c r="Q646" i="1"/>
  <c r="M645" i="1"/>
  <c r="P645" i="1"/>
  <c r="M611" i="1"/>
  <c r="P611" i="1"/>
  <c r="Q611" i="1"/>
  <c r="P577" i="1"/>
  <c r="M578" i="1"/>
  <c r="Q577" i="1"/>
  <c r="M543" i="1"/>
  <c r="P543" i="1"/>
  <c r="Q543" i="1"/>
  <c r="M509" i="1"/>
  <c r="P509" i="1"/>
  <c r="Q509" i="1"/>
  <c r="Q476" i="1"/>
  <c r="M475" i="1"/>
  <c r="N475" i="1"/>
  <c r="P476" i="1"/>
  <c r="M476" i="1"/>
  <c r="P475" i="1"/>
  <c r="Q475" i="1"/>
  <c r="P442" i="1"/>
  <c r="P441" i="1"/>
  <c r="M442" i="1"/>
  <c r="M441" i="1"/>
  <c r="Q441" i="1"/>
  <c r="Q442" i="1"/>
  <c r="P443" i="1"/>
  <c r="N406" i="1"/>
  <c r="M406" i="1"/>
  <c r="Q404" i="1"/>
  <c r="N404" i="1"/>
  <c r="M404" i="1"/>
  <c r="P403" i="1"/>
  <c r="N403" i="1"/>
  <c r="M403" i="1"/>
  <c r="Q402" i="1"/>
  <c r="P402" i="1"/>
  <c r="N402" i="1"/>
  <c r="M402" i="1"/>
  <c r="P401" i="1"/>
  <c r="N401" i="1"/>
  <c r="M401" i="1"/>
  <c r="Q398" i="1"/>
  <c r="P398" i="1"/>
  <c r="N398" i="1"/>
  <c r="M398" i="1"/>
  <c r="Q396" i="1"/>
  <c r="P396" i="1"/>
  <c r="N396" i="1"/>
  <c r="M396" i="1"/>
  <c r="P393" i="1"/>
  <c r="N393" i="1"/>
  <c r="M393" i="1"/>
  <c r="Q392" i="1"/>
  <c r="P392" i="1"/>
  <c r="N392" i="1"/>
  <c r="M392" i="1"/>
  <c r="P391" i="1"/>
  <c r="N391" i="1"/>
  <c r="M391" i="1"/>
  <c r="Q390" i="1"/>
  <c r="P390" i="1"/>
  <c r="N390" i="1"/>
  <c r="M390" i="1"/>
  <c r="Q389" i="1"/>
  <c r="P389" i="1"/>
  <c r="N389" i="1"/>
  <c r="M389" i="1"/>
  <c r="Q388" i="1"/>
  <c r="P388" i="1"/>
  <c r="N388" i="1"/>
  <c r="M388" i="1"/>
  <c r="P387" i="1"/>
  <c r="N387" i="1"/>
  <c r="M387" i="1"/>
  <c r="Q386" i="1"/>
  <c r="P386" i="1"/>
  <c r="N386" i="1"/>
  <c r="M386" i="1"/>
  <c r="Q385" i="1"/>
  <c r="P385" i="1"/>
  <c r="N385" i="1"/>
  <c r="M385" i="1"/>
  <c r="Q384" i="1"/>
  <c r="P384" i="1"/>
  <c r="N384" i="1"/>
  <c r="M384" i="1"/>
  <c r="Q383" i="1"/>
  <c r="P383" i="1"/>
  <c r="N383" i="1"/>
  <c r="M383" i="1"/>
  <c r="N382" i="1"/>
  <c r="M382" i="1"/>
  <c r="Q381" i="1"/>
  <c r="P381" i="1"/>
  <c r="N381" i="1"/>
  <c r="M381" i="1"/>
  <c r="Q380" i="1"/>
  <c r="P380" i="1"/>
  <c r="N380" i="1"/>
  <c r="M380" i="1"/>
  <c r="Q379" i="1"/>
  <c r="P379" i="1"/>
  <c r="N379" i="1"/>
  <c r="M379" i="1"/>
  <c r="Q378" i="1"/>
  <c r="P378" i="1"/>
  <c r="N378" i="1"/>
  <c r="M378" i="1"/>
  <c r="L409" i="1"/>
  <c r="O408" i="1"/>
  <c r="L408" i="1"/>
  <c r="O407" i="1"/>
  <c r="L407" i="1"/>
  <c r="A378" i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N377" i="1"/>
  <c r="M377" i="1"/>
  <c r="Q357" i="1"/>
  <c r="P357" i="1"/>
  <c r="N357" i="1"/>
  <c r="M357" i="1"/>
  <c r="Q355" i="1"/>
  <c r="P355" i="1"/>
  <c r="N355" i="1"/>
  <c r="M355" i="1"/>
  <c r="Q359" i="1"/>
  <c r="P359" i="1"/>
  <c r="N359" i="1"/>
  <c r="M359" i="1"/>
  <c r="P358" i="1"/>
  <c r="N358" i="1"/>
  <c r="M358" i="1"/>
  <c r="N353" i="1"/>
  <c r="M353" i="1"/>
  <c r="Q352" i="1"/>
  <c r="P352" i="1"/>
  <c r="N352" i="1"/>
  <c r="M352" i="1"/>
  <c r="Q351" i="1"/>
  <c r="P351" i="1"/>
  <c r="N351" i="1"/>
  <c r="M351" i="1"/>
  <c r="Q345" i="1"/>
  <c r="P345" i="1"/>
  <c r="N345" i="1"/>
  <c r="M345" i="1"/>
  <c r="L375" i="1"/>
  <c r="O374" i="1"/>
  <c r="L374" i="1"/>
  <c r="O373" i="1"/>
  <c r="L373" i="1"/>
  <c r="Q367" i="1"/>
  <c r="P367" i="1"/>
  <c r="N367" i="1"/>
  <c r="M367" i="1"/>
  <c r="Q365" i="1"/>
  <c r="P365" i="1"/>
  <c r="N365" i="1"/>
  <c r="M365" i="1"/>
  <c r="Q363" i="1"/>
  <c r="P363" i="1"/>
  <c r="N363" i="1"/>
  <c r="M363" i="1"/>
  <c r="Q361" i="1"/>
  <c r="P361" i="1"/>
  <c r="N361" i="1"/>
  <c r="M361" i="1"/>
  <c r="Q349" i="1"/>
  <c r="P349" i="1"/>
  <c r="N349" i="1"/>
  <c r="M349" i="1"/>
  <c r="P348" i="1"/>
  <c r="N348" i="1"/>
  <c r="M348" i="1"/>
  <c r="Q347" i="1"/>
  <c r="P347" i="1"/>
  <c r="N347" i="1"/>
  <c r="M347" i="1"/>
  <c r="Q346" i="1"/>
  <c r="P346" i="1"/>
  <c r="N346" i="1"/>
  <c r="M346" i="1"/>
  <c r="Q344" i="1"/>
  <c r="P344" i="1"/>
  <c r="N344" i="1"/>
  <c r="M344" i="1"/>
  <c r="A344" i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N343" i="1"/>
  <c r="M343" i="1"/>
  <c r="Q320" i="1"/>
  <c r="P320" i="1"/>
  <c r="N320" i="1"/>
  <c r="M320" i="1"/>
  <c r="Q330" i="1"/>
  <c r="P330" i="1"/>
  <c r="N330" i="1"/>
  <c r="M330" i="1"/>
  <c r="Q316" i="1"/>
  <c r="P316" i="1"/>
  <c r="N316" i="1"/>
  <c r="M316" i="1"/>
  <c r="Q321" i="1"/>
  <c r="P321" i="1"/>
  <c r="N321" i="1"/>
  <c r="M321" i="1"/>
  <c r="Q318" i="1"/>
  <c r="P318" i="1"/>
  <c r="N318" i="1"/>
  <c r="M318" i="1"/>
  <c r="Q338" i="1"/>
  <c r="P338" i="1"/>
  <c r="N338" i="1"/>
  <c r="M338" i="1"/>
  <c r="Q337" i="1"/>
  <c r="P337" i="1"/>
  <c r="N337" i="1"/>
  <c r="M337" i="1"/>
  <c r="Q336" i="1"/>
  <c r="P336" i="1"/>
  <c r="N336" i="1"/>
  <c r="M336" i="1"/>
  <c r="Q324" i="1"/>
  <c r="P324" i="1"/>
  <c r="N324" i="1"/>
  <c r="M324" i="1"/>
  <c r="Q335" i="1"/>
  <c r="P335" i="1"/>
  <c r="N335" i="1"/>
  <c r="M335" i="1"/>
  <c r="Q334" i="1"/>
  <c r="P334" i="1"/>
  <c r="N334" i="1"/>
  <c r="M334" i="1"/>
  <c r="Q322" i="1"/>
  <c r="P322" i="1"/>
  <c r="N322" i="1"/>
  <c r="M322" i="1"/>
  <c r="Q333" i="1"/>
  <c r="P333" i="1"/>
  <c r="N333" i="1"/>
  <c r="M333" i="1"/>
  <c r="Q329" i="1"/>
  <c r="P329" i="1"/>
  <c r="N329" i="1"/>
  <c r="M329" i="1"/>
  <c r="Q327" i="1"/>
  <c r="P327" i="1"/>
  <c r="N327" i="1"/>
  <c r="M327" i="1"/>
  <c r="Q325" i="1"/>
  <c r="P325" i="1"/>
  <c r="N325" i="1"/>
  <c r="M325" i="1"/>
  <c r="Q332" i="1"/>
  <c r="P332" i="1"/>
  <c r="N332" i="1"/>
  <c r="M332" i="1"/>
  <c r="Q331" i="1"/>
  <c r="P331" i="1"/>
  <c r="N331" i="1"/>
  <c r="M331" i="1"/>
  <c r="Q319" i="1"/>
  <c r="P319" i="1"/>
  <c r="N319" i="1"/>
  <c r="M319" i="1"/>
  <c r="Q328" i="1"/>
  <c r="P328" i="1"/>
  <c r="N328" i="1"/>
  <c r="M328" i="1"/>
  <c r="Q317" i="1"/>
  <c r="P317" i="1"/>
  <c r="N317" i="1"/>
  <c r="M317" i="1"/>
  <c r="Q326" i="1"/>
  <c r="P326" i="1"/>
  <c r="N326" i="1"/>
  <c r="M326" i="1"/>
  <c r="Q314" i="1"/>
  <c r="P314" i="1"/>
  <c r="N314" i="1"/>
  <c r="M314" i="1"/>
  <c r="Q313" i="1"/>
  <c r="P313" i="1"/>
  <c r="N313" i="1"/>
  <c r="M313" i="1"/>
  <c r="Q312" i="1"/>
  <c r="P312" i="1"/>
  <c r="N312" i="1"/>
  <c r="M312" i="1"/>
  <c r="N311" i="1"/>
  <c r="M311" i="1"/>
  <c r="Q310" i="1"/>
  <c r="P310" i="1"/>
  <c r="N310" i="1"/>
  <c r="M310" i="1"/>
  <c r="M309" i="1"/>
  <c r="N309" i="1"/>
  <c r="A310" i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L339" i="1"/>
  <c r="O339" i="1"/>
  <c r="L340" i="1"/>
  <c r="O340" i="1"/>
  <c r="L341" i="1"/>
  <c r="Q279" i="1"/>
  <c r="P279" i="1"/>
  <c r="N279" i="1"/>
  <c r="M279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6" i="1"/>
  <c r="P276" i="1"/>
  <c r="Q270" i="1"/>
  <c r="P270" i="1"/>
  <c r="Q269" i="1"/>
  <c r="P269" i="1"/>
  <c r="P268" i="1"/>
  <c r="Q267" i="1"/>
  <c r="P267" i="1"/>
  <c r="P266" i="1"/>
  <c r="Q265" i="1"/>
  <c r="P265" i="1"/>
  <c r="P264" i="1"/>
  <c r="Q263" i="1"/>
  <c r="P263" i="1"/>
  <c r="P262" i="1"/>
  <c r="Q261" i="1"/>
  <c r="P261" i="1"/>
  <c r="P260" i="1"/>
  <c r="Q259" i="1"/>
  <c r="P259" i="1"/>
  <c r="Q258" i="1"/>
  <c r="P258" i="1"/>
  <c r="P257" i="1"/>
  <c r="P256" i="1"/>
  <c r="P255" i="1"/>
  <c r="Q254" i="1"/>
  <c r="P254" i="1"/>
  <c r="P253" i="1"/>
  <c r="P252" i="1"/>
  <c r="Q251" i="1"/>
  <c r="P251" i="1"/>
  <c r="P250" i="1"/>
  <c r="Q249" i="1"/>
  <c r="P249" i="1"/>
  <c r="P248" i="1"/>
  <c r="Q247" i="1"/>
  <c r="P247" i="1"/>
  <c r="P246" i="1"/>
  <c r="P245" i="1"/>
  <c r="Q244" i="1"/>
  <c r="P244" i="1"/>
  <c r="Q243" i="1"/>
  <c r="P243" i="1"/>
  <c r="Q242" i="1"/>
  <c r="P242" i="1"/>
  <c r="P241" i="1"/>
  <c r="P236" i="1"/>
  <c r="Q235" i="1"/>
  <c r="P235" i="1"/>
  <c r="P234" i="1"/>
  <c r="Q233" i="1"/>
  <c r="P233" i="1"/>
  <c r="Q232" i="1"/>
  <c r="P232" i="1"/>
  <c r="P231" i="1"/>
  <c r="P230" i="1"/>
  <c r="Q229" i="1"/>
  <c r="P229" i="1"/>
  <c r="Q228" i="1"/>
  <c r="P228" i="1"/>
  <c r="Q227" i="1"/>
  <c r="P227" i="1"/>
  <c r="Q226" i="1"/>
  <c r="P226" i="1"/>
  <c r="Q225" i="1"/>
  <c r="P225" i="1"/>
  <c r="P224" i="1"/>
  <c r="Q223" i="1"/>
  <c r="P223" i="1"/>
  <c r="P222" i="1"/>
  <c r="Q221" i="1"/>
  <c r="P221" i="1"/>
  <c r="P220" i="1"/>
  <c r="P219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0" i="1"/>
  <c r="P210" i="1"/>
  <c r="P209" i="1"/>
  <c r="Q208" i="1"/>
  <c r="P208" i="1"/>
  <c r="Q202" i="1"/>
  <c r="P202" i="1"/>
  <c r="Q201" i="1"/>
  <c r="P201" i="1"/>
  <c r="Q200" i="1"/>
  <c r="P200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6" i="1"/>
  <c r="P176" i="1"/>
  <c r="Q175" i="1"/>
  <c r="P175" i="1"/>
  <c r="Q174" i="1"/>
  <c r="P174" i="1"/>
  <c r="Q168" i="1"/>
  <c r="P168" i="1"/>
  <c r="Q167" i="1"/>
  <c r="P167" i="1"/>
  <c r="P166" i="1"/>
  <c r="Q165" i="1"/>
  <c r="P165" i="1"/>
  <c r="P164" i="1"/>
  <c r="Q163" i="1"/>
  <c r="P163" i="1"/>
  <c r="P162" i="1"/>
  <c r="Q161" i="1"/>
  <c r="P161" i="1"/>
  <c r="Q160" i="1"/>
  <c r="P160" i="1"/>
  <c r="Q159" i="1"/>
  <c r="P159" i="1"/>
  <c r="Q158" i="1"/>
  <c r="P158" i="1"/>
  <c r="Q157" i="1"/>
  <c r="P157" i="1"/>
  <c r="P156" i="1"/>
  <c r="Q155" i="1"/>
  <c r="P155" i="1"/>
  <c r="P154" i="1"/>
  <c r="Q153" i="1"/>
  <c r="P153" i="1"/>
  <c r="P152" i="1"/>
  <c r="P151" i="1"/>
  <c r="Q150" i="1"/>
  <c r="P150" i="1"/>
  <c r="Q149" i="1"/>
  <c r="P149" i="1"/>
  <c r="P148" i="1"/>
  <c r="Q147" i="1"/>
  <c r="P147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4" i="1"/>
  <c r="Q133" i="1"/>
  <c r="Q132" i="1"/>
  <c r="Q131" i="1"/>
  <c r="Q130" i="1"/>
  <c r="Q129" i="1"/>
  <c r="Q128" i="1"/>
  <c r="Q127" i="1"/>
  <c r="Q125" i="1"/>
  <c r="Q124" i="1"/>
  <c r="Q123" i="1"/>
  <c r="Q122" i="1"/>
  <c r="Q121" i="1"/>
  <c r="Q120" i="1"/>
  <c r="Q119" i="1"/>
  <c r="Q117" i="1"/>
  <c r="Q116" i="1"/>
  <c r="Q115" i="1"/>
  <c r="Q113" i="1"/>
  <c r="Q112" i="1"/>
  <c r="Q110" i="1"/>
  <c r="Q109" i="1"/>
  <c r="Q108" i="1"/>
  <c r="Q107" i="1"/>
  <c r="Q106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3" i="1"/>
  <c r="Q82" i="1"/>
  <c r="Q81" i="1"/>
  <c r="Q80" i="1"/>
  <c r="Q78" i="1"/>
  <c r="Q77" i="1"/>
  <c r="Q76" i="1"/>
  <c r="Q75" i="1"/>
  <c r="Q74" i="1"/>
  <c r="Q73" i="1"/>
  <c r="Q72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8" i="1"/>
  <c r="P77" i="1"/>
  <c r="P76" i="1"/>
  <c r="P75" i="1"/>
  <c r="P74" i="1"/>
  <c r="P73" i="1"/>
  <c r="P72" i="1"/>
  <c r="P47" i="1"/>
  <c r="P46" i="1"/>
  <c r="P45" i="1"/>
  <c r="P44" i="1"/>
  <c r="P43" i="1"/>
  <c r="P42" i="1"/>
  <c r="P41" i="1"/>
  <c r="P40" i="1"/>
  <c r="P39" i="1"/>
  <c r="P38" i="1"/>
  <c r="P37" i="1"/>
  <c r="P62" i="1"/>
  <c r="P61" i="1"/>
  <c r="P60" i="1"/>
  <c r="P59" i="1"/>
  <c r="P58" i="1"/>
  <c r="P57" i="1"/>
  <c r="P56" i="1"/>
  <c r="P55" i="1"/>
  <c r="P54" i="1"/>
  <c r="P53" i="1"/>
  <c r="P52" i="1"/>
  <c r="Q66" i="1"/>
  <c r="P66" i="1"/>
  <c r="Q65" i="1"/>
  <c r="P65" i="1"/>
  <c r="Q64" i="1"/>
  <c r="P64" i="1"/>
  <c r="Q63" i="1"/>
  <c r="P63" i="1"/>
  <c r="Q61" i="1"/>
  <c r="Q59" i="1"/>
  <c r="Q56" i="1"/>
  <c r="Q55" i="1"/>
  <c r="Q53" i="1"/>
  <c r="Q52" i="1"/>
  <c r="Q51" i="1"/>
  <c r="P51" i="1"/>
  <c r="Q49" i="1"/>
  <c r="P49" i="1"/>
  <c r="Q48" i="1"/>
  <c r="P48" i="1"/>
  <c r="Q47" i="1"/>
  <c r="Q46" i="1"/>
  <c r="Q45" i="1"/>
  <c r="Q43" i="1"/>
  <c r="Q42" i="1"/>
  <c r="Q41" i="1"/>
  <c r="Q40" i="1"/>
  <c r="Q39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P10" i="1"/>
  <c r="Q8" i="1"/>
  <c r="Q7" i="1"/>
  <c r="Q6" i="1"/>
  <c r="Q5" i="1"/>
  <c r="Q4" i="1"/>
  <c r="P8" i="1"/>
  <c r="P7" i="1"/>
  <c r="P6" i="1"/>
  <c r="P5" i="1"/>
  <c r="P4" i="1"/>
  <c r="L24" i="7" l="1"/>
  <c r="L24" i="8"/>
  <c r="J391" i="8"/>
  <c r="N24" i="7"/>
  <c r="N24" i="8"/>
  <c r="D24" i="7"/>
  <c r="A35" i="7"/>
  <c r="N31" i="6"/>
  <c r="J31" i="6"/>
  <c r="D32" i="8" s="1"/>
  <c r="F31" i="6"/>
  <c r="A33" i="6"/>
  <c r="M409" i="1"/>
  <c r="M375" i="1"/>
  <c r="M341" i="1"/>
  <c r="P407" i="1"/>
  <c r="Q407" i="1"/>
  <c r="N407" i="1"/>
  <c r="P409" i="1"/>
  <c r="Q408" i="1"/>
  <c r="M407" i="1"/>
  <c r="M408" i="1"/>
  <c r="P408" i="1"/>
  <c r="Q374" i="1"/>
  <c r="Q373" i="1"/>
  <c r="N373" i="1"/>
  <c r="P373" i="1"/>
  <c r="P375" i="1"/>
  <c r="M373" i="1"/>
  <c r="M374" i="1"/>
  <c r="P374" i="1"/>
  <c r="P68" i="1"/>
  <c r="Q305" i="1"/>
  <c r="P137" i="1"/>
  <c r="P203" i="1"/>
  <c r="P169" i="1"/>
  <c r="Q272" i="1"/>
  <c r="Q67" i="1"/>
  <c r="P135" i="1"/>
  <c r="Q68" i="1"/>
  <c r="P171" i="1"/>
  <c r="Q170" i="1"/>
  <c r="P238" i="1"/>
  <c r="P170" i="1"/>
  <c r="P103" i="1"/>
  <c r="P205" i="1"/>
  <c r="Q33" i="1"/>
  <c r="P273" i="1"/>
  <c r="Q238" i="1"/>
  <c r="P204" i="1"/>
  <c r="Q34" i="1"/>
  <c r="Q169" i="1"/>
  <c r="P67" i="1"/>
  <c r="Q204" i="1"/>
  <c r="M340" i="1"/>
  <c r="P340" i="1"/>
  <c r="N339" i="1"/>
  <c r="Q340" i="1"/>
  <c r="Q339" i="1"/>
  <c r="P339" i="1"/>
  <c r="M339" i="1"/>
  <c r="P341" i="1"/>
  <c r="Q306" i="1"/>
  <c r="P306" i="1"/>
  <c r="P307" i="1"/>
  <c r="P305" i="1"/>
  <c r="P271" i="1"/>
  <c r="P272" i="1"/>
  <c r="Q271" i="1"/>
  <c r="P237" i="1"/>
  <c r="P239" i="1"/>
  <c r="Q237" i="1"/>
  <c r="Q203" i="1"/>
  <c r="Q136" i="1"/>
  <c r="Q135" i="1"/>
  <c r="P136" i="1"/>
  <c r="Q102" i="1"/>
  <c r="Q101" i="1"/>
  <c r="P102" i="1"/>
  <c r="P101" i="1"/>
  <c r="P69" i="1"/>
  <c r="P35" i="1"/>
  <c r="P33" i="1"/>
  <c r="P34" i="1"/>
  <c r="N304" i="1"/>
  <c r="N303" i="1"/>
  <c r="N302" i="1"/>
  <c r="N301" i="1"/>
  <c r="N300" i="1"/>
  <c r="N299" i="1"/>
  <c r="N298" i="1"/>
  <c r="N297" i="1"/>
  <c r="N296" i="1"/>
  <c r="N295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7" i="1"/>
  <c r="N276" i="1"/>
  <c r="N275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0" i="1"/>
  <c r="N8" i="1"/>
  <c r="N7" i="1"/>
  <c r="N6" i="1"/>
  <c r="N5" i="1"/>
  <c r="N4" i="1"/>
  <c r="N3" i="1"/>
  <c r="M275" i="1"/>
  <c r="A276" i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M276" i="1"/>
  <c r="M277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5" i="1"/>
  <c r="M296" i="1"/>
  <c r="M297" i="1"/>
  <c r="M298" i="1"/>
  <c r="M299" i="1"/>
  <c r="M300" i="1"/>
  <c r="M301" i="1"/>
  <c r="M302" i="1"/>
  <c r="M303" i="1"/>
  <c r="M304" i="1"/>
  <c r="L305" i="1"/>
  <c r="O305" i="1"/>
  <c r="L306" i="1"/>
  <c r="O306" i="1"/>
  <c r="L307" i="1"/>
  <c r="L273" i="1"/>
  <c r="O272" i="1"/>
  <c r="L272" i="1"/>
  <c r="O271" i="1"/>
  <c r="L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A242" i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M241" i="1"/>
  <c r="M207" i="1"/>
  <c r="A208" i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L237" i="1"/>
  <c r="O237" i="1"/>
  <c r="L238" i="1"/>
  <c r="O238" i="1"/>
  <c r="L239" i="1"/>
  <c r="D3" i="2"/>
  <c r="L3" i="2"/>
  <c r="K3" i="2"/>
  <c r="C3" i="2"/>
  <c r="L32" i="7" l="1"/>
  <c r="L32" i="8"/>
  <c r="N32" i="7"/>
  <c r="N32" i="8"/>
  <c r="J392" i="8"/>
  <c r="D32" i="7"/>
  <c r="A36" i="7"/>
  <c r="J32" i="6"/>
  <c r="D37" i="8" s="1"/>
  <c r="F32" i="6"/>
  <c r="N32" i="6"/>
  <c r="A34" i="6"/>
  <c r="M307" i="1"/>
  <c r="M239" i="1"/>
  <c r="M273" i="1"/>
  <c r="N67" i="1"/>
  <c r="N169" i="1"/>
  <c r="N203" i="1"/>
  <c r="N237" i="1"/>
  <c r="N33" i="1"/>
  <c r="N135" i="1"/>
  <c r="M271" i="1"/>
  <c r="N101" i="1"/>
  <c r="N271" i="1"/>
  <c r="N305" i="1"/>
  <c r="M306" i="1"/>
  <c r="M305" i="1"/>
  <c r="M272" i="1"/>
  <c r="M238" i="1"/>
  <c r="M237" i="1"/>
  <c r="N37" i="7" l="1"/>
  <c r="N37" i="8"/>
  <c r="L37" i="7"/>
  <c r="L37" i="8"/>
  <c r="J393" i="8"/>
  <c r="D37" i="7"/>
  <c r="A37" i="7"/>
  <c r="N33" i="6"/>
  <c r="F33" i="6"/>
  <c r="J33" i="6"/>
  <c r="D29" i="8" s="1"/>
  <c r="A35" i="6"/>
  <c r="L205" i="1"/>
  <c r="O204" i="1"/>
  <c r="L204" i="1"/>
  <c r="O203" i="1"/>
  <c r="L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A174" i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M173" i="1"/>
  <c r="A4" i="2"/>
  <c r="M116" i="1"/>
  <c r="M119" i="1"/>
  <c r="M153" i="1"/>
  <c r="M152" i="1"/>
  <c r="M151" i="1"/>
  <c r="L171" i="1"/>
  <c r="O170" i="1"/>
  <c r="L170" i="1"/>
  <c r="O169" i="1"/>
  <c r="L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0" i="1"/>
  <c r="M149" i="1"/>
  <c r="M148" i="1"/>
  <c r="M147" i="1"/>
  <c r="M146" i="1"/>
  <c r="M145" i="1"/>
  <c r="M144" i="1"/>
  <c r="M143" i="1"/>
  <c r="M142" i="1"/>
  <c r="M141" i="1"/>
  <c r="M140" i="1"/>
  <c r="A140" i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M139" i="1"/>
  <c r="O33" i="1"/>
  <c r="O34" i="1"/>
  <c r="O67" i="1"/>
  <c r="O68" i="1"/>
  <c r="O101" i="1"/>
  <c r="O102" i="1"/>
  <c r="O135" i="1"/>
  <c r="O136" i="1"/>
  <c r="L137" i="1"/>
  <c r="L136" i="1"/>
  <c r="L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7" i="1"/>
  <c r="M115" i="1"/>
  <c r="M114" i="1"/>
  <c r="M113" i="1"/>
  <c r="M112" i="1"/>
  <c r="M111" i="1"/>
  <c r="M110" i="1"/>
  <c r="M109" i="1"/>
  <c r="M108" i="1"/>
  <c r="M107" i="1"/>
  <c r="M106" i="1"/>
  <c r="A106" i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M105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0" i="1"/>
  <c r="M8" i="1"/>
  <c r="M7" i="1"/>
  <c r="M6" i="1"/>
  <c r="M5" i="1"/>
  <c r="M4" i="1"/>
  <c r="M3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L103" i="1"/>
  <c r="L102" i="1"/>
  <c r="L101" i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L69" i="1"/>
  <c r="L35" i="1"/>
  <c r="L68" i="1"/>
  <c r="L67" i="1"/>
  <c r="A38" i="1"/>
  <c r="A39" i="1" s="1"/>
  <c r="A40" i="1" s="1"/>
  <c r="A41" i="1" s="1"/>
  <c r="A42" i="1" s="1"/>
  <c r="A43" i="1" s="1"/>
  <c r="A44" i="1" s="1"/>
  <c r="A45" i="1" s="1"/>
  <c r="A46" i="1" s="1"/>
  <c r="A47" i="1" s="1"/>
  <c r="L34" i="1"/>
  <c r="L33" i="1"/>
  <c r="K4" i="2"/>
  <c r="D4" i="2"/>
  <c r="L4" i="2"/>
  <c r="C4" i="2"/>
  <c r="B4" i="2"/>
  <c r="E4" i="2"/>
  <c r="B3" i="2"/>
  <c r="E3" i="2"/>
  <c r="J394" i="8" l="1"/>
  <c r="L29" i="7"/>
  <c r="L29" i="8"/>
  <c r="N29" i="7"/>
  <c r="N29" i="8"/>
  <c r="O4" i="2"/>
  <c r="P4" i="2"/>
  <c r="Q4" i="2"/>
  <c r="O35" i="7" s="1"/>
  <c r="Q3" i="2"/>
  <c r="O6" i="7" s="1"/>
  <c r="P3" i="2"/>
  <c r="O3" i="2"/>
  <c r="D29" i="7"/>
  <c r="A38" i="7"/>
  <c r="N34" i="6"/>
  <c r="F34" i="6"/>
  <c r="J34" i="6"/>
  <c r="D33" i="8" s="1"/>
  <c r="A36" i="6"/>
  <c r="A5" i="2"/>
  <c r="M103" i="1"/>
  <c r="M205" i="1"/>
  <c r="M137" i="1"/>
  <c r="M171" i="1"/>
  <c r="M69" i="1"/>
  <c r="M35" i="1"/>
  <c r="M204" i="1"/>
  <c r="M203" i="1"/>
  <c r="M169" i="1"/>
  <c r="M170" i="1"/>
  <c r="M34" i="1"/>
  <c r="M136" i="1"/>
  <c r="M135" i="1"/>
  <c r="M101" i="1"/>
  <c r="M102" i="1"/>
  <c r="M33" i="1"/>
  <c r="M68" i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M67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G4" i="2"/>
  <c r="M4" i="2"/>
  <c r="H5" i="2"/>
  <c r="H4" i="2"/>
  <c r="M3" i="2"/>
  <c r="G3" i="2"/>
  <c r="B5" i="2"/>
  <c r="I5" i="2"/>
  <c r="L5" i="2"/>
  <c r="C5" i="2"/>
  <c r="K5" i="2"/>
  <c r="I3" i="2"/>
  <c r="H3" i="2"/>
  <c r="M5" i="2"/>
  <c r="E5" i="2"/>
  <c r="G5" i="2"/>
  <c r="D5" i="2"/>
  <c r="I4" i="2"/>
  <c r="O35" i="8" l="1"/>
  <c r="O6" i="8"/>
  <c r="L33" i="7"/>
  <c r="L33" i="8"/>
  <c r="N33" i="7"/>
  <c r="N33" i="8"/>
  <c r="J395" i="8"/>
  <c r="O5" i="2"/>
  <c r="P5" i="2"/>
  <c r="Q5" i="2"/>
  <c r="O16" i="7" s="1"/>
  <c r="D33" i="7"/>
  <c r="A39" i="7"/>
  <c r="F35" i="6"/>
  <c r="J35" i="6"/>
  <c r="D39" i="8" s="1"/>
  <c r="N35" i="6"/>
  <c r="A37" i="6"/>
  <c r="A6" i="2"/>
  <c r="N5" i="2"/>
  <c r="N4" i="2"/>
  <c r="N3" i="2"/>
  <c r="F3" i="2"/>
  <c r="F5" i="2"/>
  <c r="F4" i="2"/>
  <c r="J4" i="2"/>
  <c r="J5" i="2"/>
  <c r="J3" i="2"/>
  <c r="E6" i="2"/>
  <c r="M6" i="2"/>
  <c r="I6" i="2"/>
  <c r="C6" i="2"/>
  <c r="K6" i="2"/>
  <c r="L6" i="2"/>
  <c r="D6" i="2"/>
  <c r="B6" i="2"/>
  <c r="H6" i="2"/>
  <c r="G6" i="2"/>
  <c r="J396" i="8" l="1"/>
  <c r="O16" i="8"/>
  <c r="N39" i="7"/>
  <c r="N39" i="8"/>
  <c r="L39" i="7"/>
  <c r="L39" i="8"/>
  <c r="O6" i="2"/>
  <c r="P6" i="2"/>
  <c r="Q6" i="2"/>
  <c r="O7" i="7" s="1"/>
  <c r="D39" i="7"/>
  <c r="A40" i="7"/>
  <c r="F36" i="6"/>
  <c r="N36" i="6"/>
  <c r="J36" i="6"/>
  <c r="D40" i="8" s="1"/>
  <c r="A38" i="6"/>
  <c r="A39" i="6" s="1"/>
  <c r="A40" i="6" s="1"/>
  <c r="F6" i="2"/>
  <c r="J6" i="2"/>
  <c r="N6" i="2"/>
  <c r="A7" i="2"/>
  <c r="B7" i="2"/>
  <c r="H7" i="2"/>
  <c r="G7" i="2"/>
  <c r="I7" i="2"/>
  <c r="M7" i="2"/>
  <c r="E7" i="2"/>
  <c r="C7" i="2"/>
  <c r="K7" i="2"/>
  <c r="L7" i="2"/>
  <c r="D7" i="2"/>
  <c r="B39" i="19" l="1"/>
  <c r="B25" i="19"/>
  <c r="B5" i="19"/>
  <c r="H5" i="19" s="1"/>
  <c r="K5" i="19" s="1"/>
  <c r="B6" i="19"/>
  <c r="D6" i="19" s="1"/>
  <c r="K6" i="19" s="1"/>
  <c r="B23" i="19"/>
  <c r="B8" i="19"/>
  <c r="B27" i="19"/>
  <c r="B19" i="19"/>
  <c r="B7" i="19"/>
  <c r="B22" i="19"/>
  <c r="B34" i="19"/>
  <c r="B35" i="19"/>
  <c r="B10" i="19"/>
  <c r="B9" i="19"/>
  <c r="B24" i="19"/>
  <c r="B26" i="19"/>
  <c r="B36" i="19"/>
  <c r="B38" i="19"/>
  <c r="B28" i="19"/>
  <c r="B11" i="19"/>
  <c r="B21" i="19"/>
  <c r="B15" i="19"/>
  <c r="B37" i="19"/>
  <c r="B20" i="19"/>
  <c r="B13" i="19"/>
  <c r="B17" i="19"/>
  <c r="B29" i="19"/>
  <c r="B14" i="19"/>
  <c r="B31" i="19"/>
  <c r="B12" i="19"/>
  <c r="B18" i="19"/>
  <c r="B32" i="19"/>
  <c r="B33" i="19"/>
  <c r="B30" i="19"/>
  <c r="B16" i="19"/>
  <c r="B39" i="16"/>
  <c r="B6" i="16"/>
  <c r="B24" i="16"/>
  <c r="B33" i="16"/>
  <c r="B5" i="16"/>
  <c r="B18" i="16"/>
  <c r="B23" i="16"/>
  <c r="B21" i="16"/>
  <c r="B11" i="16"/>
  <c r="B9" i="16"/>
  <c r="B25" i="16"/>
  <c r="B28" i="16"/>
  <c r="B17" i="16"/>
  <c r="B37" i="16"/>
  <c r="B38" i="16"/>
  <c r="B19" i="16"/>
  <c r="B10" i="16"/>
  <c r="B35" i="16"/>
  <c r="B7" i="16"/>
  <c r="B22" i="16"/>
  <c r="B8" i="16"/>
  <c r="B34" i="16"/>
  <c r="B29" i="16"/>
  <c r="B20" i="16"/>
  <c r="B36" i="16"/>
  <c r="B15" i="16"/>
  <c r="B16" i="16"/>
  <c r="B13" i="16"/>
  <c r="B26" i="16"/>
  <c r="B31" i="16"/>
  <c r="B12" i="16"/>
  <c r="B14" i="16"/>
  <c r="B27" i="16"/>
  <c r="B32" i="16"/>
  <c r="B30" i="16"/>
  <c r="O7" i="8"/>
  <c r="N40" i="7"/>
  <c r="N40" i="8"/>
  <c r="L40" i="7"/>
  <c r="L40" i="8"/>
  <c r="P7" i="2"/>
  <c r="O7" i="2"/>
  <c r="Q7" i="2"/>
  <c r="O19" i="7" s="1"/>
  <c r="D40" i="7"/>
  <c r="A41" i="7"/>
  <c r="A42" i="7" s="1"/>
  <c r="A43" i="7" s="1"/>
  <c r="F37" i="6"/>
  <c r="N37" i="6"/>
  <c r="J37" i="6"/>
  <c r="D26" i="8" s="1"/>
  <c r="F7" i="2"/>
  <c r="N7" i="2"/>
  <c r="J7" i="2"/>
  <c r="A8" i="2"/>
  <c r="I8" i="2"/>
  <c r="M8" i="2"/>
  <c r="H8" i="2"/>
  <c r="G8" i="2"/>
  <c r="B8" i="2"/>
  <c r="E8" i="2"/>
  <c r="C8" i="2"/>
  <c r="D8" i="2"/>
  <c r="L8" i="2"/>
  <c r="K8" i="2"/>
  <c r="G31" i="16" l="1"/>
  <c r="E31" i="16"/>
  <c r="I31" i="16"/>
  <c r="H31" i="16"/>
  <c r="F31" i="16"/>
  <c r="D31" i="16"/>
  <c r="J31" i="16"/>
  <c r="J36" i="16"/>
  <c r="I36" i="16"/>
  <c r="H36" i="16"/>
  <c r="G36" i="16"/>
  <c r="E36" i="16"/>
  <c r="F36" i="16"/>
  <c r="D36" i="16"/>
  <c r="J20" i="16"/>
  <c r="I20" i="16"/>
  <c r="H20" i="16"/>
  <c r="G20" i="16"/>
  <c r="D20" i="16"/>
  <c r="E20" i="16"/>
  <c r="F20" i="16"/>
  <c r="J34" i="16"/>
  <c r="G34" i="16"/>
  <c r="D34" i="16"/>
  <c r="I34" i="16"/>
  <c r="H34" i="16"/>
  <c r="E34" i="16"/>
  <c r="F34" i="16"/>
  <c r="E22" i="16"/>
  <c r="D22" i="16"/>
  <c r="H22" i="16"/>
  <c r="G22" i="16"/>
  <c r="I22" i="16"/>
  <c r="J22" i="16"/>
  <c r="F22" i="16"/>
  <c r="I14" i="16"/>
  <c r="J14" i="16"/>
  <c r="G14" i="16"/>
  <c r="F14" i="16"/>
  <c r="E14" i="16"/>
  <c r="H14" i="16"/>
  <c r="D14" i="16"/>
  <c r="K14" i="16" s="1"/>
  <c r="F19" i="16"/>
  <c r="E19" i="16"/>
  <c r="D19" i="16"/>
  <c r="J19" i="16"/>
  <c r="H19" i="16"/>
  <c r="G19" i="16"/>
  <c r="I19" i="16"/>
  <c r="E38" i="16"/>
  <c r="D38" i="16"/>
  <c r="G38" i="16"/>
  <c r="I38" i="16"/>
  <c r="J38" i="16"/>
  <c r="F38" i="16"/>
  <c r="H38" i="16"/>
  <c r="E37" i="16"/>
  <c r="D37" i="16"/>
  <c r="G37" i="16"/>
  <c r="J37" i="16"/>
  <c r="F37" i="16"/>
  <c r="I37" i="16"/>
  <c r="H37" i="16"/>
  <c r="J17" i="16"/>
  <c r="I17" i="16"/>
  <c r="H17" i="16"/>
  <c r="G17" i="16"/>
  <c r="F17" i="16"/>
  <c r="E17" i="16"/>
  <c r="D17" i="16"/>
  <c r="J28" i="16"/>
  <c r="I28" i="16"/>
  <c r="H28" i="16"/>
  <c r="G28" i="16"/>
  <c r="F28" i="16"/>
  <c r="E28" i="16"/>
  <c r="D28" i="16"/>
  <c r="K28" i="16" s="1"/>
  <c r="D25" i="16"/>
  <c r="E25" i="16"/>
  <c r="H25" i="16"/>
  <c r="F25" i="16"/>
  <c r="I25" i="16"/>
  <c r="G25" i="16"/>
  <c r="J25" i="16"/>
  <c r="D9" i="16"/>
  <c r="J9" i="16"/>
  <c r="I9" i="16"/>
  <c r="H9" i="16"/>
  <c r="G9" i="16"/>
  <c r="F9" i="16"/>
  <c r="E9" i="16"/>
  <c r="J11" i="16"/>
  <c r="I11" i="16"/>
  <c r="H11" i="16"/>
  <c r="G11" i="16"/>
  <c r="D11" i="16"/>
  <c r="K11" i="16" s="1"/>
  <c r="F11" i="16"/>
  <c r="E11" i="16"/>
  <c r="D21" i="16"/>
  <c r="G21" i="16"/>
  <c r="J21" i="16"/>
  <c r="F21" i="16"/>
  <c r="E21" i="16"/>
  <c r="I21" i="16"/>
  <c r="H21" i="16"/>
  <c r="J23" i="16"/>
  <c r="I23" i="16"/>
  <c r="H23" i="16"/>
  <c r="G23" i="16"/>
  <c r="F23" i="16"/>
  <c r="E23" i="16"/>
  <c r="D23" i="16"/>
  <c r="K23" i="16" s="1"/>
  <c r="E18" i="16"/>
  <c r="J18" i="16"/>
  <c r="H18" i="16"/>
  <c r="G18" i="16"/>
  <c r="D18" i="16"/>
  <c r="F18" i="16"/>
  <c r="I18" i="16"/>
  <c r="J5" i="16"/>
  <c r="I5" i="16"/>
  <c r="H5" i="16"/>
  <c r="F5" i="16"/>
  <c r="E5" i="16"/>
  <c r="G5" i="16"/>
  <c r="D5" i="16"/>
  <c r="J33" i="16"/>
  <c r="I33" i="16"/>
  <c r="H33" i="16"/>
  <c r="F33" i="16"/>
  <c r="G33" i="16"/>
  <c r="E33" i="16"/>
  <c r="D33" i="16"/>
  <c r="G24" i="16"/>
  <c r="F24" i="16"/>
  <c r="J24" i="16"/>
  <c r="I24" i="16"/>
  <c r="E24" i="16"/>
  <c r="D24" i="16"/>
  <c r="H24" i="16"/>
  <c r="I26" i="16"/>
  <c r="H26" i="16"/>
  <c r="G26" i="16"/>
  <c r="F26" i="16"/>
  <c r="E26" i="16"/>
  <c r="J26" i="16"/>
  <c r="D26" i="16"/>
  <c r="G16" i="16"/>
  <c r="F16" i="16"/>
  <c r="E16" i="16"/>
  <c r="D16" i="16"/>
  <c r="H16" i="16"/>
  <c r="I16" i="16"/>
  <c r="J16" i="16"/>
  <c r="J15" i="16"/>
  <c r="I15" i="16"/>
  <c r="H15" i="16"/>
  <c r="D15" i="16"/>
  <c r="G15" i="16"/>
  <c r="F15" i="16"/>
  <c r="E15" i="16"/>
  <c r="J30" i="16"/>
  <c r="I30" i="16"/>
  <c r="H30" i="16"/>
  <c r="G30" i="16"/>
  <c r="F30" i="16"/>
  <c r="E30" i="16"/>
  <c r="D30" i="16"/>
  <c r="J7" i="16"/>
  <c r="I7" i="16"/>
  <c r="H7" i="16"/>
  <c r="F7" i="16"/>
  <c r="G7" i="16"/>
  <c r="E7" i="16"/>
  <c r="D7" i="16"/>
  <c r="K7" i="16" s="1"/>
  <c r="G32" i="16"/>
  <c r="F32" i="16"/>
  <c r="E32" i="16"/>
  <c r="D32" i="16"/>
  <c r="J32" i="16"/>
  <c r="I32" i="16"/>
  <c r="H32" i="16"/>
  <c r="F35" i="16"/>
  <c r="E35" i="16"/>
  <c r="D35" i="16"/>
  <c r="I35" i="16"/>
  <c r="G35" i="16"/>
  <c r="J35" i="16"/>
  <c r="H35" i="16"/>
  <c r="E6" i="16"/>
  <c r="D6" i="16"/>
  <c r="G6" i="16"/>
  <c r="J6" i="16"/>
  <c r="I6" i="16"/>
  <c r="H6" i="16"/>
  <c r="F6" i="16"/>
  <c r="D12" i="16"/>
  <c r="E12" i="16"/>
  <c r="J12" i="16"/>
  <c r="I12" i="16"/>
  <c r="H12" i="16"/>
  <c r="G12" i="16"/>
  <c r="F12" i="16"/>
  <c r="H13" i="16"/>
  <c r="G13" i="16"/>
  <c r="F13" i="16"/>
  <c r="E13" i="16"/>
  <c r="D13" i="16"/>
  <c r="K13" i="16" s="1"/>
  <c r="J13" i="16"/>
  <c r="I13" i="16"/>
  <c r="H29" i="16"/>
  <c r="G29" i="16"/>
  <c r="F29" i="16"/>
  <c r="E29" i="16"/>
  <c r="D29" i="16"/>
  <c r="I29" i="16"/>
  <c r="J29" i="16"/>
  <c r="D8" i="16"/>
  <c r="G8" i="16"/>
  <c r="H8" i="16"/>
  <c r="E8" i="16"/>
  <c r="I8" i="16"/>
  <c r="F8" i="16"/>
  <c r="J8" i="16"/>
  <c r="J27" i="16"/>
  <c r="F27" i="16"/>
  <c r="I27" i="16"/>
  <c r="E27" i="16"/>
  <c r="G27" i="16"/>
  <c r="H27" i="16"/>
  <c r="D27" i="16"/>
  <c r="K27" i="16" s="1"/>
  <c r="I10" i="16"/>
  <c r="H10" i="16"/>
  <c r="G10" i="16"/>
  <c r="F10" i="16"/>
  <c r="E10" i="16"/>
  <c r="D10" i="16"/>
  <c r="J10" i="16"/>
  <c r="J39" i="16"/>
  <c r="I39" i="16"/>
  <c r="H39" i="16"/>
  <c r="G39" i="16"/>
  <c r="F39" i="16"/>
  <c r="E39" i="16"/>
  <c r="D39" i="16"/>
  <c r="N26" i="7"/>
  <c r="N26" i="8"/>
  <c r="L26" i="7"/>
  <c r="L26" i="8"/>
  <c r="O19" i="8"/>
  <c r="O8" i="2"/>
  <c r="P8" i="2"/>
  <c r="Q8" i="2"/>
  <c r="O10" i="7" s="1"/>
  <c r="D26" i="7"/>
  <c r="F8" i="2"/>
  <c r="N8" i="2"/>
  <c r="J8" i="2"/>
  <c r="A9" i="2"/>
  <c r="G9" i="2"/>
  <c r="B9" i="2"/>
  <c r="H9" i="2"/>
  <c r="M9" i="2"/>
  <c r="L9" i="2"/>
  <c r="D9" i="2"/>
  <c r="I9" i="2"/>
  <c r="E9" i="2"/>
  <c r="C9" i="2"/>
  <c r="K9" i="2"/>
  <c r="K16" i="16" l="1"/>
  <c r="K29" i="16"/>
  <c r="K15" i="16"/>
  <c r="K5" i="16"/>
  <c r="K25" i="16"/>
  <c r="K22" i="16"/>
  <c r="K36" i="16"/>
  <c r="K6" i="16"/>
  <c r="K24" i="16"/>
  <c r="K8" i="16"/>
  <c r="K37" i="16"/>
  <c r="K35" i="16"/>
  <c r="K30" i="16"/>
  <c r="K34" i="16"/>
  <c r="K19" i="16"/>
  <c r="K17" i="16"/>
  <c r="K31" i="16"/>
  <c r="K39" i="16"/>
  <c r="K33" i="16"/>
  <c r="K18" i="16"/>
  <c r="K9" i="16"/>
  <c r="K32" i="16"/>
  <c r="K26" i="16"/>
  <c r="K21" i="16"/>
  <c r="K38" i="16"/>
  <c r="K20" i="16"/>
  <c r="K10" i="16"/>
  <c r="K12" i="16"/>
  <c r="O10" i="8"/>
  <c r="P9" i="2"/>
  <c r="O9" i="2"/>
  <c r="Q9" i="2"/>
  <c r="N9" i="2"/>
  <c r="F9" i="2"/>
  <c r="J9" i="2"/>
  <c r="A10" i="2"/>
  <c r="I10" i="2"/>
  <c r="H10" i="2"/>
  <c r="G10" i="2"/>
  <c r="E10" i="2"/>
  <c r="M10" i="2"/>
  <c r="K10" i="2"/>
  <c r="L10" i="2"/>
  <c r="D10" i="2"/>
  <c r="C10" i="2"/>
  <c r="N10" i="2" l="1"/>
  <c r="F10" i="2"/>
  <c r="J10" i="2"/>
  <c r="A11" i="2"/>
  <c r="B11" i="2"/>
  <c r="H11" i="2"/>
  <c r="I11" i="2"/>
  <c r="M11" i="2"/>
  <c r="G11" i="2"/>
  <c r="E11" i="2"/>
  <c r="D11" i="2"/>
  <c r="L11" i="2"/>
  <c r="C11" i="2"/>
  <c r="K11" i="2"/>
  <c r="O11" i="2" l="1"/>
  <c r="P11" i="2"/>
  <c r="Q11" i="2"/>
  <c r="F11" i="2"/>
  <c r="N11" i="2"/>
  <c r="J11" i="2"/>
  <c r="A12" i="2"/>
  <c r="I12" i="2"/>
  <c r="G12" i="2"/>
  <c r="B12" i="2"/>
  <c r="H12" i="2"/>
  <c r="E12" i="2"/>
  <c r="M12" i="2"/>
  <c r="D12" i="2"/>
  <c r="C12" i="2"/>
  <c r="L12" i="2"/>
  <c r="K12" i="2"/>
  <c r="O12" i="2" l="1"/>
  <c r="P12" i="2"/>
  <c r="Q12" i="2"/>
  <c r="N12" i="2"/>
  <c r="F12" i="2"/>
  <c r="J12" i="2"/>
  <c r="A13" i="2"/>
  <c r="G13" i="2"/>
  <c r="H13" i="2"/>
  <c r="B13" i="2"/>
  <c r="E13" i="2"/>
  <c r="C13" i="2"/>
  <c r="D13" i="2"/>
  <c r="I13" i="2"/>
  <c r="M13" i="2"/>
  <c r="K13" i="2"/>
  <c r="L13" i="2"/>
  <c r="O13" i="2" l="1"/>
  <c r="Q13" i="2"/>
  <c r="P13" i="2"/>
  <c r="N13" i="2"/>
  <c r="J13" i="2"/>
  <c r="F13" i="2"/>
  <c r="A14" i="2"/>
  <c r="B14" i="2"/>
  <c r="I14" i="2"/>
  <c r="G14" i="2"/>
  <c r="H14" i="2"/>
  <c r="E14" i="2"/>
  <c r="L14" i="2"/>
  <c r="M14" i="2"/>
  <c r="C14" i="2"/>
  <c r="K14" i="2"/>
  <c r="D14" i="2"/>
  <c r="Q14" i="2" l="1"/>
  <c r="P14" i="2"/>
  <c r="O14" i="2"/>
  <c r="N14" i="2"/>
  <c r="F14" i="2"/>
  <c r="J14" i="2"/>
  <c r="A15" i="2"/>
  <c r="B15" i="2"/>
  <c r="M15" i="2"/>
  <c r="C15" i="2"/>
  <c r="G15" i="2"/>
  <c r="I15" i="2"/>
  <c r="H15" i="2"/>
  <c r="D15" i="2"/>
  <c r="L15" i="2"/>
  <c r="K15" i="2"/>
  <c r="E15" i="2"/>
  <c r="O15" i="2" l="1"/>
  <c r="P15" i="2"/>
  <c r="Q15" i="2"/>
  <c r="F15" i="2"/>
  <c r="J15" i="2"/>
  <c r="N15" i="2"/>
  <c r="A16" i="2"/>
  <c r="I16" i="2"/>
  <c r="G16" i="2"/>
  <c r="B16" i="2"/>
  <c r="H16" i="2"/>
  <c r="E16" i="2"/>
  <c r="L16" i="2"/>
  <c r="C16" i="2"/>
  <c r="M16" i="2"/>
  <c r="K16" i="2"/>
  <c r="D16" i="2"/>
  <c r="O16" i="2" l="1"/>
  <c r="P16" i="2"/>
  <c r="Q16" i="2"/>
  <c r="N16" i="2"/>
  <c r="F16" i="2"/>
  <c r="J16" i="2"/>
  <c r="A17" i="2"/>
  <c r="B17" i="2"/>
  <c r="H17" i="2"/>
  <c r="M17" i="2"/>
  <c r="I17" i="2"/>
  <c r="K17" i="2"/>
  <c r="C17" i="2"/>
  <c r="D17" i="2"/>
  <c r="L17" i="2"/>
  <c r="G17" i="2"/>
  <c r="E17" i="2"/>
  <c r="O17" i="2" l="1"/>
  <c r="P17" i="2"/>
  <c r="Q17" i="2"/>
  <c r="F17" i="2"/>
  <c r="J17" i="2"/>
  <c r="N17" i="2"/>
  <c r="A18" i="2"/>
  <c r="B18" i="2"/>
  <c r="L18" i="2"/>
  <c r="G18" i="2"/>
  <c r="D18" i="2"/>
  <c r="M18" i="2"/>
  <c r="K18" i="2"/>
  <c r="H18" i="2"/>
  <c r="C18" i="2"/>
  <c r="I18" i="2"/>
  <c r="E18" i="2"/>
  <c r="O18" i="2" l="1"/>
  <c r="P18" i="2"/>
  <c r="Q18" i="2"/>
  <c r="F18" i="2"/>
  <c r="J18" i="2"/>
  <c r="N18" i="2"/>
  <c r="A19" i="2"/>
  <c r="B19" i="2"/>
  <c r="D19" i="2"/>
  <c r="G19" i="2"/>
  <c r="M19" i="2"/>
  <c r="I19" i="2"/>
  <c r="H19" i="2"/>
  <c r="K19" i="2"/>
  <c r="C19" i="2"/>
  <c r="L19" i="2"/>
  <c r="E19" i="2"/>
  <c r="O19" i="2" l="1"/>
  <c r="P19" i="2"/>
  <c r="Q19" i="2"/>
  <c r="F19" i="2"/>
  <c r="J19" i="2"/>
  <c r="N19" i="2"/>
  <c r="A20" i="2"/>
  <c r="E20" i="2"/>
  <c r="H20" i="2"/>
  <c r="B20" i="2"/>
  <c r="G20" i="2"/>
  <c r="I20" i="2"/>
  <c r="K20" i="2"/>
  <c r="D20" i="2"/>
  <c r="C20" i="2"/>
  <c r="L20" i="2"/>
  <c r="M20" i="2"/>
  <c r="O20" i="2" l="1"/>
  <c r="P20" i="2"/>
  <c r="Q20" i="2"/>
  <c r="N20" i="2"/>
  <c r="J20" i="2"/>
  <c r="F20" i="2"/>
  <c r="A21" i="2"/>
  <c r="G21" i="2"/>
  <c r="H21" i="2"/>
  <c r="B21" i="2"/>
  <c r="E21" i="2"/>
  <c r="I21" i="2"/>
  <c r="L21" i="2"/>
  <c r="D21" i="2"/>
  <c r="C21" i="2"/>
  <c r="M21" i="2"/>
  <c r="K21" i="2"/>
  <c r="P21" i="2" l="1"/>
  <c r="Q21" i="2"/>
  <c r="O21" i="2"/>
  <c r="N21" i="2"/>
  <c r="J21" i="2"/>
  <c r="F21" i="2"/>
  <c r="A22" i="2"/>
  <c r="M22" i="2"/>
  <c r="H22" i="2"/>
  <c r="G22" i="2"/>
  <c r="C22" i="2"/>
  <c r="D22" i="2"/>
  <c r="E22" i="2"/>
  <c r="I22" i="2"/>
  <c r="B22" i="2"/>
  <c r="K22" i="2"/>
  <c r="L22" i="2"/>
  <c r="O22" i="2" l="1"/>
  <c r="P22" i="2"/>
  <c r="Q22" i="2"/>
  <c r="N22" i="2"/>
  <c r="J22" i="2"/>
  <c r="F22" i="2"/>
  <c r="A23" i="2"/>
  <c r="C23" i="2"/>
  <c r="B23" i="2"/>
  <c r="H23" i="2"/>
  <c r="E23" i="2"/>
  <c r="G23" i="2"/>
  <c r="I23" i="2"/>
  <c r="L23" i="2"/>
  <c r="D23" i="2"/>
  <c r="M23" i="2"/>
  <c r="K23" i="2"/>
  <c r="O23" i="2" l="1"/>
  <c r="P23" i="2"/>
  <c r="Q23" i="2"/>
  <c r="N23" i="2"/>
  <c r="J23" i="2"/>
  <c r="F23" i="2"/>
  <c r="A24" i="2"/>
  <c r="C24" i="2"/>
  <c r="L24" i="2"/>
  <c r="I24" i="2"/>
  <c r="H24" i="2"/>
  <c r="B24" i="2"/>
  <c r="G24" i="2"/>
  <c r="D24" i="2"/>
  <c r="M24" i="2"/>
  <c r="E24" i="2"/>
  <c r="K24" i="2"/>
  <c r="O24" i="2" l="1"/>
  <c r="Q24" i="2"/>
  <c r="P24" i="2"/>
  <c r="N24" i="2"/>
  <c r="F24" i="2"/>
  <c r="J24" i="2"/>
  <c r="A25" i="2"/>
  <c r="E25" i="2"/>
  <c r="I25" i="2"/>
  <c r="B25" i="2"/>
  <c r="H25" i="2"/>
  <c r="G25" i="2"/>
  <c r="D25" i="2"/>
  <c r="M25" i="2"/>
  <c r="C25" i="2"/>
  <c r="K25" i="2"/>
  <c r="L25" i="2"/>
  <c r="Q25" i="2" l="1"/>
  <c r="O25" i="2"/>
  <c r="P25" i="2"/>
  <c r="N25" i="2"/>
  <c r="J25" i="2"/>
  <c r="F25" i="2"/>
  <c r="A26" i="2"/>
  <c r="D26" i="2"/>
  <c r="G26" i="2"/>
  <c r="B26" i="2"/>
  <c r="I26" i="2"/>
  <c r="E26" i="2"/>
  <c r="H26" i="2"/>
  <c r="C26" i="2"/>
  <c r="M26" i="2"/>
  <c r="K26" i="2"/>
  <c r="L26" i="2"/>
  <c r="Q26" i="2" l="1"/>
  <c r="O26" i="2"/>
  <c r="P26" i="2"/>
  <c r="N26" i="2"/>
  <c r="F26" i="2"/>
  <c r="J26" i="2"/>
  <c r="A27" i="2"/>
  <c r="H27" i="2"/>
  <c r="E27" i="2"/>
  <c r="G27" i="2"/>
  <c r="B27" i="2"/>
  <c r="M27" i="2"/>
  <c r="I27" i="2"/>
  <c r="C27" i="2"/>
  <c r="D27" i="2"/>
  <c r="L27" i="2"/>
  <c r="K27" i="2"/>
  <c r="O27" i="2" l="1"/>
  <c r="P27" i="2"/>
  <c r="Q27" i="2"/>
  <c r="N27" i="2"/>
  <c r="J27" i="2"/>
  <c r="F27" i="2"/>
  <c r="A28" i="2"/>
  <c r="C28" i="2"/>
  <c r="I28" i="2"/>
  <c r="B28" i="2"/>
  <c r="G28" i="2"/>
  <c r="E28" i="2"/>
  <c r="H28" i="2"/>
  <c r="K28" i="2"/>
  <c r="L28" i="2"/>
  <c r="D28" i="2"/>
  <c r="M28" i="2"/>
  <c r="O28" i="2" l="1"/>
  <c r="P28" i="2"/>
  <c r="Q28" i="2"/>
  <c r="N28" i="2"/>
  <c r="F28" i="2"/>
  <c r="J28" i="2"/>
  <c r="A29" i="2"/>
  <c r="M29" i="2"/>
  <c r="D29" i="2"/>
  <c r="K29" i="2"/>
  <c r="E29" i="2"/>
  <c r="I29" i="2"/>
  <c r="B29" i="2"/>
  <c r="G29" i="2"/>
  <c r="H29" i="2"/>
  <c r="C29" i="2"/>
  <c r="L29" i="2"/>
  <c r="O29" i="2" l="1"/>
  <c r="P29" i="2"/>
  <c r="Q29" i="2"/>
  <c r="N29" i="2"/>
  <c r="J29" i="2"/>
  <c r="F29" i="2"/>
  <c r="A30" i="2"/>
  <c r="L30" i="2"/>
  <c r="H30" i="2"/>
  <c r="I30" i="2"/>
  <c r="E30" i="2"/>
  <c r="B30" i="2"/>
  <c r="G30" i="2"/>
  <c r="K30" i="2"/>
  <c r="D30" i="2"/>
  <c r="C30" i="2"/>
  <c r="M30" i="2"/>
  <c r="P30" i="2" l="1"/>
  <c r="Q30" i="2"/>
  <c r="O30" i="2"/>
  <c r="N30" i="2"/>
  <c r="F30" i="2"/>
  <c r="J30" i="2"/>
  <c r="A31" i="2"/>
  <c r="D31" i="2"/>
  <c r="L31" i="2"/>
  <c r="M31" i="2"/>
  <c r="C31" i="2"/>
  <c r="E31" i="2"/>
  <c r="H31" i="2"/>
  <c r="I31" i="2"/>
  <c r="G31" i="2"/>
  <c r="B31" i="2"/>
  <c r="K31" i="2"/>
  <c r="P31" i="2" l="1"/>
  <c r="O31" i="2"/>
  <c r="Q31" i="2"/>
  <c r="N31" i="2"/>
  <c r="J31" i="2"/>
  <c r="F31" i="2"/>
  <c r="A32" i="2"/>
  <c r="M32" i="2"/>
  <c r="I32" i="2"/>
  <c r="B32" i="2"/>
  <c r="D32" i="2"/>
  <c r="E32" i="2"/>
  <c r="G32" i="2"/>
  <c r="L32" i="2"/>
  <c r="H32" i="2"/>
  <c r="C32" i="2"/>
  <c r="K32" i="2"/>
  <c r="O32" i="2" l="1"/>
  <c r="P32" i="2"/>
  <c r="Q32" i="2"/>
  <c r="N32" i="2"/>
  <c r="F32" i="2"/>
  <c r="J32" i="2"/>
  <c r="A33" i="2"/>
  <c r="B33" i="2"/>
  <c r="E33" i="2"/>
  <c r="G33" i="2"/>
  <c r="I33" i="2"/>
  <c r="L33" i="2"/>
  <c r="C33" i="2"/>
  <c r="M33" i="2"/>
  <c r="H33" i="2"/>
  <c r="D33" i="2"/>
  <c r="K33" i="2"/>
  <c r="O33" i="2" l="1"/>
  <c r="P33" i="2"/>
  <c r="Q33" i="2"/>
  <c r="N33" i="2"/>
  <c r="J33" i="2"/>
  <c r="F33" i="2"/>
  <c r="A34" i="2"/>
  <c r="H34" i="2"/>
  <c r="I34" i="2"/>
  <c r="G34" i="2"/>
  <c r="B34" i="2"/>
  <c r="D34" i="2"/>
  <c r="C34" i="2"/>
  <c r="L34" i="2"/>
  <c r="M34" i="2"/>
  <c r="E34" i="2"/>
  <c r="K34" i="2"/>
  <c r="O34" i="2" l="1"/>
  <c r="P34" i="2"/>
  <c r="Q34" i="2"/>
  <c r="N34" i="2"/>
  <c r="J34" i="2"/>
  <c r="F34" i="2"/>
  <c r="A35" i="2"/>
  <c r="G35" i="2"/>
  <c r="I35" i="2"/>
  <c r="E35" i="2"/>
  <c r="H35" i="2"/>
  <c r="B35" i="2"/>
  <c r="M35" i="2"/>
  <c r="C35" i="2"/>
  <c r="D35" i="2"/>
  <c r="L35" i="2"/>
  <c r="K35" i="2"/>
  <c r="O35" i="2" l="1"/>
  <c r="P35" i="2"/>
  <c r="Q35" i="2"/>
  <c r="N35" i="2"/>
  <c r="F35" i="2"/>
  <c r="J35" i="2"/>
  <c r="A36" i="2"/>
  <c r="I36" i="2"/>
  <c r="B36" i="2"/>
  <c r="H36" i="2"/>
  <c r="G36" i="2"/>
  <c r="E36" i="2"/>
  <c r="K36" i="2"/>
  <c r="D36" i="2"/>
  <c r="M36" i="2"/>
  <c r="C36" i="2"/>
  <c r="L36" i="2"/>
  <c r="O36" i="2" l="1"/>
  <c r="Q36" i="2"/>
  <c r="P36" i="2"/>
  <c r="N36" i="2"/>
  <c r="F36" i="2"/>
  <c r="J36" i="2"/>
  <c r="O17" i="8" l="1"/>
  <c r="O23" i="8"/>
  <c r="O15" i="8"/>
  <c r="O27" i="8"/>
  <c r="O28" i="8"/>
  <c r="O22" i="8"/>
  <c r="O40" i="8"/>
  <c r="O37" i="8"/>
  <c r="O31" i="8"/>
  <c r="O29" i="8"/>
  <c r="O8" i="8"/>
  <c r="O18" i="8"/>
  <c r="O11" i="8"/>
  <c r="O9" i="8"/>
  <c r="O20" i="8"/>
  <c r="O14" i="8"/>
  <c r="O26" i="8"/>
  <c r="O38" i="8"/>
  <c r="O21" i="8"/>
  <c r="O34" i="8"/>
  <c r="O42" i="8"/>
  <c r="O32" i="8"/>
  <c r="O36" i="8"/>
  <c r="O25" i="8"/>
  <c r="O39" i="8"/>
  <c r="O12" i="8"/>
  <c r="O43" i="8"/>
  <c r="O24" i="8"/>
  <c r="O13" i="8"/>
  <c r="O30" i="8"/>
  <c r="O41" i="8"/>
  <c r="O33" i="8"/>
  <c r="O31" i="7"/>
  <c r="O32" i="7"/>
  <c r="O29" i="7"/>
  <c r="O11" i="7"/>
  <c r="O42" i="7"/>
  <c r="O36" i="7"/>
  <c r="O21" i="7"/>
  <c r="O28" i="7"/>
  <c r="O12" i="7"/>
  <c r="O25" i="7"/>
  <c r="O13" i="7"/>
  <c r="O24" i="7"/>
  <c r="O14" i="7"/>
  <c r="O17" i="7"/>
  <c r="O33" i="7"/>
  <c r="O30" i="7"/>
  <c r="O37" i="7"/>
  <c r="O40" i="7"/>
  <c r="O15" i="7"/>
  <c r="O38" i="7"/>
  <c r="O23" i="7"/>
  <c r="O18" i="7"/>
  <c r="O43" i="7"/>
  <c r="O34" i="7"/>
  <c r="O26" i="7"/>
  <c r="O41" i="7"/>
  <c r="O9" i="7"/>
  <c r="O20" i="7"/>
  <c r="O8" i="7"/>
  <c r="O39" i="7"/>
  <c r="O27" i="7"/>
  <c r="O22" i="7"/>
</calcChain>
</file>

<file path=xl/sharedStrings.xml><?xml version="1.0" encoding="utf-8"?>
<sst xmlns="http://schemas.openxmlformats.org/spreadsheetml/2006/main" count="10883" uniqueCount="930">
  <si>
    <t>#</t>
  </si>
  <si>
    <t>DNI</t>
  </si>
  <si>
    <t>25331980</t>
  </si>
  <si>
    <t>Ahora Nación</t>
  </si>
  <si>
    <t>21545374</t>
  </si>
  <si>
    <t>17826805</t>
  </si>
  <si>
    <t>26705695</t>
  </si>
  <si>
    <t>07755878</t>
  </si>
  <si>
    <t>09434755</t>
  </si>
  <si>
    <t>7250445</t>
  </si>
  <si>
    <t>40204874</t>
  </si>
  <si>
    <t>40106921</t>
  </si>
  <si>
    <t>8558627</t>
  </si>
  <si>
    <t>5293154</t>
  </si>
  <si>
    <t>8761632</t>
  </si>
  <si>
    <t>6272152</t>
  </si>
  <si>
    <t>29470620</t>
  </si>
  <si>
    <t>80146948</t>
  </si>
  <si>
    <t>29666418</t>
  </si>
  <si>
    <t>04742579</t>
  </si>
  <si>
    <t>6762849</t>
  </si>
  <si>
    <t>7803059</t>
  </si>
  <si>
    <t>16767746</t>
  </si>
  <si>
    <t>16520088</t>
  </si>
  <si>
    <t>1127044</t>
  </si>
  <si>
    <t>1149309</t>
  </si>
  <si>
    <t>9099445</t>
  </si>
  <si>
    <t>31616560</t>
  </si>
  <si>
    <t>9347247</t>
  </si>
  <si>
    <t>29285160</t>
  </si>
  <si>
    <t>32855132</t>
  </si>
  <si>
    <t>40318653</t>
  </si>
  <si>
    <t>Partido</t>
  </si>
  <si>
    <t>Primaria</t>
  </si>
  <si>
    <t>Secundaria</t>
  </si>
  <si>
    <t>Tecnicos</t>
  </si>
  <si>
    <t>No Univ</t>
  </si>
  <si>
    <t>Univ</t>
  </si>
  <si>
    <t>Maestria</t>
  </si>
  <si>
    <t>Doctorado</t>
  </si>
  <si>
    <t>X</t>
  </si>
  <si>
    <t>Sentencias</t>
  </si>
  <si>
    <t>Ingresos</t>
  </si>
  <si>
    <t>Y</t>
  </si>
  <si>
    <t>Estudios</t>
  </si>
  <si>
    <t>Renovación Popular</t>
  </si>
  <si>
    <t>07845838</t>
  </si>
  <si>
    <t>08235876</t>
  </si>
  <si>
    <t>45209282</t>
  </si>
  <si>
    <t>25799622</t>
  </si>
  <si>
    <t>09376064</t>
  </si>
  <si>
    <t>16429203</t>
  </si>
  <si>
    <t>19996239</t>
  </si>
  <si>
    <t>07237776</t>
  </si>
  <si>
    <t>01539305</t>
  </si>
  <si>
    <t>06281336</t>
  </si>
  <si>
    <t>40697243</t>
  </si>
  <si>
    <t>10404860</t>
  </si>
  <si>
    <t>09153292</t>
  </si>
  <si>
    <t>25716428</t>
  </si>
  <si>
    <t>10381510</t>
  </si>
  <si>
    <t>07258001</t>
  </si>
  <si>
    <t>06977611</t>
  </si>
  <si>
    <t>07882250</t>
  </si>
  <si>
    <t>07559128</t>
  </si>
  <si>
    <t>06178060</t>
  </si>
  <si>
    <t>07670848</t>
  </si>
  <si>
    <t>21520551</t>
  </si>
  <si>
    <t>80285197</t>
  </si>
  <si>
    <t>18067974</t>
  </si>
  <si>
    <t>09709749</t>
  </si>
  <si>
    <t>40222052</t>
  </si>
  <si>
    <t>09483562</t>
  </si>
  <si>
    <t>07590902</t>
  </si>
  <si>
    <t>09763353</t>
  </si>
  <si>
    <t>Con Cero</t>
  </si>
  <si>
    <t>Fuerza Popular</t>
  </si>
  <si>
    <t>40433187</t>
  </si>
  <si>
    <t>07960843</t>
  </si>
  <si>
    <t>07704730</t>
  </si>
  <si>
    <t>07831436</t>
  </si>
  <si>
    <t>10307948</t>
  </si>
  <si>
    <t>08911520</t>
  </si>
  <si>
    <t>43341622</t>
  </si>
  <si>
    <t>07201147</t>
  </si>
  <si>
    <t>08266314</t>
  </si>
  <si>
    <t>29731107</t>
  </si>
  <si>
    <t>08195809</t>
  </si>
  <si>
    <t>16766539</t>
  </si>
  <si>
    <t>08262491</t>
  </si>
  <si>
    <t>15408077</t>
  </si>
  <si>
    <t>08723038</t>
  </si>
  <si>
    <t>09980339</t>
  </si>
  <si>
    <t>21564196</t>
  </si>
  <si>
    <t>01235019</t>
  </si>
  <si>
    <t>08261544</t>
  </si>
  <si>
    <t>04641322</t>
  </si>
  <si>
    <t>42133581</t>
  </si>
  <si>
    <t>21448945</t>
  </si>
  <si>
    <t>10181163</t>
  </si>
  <si>
    <t>05277192</t>
  </si>
  <si>
    <t>02811100</t>
  </si>
  <si>
    <t>16161900</t>
  </si>
  <si>
    <t>02883935</t>
  </si>
  <si>
    <t>06776959</t>
  </si>
  <si>
    <t>08963680</t>
  </si>
  <si>
    <t>33734661</t>
  </si>
  <si>
    <t>Alianza para el Progreso</t>
  </si>
  <si>
    <t>17903382</t>
  </si>
  <si>
    <t>02794608</t>
  </si>
  <si>
    <t>16757459</t>
  </si>
  <si>
    <t>80143959</t>
  </si>
  <si>
    <t>23272702</t>
  </si>
  <si>
    <t>18114960</t>
  </si>
  <si>
    <t>25839717</t>
  </si>
  <si>
    <t>18032382</t>
  </si>
  <si>
    <t>29565135</t>
  </si>
  <si>
    <t>70047055</t>
  </si>
  <si>
    <t>10804834</t>
  </si>
  <si>
    <t>09892236</t>
  </si>
  <si>
    <t>21456255</t>
  </si>
  <si>
    <t>06776011</t>
  </si>
  <si>
    <t>29672486</t>
  </si>
  <si>
    <t>16545163</t>
  </si>
  <si>
    <t>05618721</t>
  </si>
  <si>
    <t>05340651</t>
  </si>
  <si>
    <t>02863193</t>
  </si>
  <si>
    <t>06282599</t>
  </si>
  <si>
    <t>23964409</t>
  </si>
  <si>
    <t>07536914</t>
  </si>
  <si>
    <t>29687622</t>
  </si>
  <si>
    <t>19809735</t>
  </si>
  <si>
    <t>07354387</t>
  </si>
  <si>
    <t>05210955</t>
  </si>
  <si>
    <t>18182763</t>
  </si>
  <si>
    <t>18151793</t>
  </si>
  <si>
    <t>10212293</t>
  </si>
  <si>
    <t>27409088</t>
  </si>
  <si>
    <t>Juntos por el Perú</t>
  </si>
  <si>
    <t>42750152</t>
  </si>
  <si>
    <t>Peru Libre</t>
  </si>
  <si>
    <t>10783805</t>
  </si>
  <si>
    <t>Ministra</t>
  </si>
  <si>
    <t>24716071</t>
  </si>
  <si>
    <t>10035168</t>
  </si>
  <si>
    <t>29632775</t>
  </si>
  <si>
    <t>42134579</t>
  </si>
  <si>
    <t>09153143</t>
  </si>
  <si>
    <t>08586800</t>
  </si>
  <si>
    <t>02792297</t>
  </si>
  <si>
    <t>Frente Amplio</t>
  </si>
  <si>
    <t>Congresista</t>
  </si>
  <si>
    <t>06243785</t>
  </si>
  <si>
    <t>21453924</t>
  </si>
  <si>
    <t>07703966</t>
  </si>
  <si>
    <t>25700579</t>
  </si>
  <si>
    <t>10157176</t>
  </si>
  <si>
    <t>00515099</t>
  </si>
  <si>
    <t>Andahuaylazo</t>
  </si>
  <si>
    <t>40290367</t>
  </si>
  <si>
    <t>02643304</t>
  </si>
  <si>
    <t>22319228</t>
  </si>
  <si>
    <t>25402972</t>
  </si>
  <si>
    <t>40009977</t>
  </si>
  <si>
    <t>06972125</t>
  </si>
  <si>
    <t>Trabajador Congreso</t>
  </si>
  <si>
    <t>16302428</t>
  </si>
  <si>
    <t>10139458</t>
  </si>
  <si>
    <t>15750703</t>
  </si>
  <si>
    <t>01305031</t>
  </si>
  <si>
    <t>40706053</t>
  </si>
  <si>
    <t>09933376</t>
  </si>
  <si>
    <t>16558562</t>
  </si>
  <si>
    <t># con Cero</t>
  </si>
  <si>
    <t>Promedio</t>
  </si>
  <si>
    <t>Desv. Standard</t>
  </si>
  <si>
    <t>Preparación</t>
  </si>
  <si>
    <t>Buen Gobierno</t>
  </si>
  <si>
    <t>07793210</t>
  </si>
  <si>
    <t>07231335</t>
  </si>
  <si>
    <t>43360309</t>
  </si>
  <si>
    <t>07567598</t>
  </si>
  <si>
    <t>08050134</t>
  </si>
  <si>
    <t>PPC</t>
  </si>
  <si>
    <t>AP</t>
  </si>
  <si>
    <t>Contigo</t>
  </si>
  <si>
    <t>Peru Posible</t>
  </si>
  <si>
    <t>Cooperación Popular</t>
  </si>
  <si>
    <t>06704752</t>
  </si>
  <si>
    <t>07619185</t>
  </si>
  <si>
    <t>06846780</t>
  </si>
  <si>
    <t>09131897</t>
  </si>
  <si>
    <t>07676748</t>
  </si>
  <si>
    <t>09436538</t>
  </si>
  <si>
    <t>07565994</t>
  </si>
  <si>
    <t>08033374</t>
  </si>
  <si>
    <t>09609537</t>
  </si>
  <si>
    <t>06227538</t>
  </si>
  <si>
    <t>09842713</t>
  </si>
  <si>
    <t>07244295</t>
  </si>
  <si>
    <t>02623573</t>
  </si>
  <si>
    <t>08568152</t>
  </si>
  <si>
    <t>02702955</t>
  </si>
  <si>
    <t>06876967</t>
  </si>
  <si>
    <t>06645276</t>
  </si>
  <si>
    <t>10477571</t>
  </si>
  <si>
    <t>40251366</t>
  </si>
  <si>
    <t>07883267</t>
  </si>
  <si>
    <t>UPP</t>
  </si>
  <si>
    <t>Somos Peru</t>
  </si>
  <si>
    <t>Obras</t>
  </si>
  <si>
    <t>09657472</t>
  </si>
  <si>
    <t>07412350</t>
  </si>
  <si>
    <t>09303706</t>
  </si>
  <si>
    <t>07651031</t>
  </si>
  <si>
    <t>07250032</t>
  </si>
  <si>
    <t>06051085</t>
  </si>
  <si>
    <t>02376613</t>
  </si>
  <si>
    <t>10792022</t>
  </si>
  <si>
    <t>09134214</t>
  </si>
  <si>
    <t>08801117</t>
  </si>
  <si>
    <t>08764850</t>
  </si>
  <si>
    <t>08681023</t>
  </si>
  <si>
    <t>09978367</t>
  </si>
  <si>
    <t>09686315</t>
  </si>
  <si>
    <t>09666577</t>
  </si>
  <si>
    <t>09970891</t>
  </si>
  <si>
    <t>09633411</t>
  </si>
  <si>
    <t>08365513</t>
  </si>
  <si>
    <t>09578726</t>
  </si>
  <si>
    <t>06769680</t>
  </si>
  <si>
    <t>04025718</t>
  </si>
  <si>
    <t>08330795</t>
  </si>
  <si>
    <t>15852217</t>
  </si>
  <si>
    <t># Candidatos</t>
  </si>
  <si>
    <t>Integridad Democrática</t>
  </si>
  <si>
    <t>07260881</t>
  </si>
  <si>
    <t>07964787</t>
  </si>
  <si>
    <t>07973181</t>
  </si>
  <si>
    <t>02794821</t>
  </si>
  <si>
    <t>00236481</t>
  </si>
  <si>
    <t>09154524</t>
  </si>
  <si>
    <t>06495078</t>
  </si>
  <si>
    <t>09521747</t>
  </si>
  <si>
    <t>07850559</t>
  </si>
  <si>
    <t>06777186</t>
  </si>
  <si>
    <t>07230228</t>
  </si>
  <si>
    <t>09887788</t>
  </si>
  <si>
    <t>07521119</t>
  </si>
  <si>
    <t>09336553</t>
  </si>
  <si>
    <t>Partido Morado</t>
  </si>
  <si>
    <t>07561974</t>
  </si>
  <si>
    <t>06656244</t>
  </si>
  <si>
    <t>00251799</t>
  </si>
  <si>
    <t>08655412</t>
  </si>
  <si>
    <t>10306852</t>
  </si>
  <si>
    <t>10636218</t>
  </si>
  <si>
    <t>Total</t>
  </si>
  <si>
    <t>Porcentaje</t>
  </si>
  <si>
    <t>09552537</t>
  </si>
  <si>
    <t>19882183</t>
  </si>
  <si>
    <t>06981876</t>
  </si>
  <si>
    <t>07253914</t>
  </si>
  <si>
    <t>07515940</t>
  </si>
  <si>
    <t>10274640</t>
  </si>
  <si>
    <t>23928025</t>
  </si>
  <si>
    <t>08740971</t>
  </si>
  <si>
    <t>10790199</t>
  </si>
  <si>
    <t>08220007</t>
  </si>
  <si>
    <t>10449649</t>
  </si>
  <si>
    <t>10241874</t>
  </si>
  <si>
    <t>10055124</t>
  </si>
  <si>
    <t>08618960</t>
  </si>
  <si>
    <t>07738992</t>
  </si>
  <si>
    <t>25405787</t>
  </si>
  <si>
    <t>10621266</t>
  </si>
  <si>
    <t>09764094</t>
  </si>
  <si>
    <t>24945598</t>
  </si>
  <si>
    <t>06607129</t>
  </si>
  <si>
    <t>08536727</t>
  </si>
  <si>
    <t>PCM 2025</t>
  </si>
  <si>
    <t>07290631</t>
  </si>
  <si>
    <t>06805712</t>
  </si>
  <si>
    <t>09860694</t>
  </si>
  <si>
    <t>43938404</t>
  </si>
  <si>
    <t>09886358</t>
  </si>
  <si>
    <t>08720299</t>
  </si>
  <si>
    <t>07813923</t>
  </si>
  <si>
    <t>APRA</t>
  </si>
  <si>
    <t>08138204</t>
  </si>
  <si>
    <t>02730140</t>
  </si>
  <si>
    <t>01211014</t>
  </si>
  <si>
    <t>06861436</t>
  </si>
  <si>
    <t>09928827</t>
  </si>
  <si>
    <t>06279342</t>
  </si>
  <si>
    <t>17910128</t>
  </si>
  <si>
    <t>02417724</t>
  </si>
  <si>
    <t>Accion Popular</t>
  </si>
  <si>
    <t>10379271</t>
  </si>
  <si>
    <t>10786164</t>
  </si>
  <si>
    <t>15693515</t>
  </si>
  <si>
    <t>06242968</t>
  </si>
  <si>
    <t>08123783</t>
  </si>
  <si>
    <t>44181707</t>
  </si>
  <si>
    <t>Unido Perú</t>
  </si>
  <si>
    <t>07485705</t>
  </si>
  <si>
    <t>07039066</t>
  </si>
  <si>
    <t>09095243</t>
  </si>
  <si>
    <t>09240724</t>
  </si>
  <si>
    <t>08449831</t>
  </si>
  <si>
    <t>43297941</t>
  </si>
  <si>
    <t>00072379</t>
  </si>
  <si>
    <t>01317313</t>
  </si>
  <si>
    <t>07108230</t>
  </si>
  <si>
    <t>43330672</t>
  </si>
  <si>
    <t>16757582</t>
  </si>
  <si>
    <t>04742284</t>
  </si>
  <si>
    <t>26723870</t>
  </si>
  <si>
    <t>Pais para Todos</t>
  </si>
  <si>
    <t>09411811</t>
  </si>
  <si>
    <t>09273006</t>
  </si>
  <si>
    <t>06054414</t>
  </si>
  <si>
    <t>32304953</t>
  </si>
  <si>
    <t>06303156</t>
  </si>
  <si>
    <t>06654879</t>
  </si>
  <si>
    <t>PPK</t>
  </si>
  <si>
    <t>15594926</t>
  </si>
  <si>
    <t>29520242</t>
  </si>
  <si>
    <t>06804970</t>
  </si>
  <si>
    <t>ARC - 2022 JEFE DE ASESORES</t>
  </si>
  <si>
    <t>09303898</t>
  </si>
  <si>
    <t>07928586</t>
  </si>
  <si>
    <t>43293233</t>
  </si>
  <si>
    <t>Libertad Popular</t>
  </si>
  <si>
    <t>08199906</t>
  </si>
  <si>
    <t>09174186</t>
  </si>
  <si>
    <t>07266096</t>
  </si>
  <si>
    <t>07605117</t>
  </si>
  <si>
    <t>08165072</t>
  </si>
  <si>
    <t>03640391</t>
  </si>
  <si>
    <t>05377156</t>
  </si>
  <si>
    <t>07130975</t>
  </si>
  <si>
    <t>07694366</t>
  </si>
  <si>
    <t>07422819</t>
  </si>
  <si>
    <t>09805105</t>
  </si>
  <si>
    <t>MINISTRA CULTURA 2013-2016</t>
  </si>
  <si>
    <t>08191008</t>
  </si>
  <si>
    <t>10273657</t>
  </si>
  <si>
    <t>07214164</t>
  </si>
  <si>
    <t>06666789</t>
  </si>
  <si>
    <t>10276716</t>
  </si>
  <si>
    <t>40036102</t>
  </si>
  <si>
    <t>43561262</t>
  </si>
  <si>
    <t>Venceremos</t>
  </si>
  <si>
    <t>06658111</t>
  </si>
  <si>
    <t>06002807</t>
  </si>
  <si>
    <t>06261560</t>
  </si>
  <si>
    <t>27080597</t>
  </si>
  <si>
    <t>08539958</t>
  </si>
  <si>
    <t>07608964</t>
  </si>
  <si>
    <t>32869200</t>
  </si>
  <si>
    <t>02886933</t>
  </si>
  <si>
    <t>09689506</t>
  </si>
  <si>
    <t>09349250</t>
  </si>
  <si>
    <t>09679658</t>
  </si>
  <si>
    <t>Asesor Congreso</t>
  </si>
  <si>
    <t>02664050</t>
  </si>
  <si>
    <t>33649439</t>
  </si>
  <si>
    <t>07543866</t>
  </si>
  <si>
    <t>02382593</t>
  </si>
  <si>
    <t>Coord Congreso 2016</t>
  </si>
  <si>
    <t>01044947</t>
  </si>
  <si>
    <t>31475940</t>
  </si>
  <si>
    <t>06251953</t>
  </si>
  <si>
    <t>21529721</t>
  </si>
  <si>
    <t>UPP 2006</t>
  </si>
  <si>
    <t>32805454</t>
  </si>
  <si>
    <t>33565105</t>
  </si>
  <si>
    <t>09653021</t>
  </si>
  <si>
    <t>07930712</t>
  </si>
  <si>
    <t>03088559</t>
  </si>
  <si>
    <t>09729218</t>
  </si>
  <si>
    <t>07501394</t>
  </si>
  <si>
    <t>Asistente Congreso 2021</t>
  </si>
  <si>
    <t>03339762</t>
  </si>
  <si>
    <t>Peru Primero</t>
  </si>
  <si>
    <t>04411300</t>
  </si>
  <si>
    <t>40077944</t>
  </si>
  <si>
    <t>Asesor Congreso 2021</t>
  </si>
  <si>
    <t>10762763</t>
  </si>
  <si>
    <t>Ministro Peru Libre</t>
  </si>
  <si>
    <t>41258762</t>
  </si>
  <si>
    <t>02852583</t>
  </si>
  <si>
    <t>09392269</t>
  </si>
  <si>
    <t>09817415</t>
  </si>
  <si>
    <t>08157214</t>
  </si>
  <si>
    <t>06733992</t>
  </si>
  <si>
    <t>03130342</t>
  </si>
  <si>
    <t>09304369</t>
  </si>
  <si>
    <t>07961318</t>
  </si>
  <si>
    <t>06887887</t>
  </si>
  <si>
    <t>Juntos por el Peru</t>
  </si>
  <si>
    <t>Despacho Presidencial - 2017</t>
  </si>
  <si>
    <t>Hermana de Humala</t>
  </si>
  <si>
    <t>00190779</t>
  </si>
  <si>
    <t>Ministro Dina</t>
  </si>
  <si>
    <t>29292100</t>
  </si>
  <si>
    <t>06127396</t>
  </si>
  <si>
    <t>10729183</t>
  </si>
  <si>
    <t>29160479</t>
  </si>
  <si>
    <t>GORE Ayacucho - WAYKI</t>
  </si>
  <si>
    <t>UPP 2010</t>
  </si>
  <si>
    <t>Tecnico Congreso</t>
  </si>
  <si>
    <t>43686805</t>
  </si>
  <si>
    <t># Cand Efec</t>
  </si>
  <si>
    <t>Primero La Gente</t>
  </si>
  <si>
    <t>09677079</t>
  </si>
  <si>
    <t>07867789</t>
  </si>
  <si>
    <t>00107153</t>
  </si>
  <si>
    <t>09475875</t>
  </si>
  <si>
    <t>23932556</t>
  </si>
  <si>
    <t>GOB REGIONAL - AP</t>
  </si>
  <si>
    <t>07777874</t>
  </si>
  <si>
    <t>09375873</t>
  </si>
  <si>
    <t>2011-2021</t>
  </si>
  <si>
    <t>00478096</t>
  </si>
  <si>
    <t>06200373</t>
  </si>
  <si>
    <t>09372198</t>
  </si>
  <si>
    <t>Actor</t>
  </si>
  <si>
    <t>06540545</t>
  </si>
  <si>
    <t>07914344</t>
  </si>
  <si>
    <t>08936887</t>
  </si>
  <si>
    <t>10808292</t>
  </si>
  <si>
    <t>09602797</t>
  </si>
  <si>
    <t>08785763</t>
  </si>
  <si>
    <t>09386487</t>
  </si>
  <si>
    <t>09753559</t>
  </si>
  <si>
    <t>07750301</t>
  </si>
  <si>
    <t>06785430</t>
  </si>
  <si>
    <t>Ingresos Mensuales Totales</t>
  </si>
  <si>
    <t>Ingresos Mensuales Efectivos</t>
  </si>
  <si>
    <t>Fe en el Peru</t>
  </si>
  <si>
    <t>Avanza Pais</t>
  </si>
  <si>
    <t>FREPAP</t>
  </si>
  <si>
    <t>Fuerza y Libertad</t>
  </si>
  <si>
    <t>CPP</t>
  </si>
  <si>
    <t>PTE</t>
  </si>
  <si>
    <t>Verde</t>
  </si>
  <si>
    <t>Peru Federal</t>
  </si>
  <si>
    <t>Somos Perú</t>
  </si>
  <si>
    <t>Frente de la Esperanza</t>
  </si>
  <si>
    <t>PPP</t>
  </si>
  <si>
    <t>Peru Acción</t>
  </si>
  <si>
    <t>PRIN</t>
  </si>
  <si>
    <t>Si Creo</t>
  </si>
  <si>
    <t>Peru Moderno</t>
  </si>
  <si>
    <t>Podemos Perú</t>
  </si>
  <si>
    <t>Progresemos</t>
  </si>
  <si>
    <t>Un Camino Diferente</t>
  </si>
  <si>
    <t>Unidad Nacional</t>
  </si>
  <si>
    <t>APP</t>
  </si>
  <si>
    <t>Podemos</t>
  </si>
  <si>
    <t>08263758</t>
  </si>
  <si>
    <t>PERU NACION</t>
  </si>
  <si>
    <t>07-Sep-2021</t>
  </si>
  <si>
    <t>40676234</t>
  </si>
  <si>
    <t>20105966</t>
  </si>
  <si>
    <t>17430886</t>
  </si>
  <si>
    <t>PARTIDO POLITICO PERU PRIMERO</t>
  </si>
  <si>
    <t>PARTIDO PATRIOTICO DEL PERU</t>
  </si>
  <si>
    <t>SI SE PUEDE CALLAO</t>
  </si>
  <si>
    <t>POR TI CALLA</t>
  </si>
  <si>
    <r>
      <t>PARTIDO POLITICO ORDEN</t>
    </r>
    <r>
      <rPr>
        <sz val="11"/>
        <color theme="1"/>
        <rFont val="Calibri"/>
        <family val="2"/>
        <scheme val="minor"/>
      </rPr>
      <t xml:space="preserve"> </t>
    </r>
  </si>
  <si>
    <t>05402721</t>
  </si>
  <si>
    <t>AHORA NACION</t>
  </si>
  <si>
    <t>28302777</t>
  </si>
  <si>
    <t>32538154</t>
  </si>
  <si>
    <t>05396317</t>
  </si>
  <si>
    <t>PARTIDO FRENTE DE LA ESPERANZA</t>
  </si>
  <si>
    <t>16-Sep-2021</t>
  </si>
  <si>
    <t>32040254</t>
  </si>
  <si>
    <t>AMOR POR ANCASH</t>
  </si>
  <si>
    <t>28-Jan-2011</t>
  </si>
  <si>
    <r>
      <t>PERU POSIBLE</t>
    </r>
    <r>
      <rPr>
        <sz val="11"/>
        <color theme="1"/>
        <rFont val="Calibri"/>
        <family val="2"/>
        <scheme val="minor"/>
      </rPr>
      <t xml:space="preserve"> </t>
    </r>
  </si>
  <si>
    <t>PERU POSIBLE</t>
  </si>
  <si>
    <t>40015313</t>
  </si>
  <si>
    <t>00223692</t>
  </si>
  <si>
    <t>MOVIMIENTO DE INCLUSION REGIONAL</t>
  </si>
  <si>
    <t>PARTIDO APRISTA PERUANO</t>
  </si>
  <si>
    <t xml:space="preserve">PARTIDO POPULAR CRISTIANO </t>
  </si>
  <si>
    <t>RENOVACION POPULAR</t>
  </si>
  <si>
    <t>07-Dec-2004</t>
  </si>
  <si>
    <t>19416323</t>
  </si>
  <si>
    <t>PARTIDO POLITICO POPULAR VOCES DEL PUEBLO</t>
  </si>
  <si>
    <t>PARTIDO DEMOCRATICO SOMOS PERU</t>
  </si>
  <si>
    <t>00418021</t>
  </si>
  <si>
    <t>ACCION POPULAR</t>
  </si>
  <si>
    <t>04-Aug-2004</t>
  </si>
  <si>
    <t>PARTIDO PAIS PARA TODOS</t>
  </si>
  <si>
    <t>02-Aug-2024</t>
  </si>
  <si>
    <t>Salvemos al Perú</t>
  </si>
  <si>
    <t>Renovación</t>
  </si>
  <si>
    <t>MR SUMATE (Peru Posible / PPC)</t>
  </si>
  <si>
    <t>Mov Nueva Izquierda</t>
  </si>
  <si>
    <t>MR SUMATE</t>
  </si>
  <si>
    <t>AP y Peru Posible</t>
  </si>
  <si>
    <t>Dem Unido</t>
  </si>
  <si>
    <t>Partido Manpista Peruano</t>
  </si>
  <si>
    <t>MI Nueva Generación</t>
  </si>
  <si>
    <t>Adelante Pueblo Unido</t>
  </si>
  <si>
    <t>Cambiar para Avanzar</t>
  </si>
  <si>
    <t>Fuerza Nacional</t>
  </si>
  <si>
    <t>Sudor Ancashino</t>
  </si>
  <si>
    <t>Patria Segura</t>
  </si>
  <si>
    <t>Con Fuerza Perú</t>
  </si>
  <si>
    <t>Peru Patria Segura</t>
  </si>
  <si>
    <t>08801399</t>
  </si>
  <si>
    <t>08501683</t>
  </si>
  <si>
    <t>07905879</t>
  </si>
  <si>
    <t>08072098</t>
  </si>
  <si>
    <t>07275051</t>
  </si>
  <si>
    <t>06801572</t>
  </si>
  <si>
    <t>02612157</t>
  </si>
  <si>
    <t>10058209</t>
  </si>
  <si>
    <t>43401358</t>
  </si>
  <si>
    <t>07225554</t>
  </si>
  <si>
    <t>UPP 2020</t>
  </si>
  <si>
    <t>09894334</t>
  </si>
  <si>
    <t>10063040</t>
  </si>
  <si>
    <t>06172893</t>
  </si>
  <si>
    <t>08142464</t>
  </si>
  <si>
    <t>09468215</t>
  </si>
  <si>
    <t>25742495</t>
  </si>
  <si>
    <t>08162504</t>
  </si>
  <si>
    <t>09904425</t>
  </si>
  <si>
    <t>03660752</t>
  </si>
  <si>
    <t>06798570</t>
  </si>
  <si>
    <t>08175267</t>
  </si>
  <si>
    <t>20419460</t>
  </si>
  <si>
    <t>01548743</t>
  </si>
  <si>
    <t>09568388</t>
  </si>
  <si>
    <t>29230424</t>
  </si>
  <si>
    <t>28298938</t>
  </si>
  <si>
    <t>43294988</t>
  </si>
  <si>
    <t>40175203</t>
  </si>
  <si>
    <t>10118944</t>
  </si>
  <si>
    <t>29247491</t>
  </si>
  <si>
    <t>00062767</t>
  </si>
  <si>
    <t>08294598</t>
  </si>
  <si>
    <t>10126282</t>
  </si>
  <si>
    <t>20427242</t>
  </si>
  <si>
    <t>33766138</t>
  </si>
  <si>
    <t>08274679</t>
  </si>
  <si>
    <t>01157063</t>
  </si>
  <si>
    <t>Congresista Avanza</t>
  </si>
  <si>
    <t>Congresista AP</t>
  </si>
  <si>
    <t>43287528</t>
  </si>
  <si>
    <t>08251768</t>
  </si>
  <si>
    <t>09145206</t>
  </si>
  <si>
    <t>09635662</t>
  </si>
  <si>
    <t>09302839</t>
  </si>
  <si>
    <t>25807537</t>
  </si>
  <si>
    <t>19903031</t>
  </si>
  <si>
    <t>10221387</t>
  </si>
  <si>
    <t>07772498</t>
  </si>
  <si>
    <t>09077358</t>
  </si>
  <si>
    <t>10401183</t>
  </si>
  <si>
    <t>40694348</t>
  </si>
  <si>
    <t>08123159</t>
  </si>
  <si>
    <t>80083807</t>
  </si>
  <si>
    <t>09389605</t>
  </si>
  <si>
    <t>09649507</t>
  </si>
  <si>
    <t>09788517</t>
  </si>
  <si>
    <t>08299598</t>
  </si>
  <si>
    <t>40195635</t>
  </si>
  <si>
    <t>04626836</t>
  </si>
  <si>
    <t>10525632</t>
  </si>
  <si>
    <t>07572809</t>
  </si>
  <si>
    <t>00831446</t>
  </si>
  <si>
    <t>21485428</t>
  </si>
  <si>
    <t>40001029</t>
  </si>
  <si>
    <t>10128510</t>
  </si>
  <si>
    <t>04339260</t>
  </si>
  <si>
    <t>08312487</t>
  </si>
  <si>
    <t>00992904</t>
  </si>
  <si>
    <t>04635502</t>
  </si>
  <si>
    <t>40457668</t>
  </si>
  <si>
    <t>15864640</t>
  </si>
  <si>
    <t>09148129</t>
  </si>
  <si>
    <t>18120387</t>
  </si>
  <si>
    <t>29203539</t>
  </si>
  <si>
    <t>40203248</t>
  </si>
  <si>
    <t>22243864</t>
  </si>
  <si>
    <t>32534376</t>
  </si>
  <si>
    <t>40356580</t>
  </si>
  <si>
    <t>29168255</t>
  </si>
  <si>
    <t>25575781</t>
  </si>
  <si>
    <t>02720199</t>
  </si>
  <si>
    <t>33343153</t>
  </si>
  <si>
    <t>10776413</t>
  </si>
  <si>
    <t>00420627</t>
  </si>
  <si>
    <t>01211021</t>
  </si>
  <si>
    <t>23716842</t>
  </si>
  <si>
    <t>29098815</t>
  </si>
  <si>
    <t>21857244</t>
  </si>
  <si>
    <t>21865678</t>
  </si>
  <si>
    <t>16496317</t>
  </si>
  <si>
    <t>04328061</t>
  </si>
  <si>
    <t>21134079</t>
  </si>
  <si>
    <t>25681995</t>
  </si>
  <si>
    <t>40411110</t>
  </si>
  <si>
    <t>80523585</t>
  </si>
  <si>
    <t>08726151</t>
  </si>
  <si>
    <t>09718935</t>
  </si>
  <si>
    <t>25856257</t>
  </si>
  <si>
    <t>25834689</t>
  </si>
  <si>
    <t>08240215</t>
  </si>
  <si>
    <t>10774189</t>
  </si>
  <si>
    <t>21103072</t>
  </si>
  <si>
    <t>07615582</t>
  </si>
  <si>
    <t>25853189</t>
  </si>
  <si>
    <t>19913206</t>
  </si>
  <si>
    <t>21288690</t>
  </si>
  <si>
    <t>08541564</t>
  </si>
  <si>
    <t>25720927</t>
  </si>
  <si>
    <t>20593130</t>
  </si>
  <si>
    <t>21088224</t>
  </si>
  <si>
    <t>07745538</t>
  </si>
  <si>
    <t>44293952</t>
  </si>
  <si>
    <t>20973616</t>
  </si>
  <si>
    <t>20044221</t>
  </si>
  <si>
    <t>10691682</t>
  </si>
  <si>
    <t>20571021</t>
  </si>
  <si>
    <t>09661308</t>
  </si>
  <si>
    <t>41616770</t>
  </si>
  <si>
    <t>10291705</t>
  </si>
  <si>
    <t>19996821</t>
  </si>
  <si>
    <t>06449530</t>
  </si>
  <si>
    <t>06656534</t>
  </si>
  <si>
    <t>15355636</t>
  </si>
  <si>
    <t>07210262</t>
  </si>
  <si>
    <t>06652331</t>
  </si>
  <si>
    <t>09358097</t>
  </si>
  <si>
    <t>10301214</t>
  </si>
  <si>
    <t>08745608</t>
  </si>
  <si>
    <t>03370387</t>
  </si>
  <si>
    <t>09751464</t>
  </si>
  <si>
    <t>Diputado</t>
  </si>
  <si>
    <t>06121544</t>
  </si>
  <si>
    <t>09163750</t>
  </si>
  <si>
    <t>10786178</t>
  </si>
  <si>
    <t>09145785</t>
  </si>
  <si>
    <t>06248592</t>
  </si>
  <si>
    <t>07537643</t>
  </si>
  <si>
    <t>02756757</t>
  </si>
  <si>
    <t>29680315</t>
  </si>
  <si>
    <t>09086129</t>
  </si>
  <si>
    <t>08196203</t>
  </si>
  <si>
    <t>Senador</t>
  </si>
  <si>
    <t>08712004</t>
  </si>
  <si>
    <t>17435068</t>
  </si>
  <si>
    <t>06168608</t>
  </si>
  <si>
    <t>08905609</t>
  </si>
  <si>
    <t>32799698</t>
  </si>
  <si>
    <t>10059851</t>
  </si>
  <si>
    <t>09565161</t>
  </si>
  <si>
    <t>09347311</t>
  </si>
  <si>
    <t>22437422</t>
  </si>
  <si>
    <t>08058852</t>
  </si>
  <si>
    <t>04415907</t>
  </si>
  <si>
    <t>09361514</t>
  </si>
  <si>
    <t>08107258</t>
  </si>
  <si>
    <t>06161792</t>
  </si>
  <si>
    <t>05218404</t>
  </si>
  <si>
    <t>09357660</t>
  </si>
  <si>
    <t>40725889</t>
  </si>
  <si>
    <t>05584885</t>
  </si>
  <si>
    <t>07951357</t>
  </si>
  <si>
    <t>40154322</t>
  </si>
  <si>
    <t>00007518</t>
  </si>
  <si>
    <t>09803888</t>
  </si>
  <si>
    <t>25827444</t>
  </si>
  <si>
    <t>08865630</t>
  </si>
  <si>
    <t>28294396</t>
  </si>
  <si>
    <t>09307547</t>
  </si>
  <si>
    <t>07254352</t>
  </si>
  <si>
    <t>09453366</t>
  </si>
  <si>
    <t>09084712</t>
  </si>
  <si>
    <t>09562959</t>
  </si>
  <si>
    <t>08671144</t>
  </si>
  <si>
    <t>08149998</t>
  </si>
  <si>
    <t>09595329</t>
  </si>
  <si>
    <t>80255411</t>
  </si>
  <si>
    <t>09513176</t>
  </si>
  <si>
    <t>09133222</t>
  </si>
  <si>
    <t>09268085</t>
  </si>
  <si>
    <t>07090191</t>
  </si>
  <si>
    <t>03607025</t>
  </si>
  <si>
    <t>09528983</t>
  </si>
  <si>
    <t>01295689</t>
  </si>
  <si>
    <t>10446596</t>
  </si>
  <si>
    <t>07897641</t>
  </si>
  <si>
    <t>06218402</t>
  </si>
  <si>
    <t>41104647</t>
  </si>
  <si>
    <t>05362026</t>
  </si>
  <si>
    <t>41121519</t>
  </si>
  <si>
    <t>26614247</t>
  </si>
  <si>
    <t>Somos / Peru Posible</t>
  </si>
  <si>
    <t>06752545</t>
  </si>
  <si>
    <t>07164447</t>
  </si>
  <si>
    <t>07707778</t>
  </si>
  <si>
    <t>08208132</t>
  </si>
  <si>
    <t>16145872</t>
  </si>
  <si>
    <t>08805228</t>
  </si>
  <si>
    <t>19337683</t>
  </si>
  <si>
    <t>08255194</t>
  </si>
  <si>
    <t>08116131</t>
  </si>
  <si>
    <t>15405017</t>
  </si>
  <si>
    <t>26677064</t>
  </si>
  <si>
    <t>17807700</t>
  </si>
  <si>
    <t>09040622</t>
  </si>
  <si>
    <t>09378621</t>
  </si>
  <si>
    <t>07655010</t>
  </si>
  <si>
    <t>16143185</t>
  </si>
  <si>
    <t>80433831</t>
  </si>
  <si>
    <t>16167452</t>
  </si>
  <si>
    <t>27547396</t>
  </si>
  <si>
    <t>19330425</t>
  </si>
  <si>
    <t>15656356</t>
  </si>
  <si>
    <t>44078565</t>
  </si>
  <si>
    <t>23889981</t>
  </si>
  <si>
    <t>18010708</t>
  </si>
  <si>
    <t>40168347</t>
  </si>
  <si>
    <t>09820002</t>
  </si>
  <si>
    <t>22510256</t>
  </si>
  <si>
    <t>25567150</t>
  </si>
  <si>
    <t>07766088</t>
  </si>
  <si>
    <t>Abogada Congreso</t>
  </si>
  <si>
    <t>29299579</t>
  </si>
  <si>
    <t>27153111</t>
  </si>
  <si>
    <t>Consejero Regional</t>
  </si>
  <si>
    <t>25859024</t>
  </si>
  <si>
    <t>07253568</t>
  </si>
  <si>
    <t>25001963</t>
  </si>
  <si>
    <t>25717413</t>
  </si>
  <si>
    <t>02375259</t>
  </si>
  <si>
    <t>Alcalde</t>
  </si>
  <si>
    <t>80283971</t>
  </si>
  <si>
    <t>18140210</t>
  </si>
  <si>
    <t>15726720</t>
  </si>
  <si>
    <t>17442403</t>
  </si>
  <si>
    <t>09952318</t>
  </si>
  <si>
    <t>05614776</t>
  </si>
  <si>
    <t>27673959</t>
  </si>
  <si>
    <t>10276189</t>
  </si>
  <si>
    <t>16715743</t>
  </si>
  <si>
    <t>22245035</t>
  </si>
  <si>
    <t>40356100</t>
  </si>
  <si>
    <t>00954676</t>
  </si>
  <si>
    <t>17929536</t>
  </si>
  <si>
    <t>Jefa de Asesores - Congresistas</t>
  </si>
  <si>
    <t>Peru 2000</t>
  </si>
  <si>
    <t>09450704</t>
  </si>
  <si>
    <t>08305016</t>
  </si>
  <si>
    <t>06122459</t>
  </si>
  <si>
    <t>09162582</t>
  </si>
  <si>
    <t>08187712</t>
  </si>
  <si>
    <t>06973444</t>
  </si>
  <si>
    <t>09019362</t>
  </si>
  <si>
    <t>40042080</t>
  </si>
  <si>
    <t>09673565</t>
  </si>
  <si>
    <t>29685188</t>
  </si>
  <si>
    <t>16563291</t>
  </si>
  <si>
    <t>10121997</t>
  </si>
  <si>
    <t>00076154</t>
  </si>
  <si>
    <t>40707652</t>
  </si>
  <si>
    <t>43290769</t>
  </si>
  <si>
    <t>31013678</t>
  </si>
  <si>
    <t>40226757</t>
  </si>
  <si>
    <t>21146889</t>
  </si>
  <si>
    <t>07406585</t>
  </si>
  <si>
    <t>09199220</t>
  </si>
  <si>
    <t>09435092</t>
  </si>
  <si>
    <t>09563930</t>
  </si>
  <si>
    <t>09988890</t>
  </si>
  <si>
    <t>06434981</t>
  </si>
  <si>
    <t>06784974</t>
  </si>
  <si>
    <t>08674665</t>
  </si>
  <si>
    <t>09263541</t>
  </si>
  <si>
    <t>07529695</t>
  </si>
  <si>
    <t>09372936</t>
  </si>
  <si>
    <t>08429837</t>
  </si>
  <si>
    <t>00470056</t>
  </si>
  <si>
    <t>08331507</t>
  </si>
  <si>
    <t>09482732</t>
  </si>
  <si>
    <t>08296382</t>
  </si>
  <si>
    <t>08870092</t>
  </si>
  <si>
    <t>06656472</t>
  </si>
  <si>
    <t>40034360</t>
  </si>
  <si>
    <t>17976113</t>
  </si>
  <si>
    <t>21080373</t>
  </si>
  <si>
    <t>16794778</t>
  </si>
  <si>
    <t>10691398</t>
  </si>
  <si>
    <t>RENOVACION</t>
  </si>
  <si>
    <t>43328757</t>
  </si>
  <si>
    <t>08266996</t>
  </si>
  <si>
    <t>08783312</t>
  </si>
  <si>
    <t>08243138</t>
  </si>
  <si>
    <t>06521988</t>
  </si>
  <si>
    <t>10613656</t>
  </si>
  <si>
    <t>07752770</t>
  </si>
  <si>
    <t>09379859</t>
  </si>
  <si>
    <t>02411906</t>
  </si>
  <si>
    <t>09957717</t>
  </si>
  <si>
    <t>23700696</t>
  </si>
  <si>
    <t>00128200</t>
  </si>
  <si>
    <t>07396763</t>
  </si>
  <si>
    <t>10586241</t>
  </si>
  <si>
    <t>40311520</t>
  </si>
  <si>
    <t>08363824</t>
  </si>
  <si>
    <t>07604684</t>
  </si>
  <si>
    <t>09180469</t>
  </si>
  <si>
    <t>Viceministra Dina</t>
  </si>
  <si>
    <t>07240879</t>
  </si>
  <si>
    <t>06340660</t>
  </si>
  <si>
    <t>06286597</t>
  </si>
  <si>
    <t>07776007</t>
  </si>
  <si>
    <t>09932455</t>
  </si>
  <si>
    <t>00819751</t>
  </si>
  <si>
    <t>06710344</t>
  </si>
  <si>
    <t>07789821</t>
  </si>
  <si>
    <t>08168825</t>
  </si>
  <si>
    <t>08753838</t>
  </si>
  <si>
    <t>08245933</t>
  </si>
  <si>
    <t>08124491</t>
  </si>
  <si>
    <t>09537520</t>
  </si>
  <si>
    <t>07575995</t>
  </si>
  <si>
    <t>07700600</t>
  </si>
  <si>
    <t>07151008</t>
  </si>
  <si>
    <t>APP 2016</t>
  </si>
  <si>
    <t>PERU LIBRE</t>
  </si>
  <si>
    <t>Regidora</t>
  </si>
  <si>
    <t>Auxiliar Congreso 2011</t>
  </si>
  <si>
    <t>Regidor</t>
  </si>
  <si>
    <t>07246887</t>
  </si>
  <si>
    <t>49017178</t>
  </si>
  <si>
    <t>07881480</t>
  </si>
  <si>
    <t>40858548</t>
  </si>
  <si>
    <t>00459607</t>
  </si>
  <si>
    <t>09173557</t>
  </si>
  <si>
    <t>09575873</t>
  </si>
  <si>
    <t>09217014</t>
  </si>
  <si>
    <t>00114875</t>
  </si>
  <si>
    <t>07745528</t>
  </si>
  <si>
    <t>08615868</t>
  </si>
  <si>
    <t>09143590</t>
  </si>
  <si>
    <t>09017412</t>
  </si>
  <si>
    <t>08605531</t>
  </si>
  <si>
    <t>00111437</t>
  </si>
  <si>
    <t>07162348</t>
  </si>
  <si>
    <t>09956599</t>
  </si>
  <si>
    <t>08663273</t>
  </si>
  <si>
    <t>09617809</t>
  </si>
  <si>
    <t>07013079</t>
  </si>
  <si>
    <t>10078461</t>
  </si>
  <si>
    <t>09644840</t>
  </si>
  <si>
    <t>07049680</t>
  </si>
  <si>
    <t>07240324</t>
  </si>
  <si>
    <t>07641046</t>
  </si>
  <si>
    <t>43287529</t>
  </si>
  <si>
    <t>07751982</t>
  </si>
  <si>
    <t>08380574</t>
  </si>
  <si>
    <t>06808708</t>
  </si>
  <si>
    <t>07753593</t>
  </si>
  <si>
    <t>04624619</t>
  </si>
  <si>
    <t>09591183</t>
  </si>
  <si>
    <t>08306174</t>
  </si>
  <si>
    <t>06610504</t>
  </si>
  <si>
    <t>08170494</t>
  </si>
  <si>
    <t>09549967</t>
  </si>
  <si>
    <t>09720636</t>
  </si>
  <si>
    <t>17834654</t>
  </si>
  <si>
    <t>04405481</t>
  </si>
  <si>
    <t>08680275</t>
  </si>
  <si>
    <t>09263905</t>
  </si>
  <si>
    <t>06466585</t>
  </si>
  <si>
    <t>01311614</t>
  </si>
  <si>
    <t>06354697</t>
  </si>
  <si>
    <t>07632023</t>
  </si>
  <si>
    <t>06561990</t>
  </si>
  <si>
    <t>07485530</t>
  </si>
  <si>
    <t>08787268</t>
  </si>
  <si>
    <t>06779966</t>
  </si>
  <si>
    <t>09969912</t>
  </si>
  <si>
    <t>09568163</t>
  </si>
  <si>
    <t>06801933</t>
  </si>
  <si>
    <t>X1</t>
  </si>
  <si>
    <t>X2</t>
  </si>
  <si>
    <t>08558627</t>
  </si>
  <si>
    <t>08761632</t>
  </si>
  <si>
    <t>01127044</t>
  </si>
  <si>
    <t>X3</t>
  </si>
  <si>
    <t>TK1</t>
  </si>
  <si>
    <t>TK2</t>
  </si>
  <si>
    <t>TK3</t>
  </si>
  <si>
    <t>FP</t>
  </si>
  <si>
    <t>app</t>
  </si>
  <si>
    <t>peru libre</t>
  </si>
  <si>
    <t>Cong Reel</t>
  </si>
  <si>
    <t>Valor Compuesto</t>
  </si>
  <si>
    <t>Equipo Completo</t>
  </si>
  <si>
    <t>% Sentencias</t>
  </si>
  <si>
    <t>I. Preparación</t>
  </si>
  <si>
    <t>PEN No Declarado</t>
  </si>
  <si>
    <t>PEN Promedio Efectivo</t>
  </si>
  <si>
    <t>Presencia del Pacto</t>
  </si>
  <si>
    <t>Reelección de Cong</t>
  </si>
  <si>
    <t>Partidos Políticos</t>
  </si>
  <si>
    <t>Sin Sentencias</t>
  </si>
  <si>
    <t>Ingresos Nulos</t>
  </si>
  <si>
    <t>Libre del Pacto</t>
  </si>
  <si>
    <t>Sin Reelección</t>
  </si>
  <si>
    <t>Preparación          (Max 8.41)</t>
  </si>
  <si>
    <t>Ingresos Efectivos (Max 20,119)</t>
  </si>
  <si>
    <t>RANKING DE PARTIDOS (35 ES LO MÁS ÓPTIMO)</t>
  </si>
  <si>
    <t>Ingresos Mensuales No Declarados</t>
  </si>
  <si>
    <t>Índice de Preparación</t>
  </si>
  <si>
    <t>Índice Infiltración #PorEstosNo</t>
  </si>
  <si>
    <t>Reelección de Congresistas</t>
  </si>
  <si>
    <t>RANKING DE PARTIDOS (100 ES LO MÁS ÓPTIMO)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</si>
</sst>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B22222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88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textRotation="90"/>
    </xf>
    <xf numFmtId="0" fontId="0" fillId="3" borderId="1" xfId="0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43" fontId="0" fillId="0" borderId="1" xfId="1" applyFont="1" applyBorder="1"/>
    <xf numFmtId="43" fontId="0" fillId="3" borderId="1" xfId="1" applyFont="1" applyFill="1" applyBorder="1"/>
    <xf numFmtId="43" fontId="0" fillId="0" borderId="1" xfId="1" applyFont="1" applyFill="1" applyBorder="1"/>
    <xf numFmtId="0" fontId="0" fillId="0" borderId="1" xfId="0" applyBorder="1"/>
    <xf numFmtId="0" fontId="0" fillId="3" borderId="1" xfId="0" applyFill="1" applyBorder="1"/>
    <xf numFmtId="43" fontId="0" fillId="0" borderId="0" xfId="1" applyFont="1" applyFill="1" applyBorder="1"/>
    <xf numFmtId="49" fontId="0" fillId="0" borderId="1" xfId="0" applyNumberFormat="1" applyBorder="1" applyAlignment="1">
      <alignment horizontal="center" wrapText="1"/>
    </xf>
    <xf numFmtId="49" fontId="0" fillId="3" borderId="1" xfId="0" applyNumberFormat="1" applyFill="1" applyBorder="1" applyAlignment="1">
      <alignment horizontal="center" wrapText="1"/>
    </xf>
    <xf numFmtId="43" fontId="0" fillId="4" borderId="1" xfId="1" applyFont="1" applyFill="1" applyBorder="1"/>
    <xf numFmtId="43" fontId="0" fillId="0" borderId="0" xfId="1" applyFont="1"/>
    <xf numFmtId="2" fontId="0" fillId="0" borderId="0" xfId="0" applyNumberFormat="1"/>
    <xf numFmtId="0" fontId="0" fillId="0" borderId="0" xfId="1" applyNumberFormat="1" applyFont="1"/>
    <xf numFmtId="0" fontId="0" fillId="0" borderId="0" xfId="0" applyAlignment="1">
      <alignment horizontal="right"/>
    </xf>
    <xf numFmtId="43" fontId="0" fillId="0" borderId="2" xfId="1" applyFont="1" applyFill="1" applyBorder="1"/>
    <xf numFmtId="9" fontId="0" fillId="0" borderId="0" xfId="2" applyFont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14" fontId="0" fillId="0" borderId="1" xfId="0" applyNumberFormat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5" fillId="0" borderId="1" xfId="0" applyFont="1" applyBorder="1"/>
    <xf numFmtId="15" fontId="0" fillId="0" borderId="1" xfId="0" applyNumberFormat="1" applyBorder="1"/>
    <xf numFmtId="15" fontId="0" fillId="0" borderId="3" xfId="0" applyNumberFormat="1" applyBorder="1"/>
    <xf numFmtId="0" fontId="0" fillId="0" borderId="3" xfId="0" applyBorder="1" applyAlignment="1">
      <alignment horizontal="left"/>
    </xf>
    <xf numFmtId="0" fontId="5" fillId="2" borderId="1" xfId="0" applyFont="1" applyFill="1" applyBorder="1"/>
    <xf numFmtId="0" fontId="5" fillId="0" borderId="0" xfId="0" applyFont="1"/>
    <xf numFmtId="0" fontId="0" fillId="0" borderId="0" xfId="0" applyAlignment="1">
      <alignment horizontal="right"/>
    </xf>
    <xf numFmtId="43" fontId="0" fillId="2" borderId="0" xfId="1" applyFont="1" applyFill="1"/>
    <xf numFmtId="0" fontId="0" fillId="2" borderId="0" xfId="1" applyNumberFormat="1" applyFont="1" applyFill="1"/>
    <xf numFmtId="9" fontId="0" fillId="2" borderId="0" xfId="2" applyFont="1" applyFill="1"/>
    <xf numFmtId="2" fontId="0" fillId="2" borderId="0" xfId="0" applyNumberFormat="1" applyFill="1"/>
    <xf numFmtId="0" fontId="0" fillId="2" borderId="0" xfId="0" applyFill="1"/>
    <xf numFmtId="49" fontId="0" fillId="3" borderId="1" xfId="0" applyNumberFormat="1" applyFill="1" applyBorder="1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1" applyNumberFormat="1" applyFont="1" applyFill="1"/>
    <xf numFmtId="2" fontId="0" fillId="0" borderId="0" xfId="1" applyNumberFormat="1" applyFont="1" applyFill="1"/>
    <xf numFmtId="1" fontId="0" fillId="0" borderId="0" xfId="1" applyNumberFormat="1" applyFont="1" applyFill="1"/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0" fillId="6" borderId="0" xfId="0" applyFill="1"/>
    <xf numFmtId="1" fontId="0" fillId="0" borderId="0" xfId="0" applyNumberFormat="1"/>
    <xf numFmtId="0" fontId="0" fillId="0" borderId="0" xfId="2" applyNumberFormat="1" applyFont="1"/>
    <xf numFmtId="0" fontId="0" fillId="6" borderId="1" xfId="0" applyFill="1" applyBorder="1" applyAlignment="1">
      <alignment horizontal="center"/>
    </xf>
    <xf numFmtId="0" fontId="0" fillId="6" borderId="0" xfId="0" applyFill="1" applyAlignment="1"/>
    <xf numFmtId="9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164" fontId="0" fillId="6" borderId="1" xfId="0" applyNumberFormat="1" applyFill="1" applyBorder="1" applyAlignment="1">
      <alignment horizontal="center"/>
    </xf>
    <xf numFmtId="1" fontId="0" fillId="2" borderId="0" xfId="1" applyNumberFormat="1" applyFont="1" applyFill="1"/>
    <xf numFmtId="164" fontId="0" fillId="0" borderId="1" xfId="0" applyNumberFormat="1" applyBorder="1"/>
    <xf numFmtId="1" fontId="0" fillId="7" borderId="0" xfId="0" applyNumberFormat="1" applyFill="1"/>
    <xf numFmtId="0" fontId="0" fillId="7" borderId="0" xfId="0" applyFill="1"/>
    <xf numFmtId="0" fontId="0" fillId="7" borderId="0" xfId="0" applyNumberFormat="1" applyFill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6" borderId="0" xfId="0" applyFill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4" fillId="0" borderId="0" xfId="0" applyFont="1"/>
    <xf numFmtId="0" fontId="8" fillId="6" borderId="1" xfId="0" applyFont="1" applyFill="1" applyBorder="1" applyAlignment="1">
      <alignment horizontal="left"/>
    </xf>
    <xf numFmtId="9" fontId="8" fillId="6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6" borderId="1" xfId="0" applyFont="1" applyFill="1" applyBorder="1" applyAlignment="1">
      <alignment horizontal="center" wrapText="1"/>
    </xf>
    <xf numFmtId="9" fontId="0" fillId="2" borderId="1" xfId="0" applyNumberFormat="1" applyFill="1" applyBorder="1" applyAlignment="1">
      <alignment horizontal="center"/>
    </xf>
    <xf numFmtId="0" fontId="8" fillId="7" borderId="1" xfId="0" applyFont="1" applyFill="1" applyBorder="1" applyAlignment="1">
      <alignment horizontal="left"/>
    </xf>
    <xf numFmtId="1" fontId="0" fillId="7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1" fontId="4" fillId="3" borderId="1" xfId="0" applyNumberFormat="1" applyFont="1" applyFill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4">
    <cellStyle name="Millares" xfId="1" builtinId="3"/>
    <cellStyle name="Normal" xfId="0" builtinId="0"/>
    <cellStyle name="Normal 2" xfId="3" xr:uid="{CD982083-1D1B-4028-9EC9-2F24910C3C00}"/>
    <cellStyle name="Porcentaje" xfId="2" builtinId="5"/>
  </cellStyles>
  <dxfs count="6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'Op3'!$B$45:$B$79</c:f>
              <c:strCache>
                <c:ptCount val="35"/>
                <c:pt idx="0">
                  <c:v>Ahora Nación</c:v>
                </c:pt>
                <c:pt idx="1">
                  <c:v>APRA</c:v>
                </c:pt>
                <c:pt idx="2">
                  <c:v>Avanza Pais</c:v>
                </c:pt>
                <c:pt idx="3">
                  <c:v>Fe en el Peru</c:v>
                </c:pt>
                <c:pt idx="4">
                  <c:v>Frente de la Esperanza</c:v>
                </c:pt>
                <c:pt idx="5">
                  <c:v>FREPAP</c:v>
                </c:pt>
                <c:pt idx="6">
                  <c:v>Fuerza y Libertad</c:v>
                </c:pt>
                <c:pt idx="7">
                  <c:v>Integridad Democrática</c:v>
                </c:pt>
                <c:pt idx="8">
                  <c:v>Libertad Popular</c:v>
                </c:pt>
                <c:pt idx="9">
                  <c:v>PPP</c:v>
                </c:pt>
                <c:pt idx="10">
                  <c:v>PRIN</c:v>
                </c:pt>
                <c:pt idx="11">
                  <c:v>PTE</c:v>
                </c:pt>
                <c:pt idx="12">
                  <c:v>Un Camino Diferente</c:v>
                </c:pt>
                <c:pt idx="13">
                  <c:v>Venceremos</c:v>
                </c:pt>
                <c:pt idx="14">
                  <c:v>Buen Gobierno</c:v>
                </c:pt>
                <c:pt idx="15">
                  <c:v>Unidad Nacional</c:v>
                </c:pt>
                <c:pt idx="16">
                  <c:v>Verde</c:v>
                </c:pt>
                <c:pt idx="17">
                  <c:v>Cooperación Popular</c:v>
                </c:pt>
                <c:pt idx="18">
                  <c:v>Si Creo</c:v>
                </c:pt>
                <c:pt idx="19">
                  <c:v>Pais para Todos</c:v>
                </c:pt>
                <c:pt idx="20">
                  <c:v>Juntos por el Perú</c:v>
                </c:pt>
                <c:pt idx="21">
                  <c:v>Obras</c:v>
                </c:pt>
                <c:pt idx="22">
                  <c:v>Peru Acción</c:v>
                </c:pt>
                <c:pt idx="23">
                  <c:v>Progresemos</c:v>
                </c:pt>
                <c:pt idx="24">
                  <c:v>Partido Morado</c:v>
                </c:pt>
                <c:pt idx="25">
                  <c:v>Somos Perú</c:v>
                </c:pt>
                <c:pt idx="26">
                  <c:v>Peru Libre</c:v>
                </c:pt>
                <c:pt idx="27">
                  <c:v>Podemos Perú</c:v>
                </c:pt>
                <c:pt idx="28">
                  <c:v>Peru Primero</c:v>
                </c:pt>
                <c:pt idx="29">
                  <c:v>Unido Perú</c:v>
                </c:pt>
                <c:pt idx="30">
                  <c:v>Primero La Gente</c:v>
                </c:pt>
                <c:pt idx="31">
                  <c:v>Renovación Popular</c:v>
                </c:pt>
                <c:pt idx="32">
                  <c:v>Fuerza Popular</c:v>
                </c:pt>
                <c:pt idx="33">
                  <c:v>Peru Federal</c:v>
                </c:pt>
                <c:pt idx="34">
                  <c:v>Alianza para el Progreso</c:v>
                </c:pt>
              </c:strCache>
            </c:strRef>
          </c:cat>
          <c:val>
            <c:numRef>
              <c:f>'Op3'!$D$45:$D$79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3.3333333333333335</c:v>
                </c:pt>
                <c:pt idx="15">
                  <c:v>3.3333333333333335</c:v>
                </c:pt>
                <c:pt idx="16">
                  <c:v>3.4482758620689653</c:v>
                </c:pt>
                <c:pt idx="17">
                  <c:v>3.5714285714285712</c:v>
                </c:pt>
                <c:pt idx="18">
                  <c:v>3.5714285714285712</c:v>
                </c:pt>
                <c:pt idx="19">
                  <c:v>4.1666666666666661</c:v>
                </c:pt>
                <c:pt idx="20">
                  <c:v>6.666666666666667</c:v>
                </c:pt>
                <c:pt idx="21">
                  <c:v>6.666666666666667</c:v>
                </c:pt>
                <c:pt idx="22">
                  <c:v>6.8965517241379306</c:v>
                </c:pt>
                <c:pt idx="23">
                  <c:v>6.8965517241379306</c:v>
                </c:pt>
                <c:pt idx="24">
                  <c:v>7.1428571428571423</c:v>
                </c:pt>
                <c:pt idx="25">
                  <c:v>7.1428571428571423</c:v>
                </c:pt>
                <c:pt idx="26">
                  <c:v>10</c:v>
                </c:pt>
                <c:pt idx="27">
                  <c:v>10.344827586206897</c:v>
                </c:pt>
                <c:pt idx="28">
                  <c:v>10.714285714285714</c:v>
                </c:pt>
                <c:pt idx="29">
                  <c:v>11.111111111111111</c:v>
                </c:pt>
                <c:pt idx="30">
                  <c:v>14.814814814814813</c:v>
                </c:pt>
                <c:pt idx="31">
                  <c:v>17.241379310344829</c:v>
                </c:pt>
                <c:pt idx="32">
                  <c:v>20</c:v>
                </c:pt>
                <c:pt idx="33">
                  <c:v>20.833333333333336</c:v>
                </c:pt>
                <c:pt idx="34">
                  <c:v>24.137931034482758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E-4710-B55A-252CA257D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'Op3'!$B$84:$B$118</c:f>
              <c:strCache>
                <c:ptCount val="35"/>
                <c:pt idx="0">
                  <c:v>Alianza para el Progreso</c:v>
                </c:pt>
                <c:pt idx="1">
                  <c:v>Pais para Todos</c:v>
                </c:pt>
                <c:pt idx="2">
                  <c:v>Unido Perú</c:v>
                </c:pt>
                <c:pt idx="3">
                  <c:v>Peru Primero</c:v>
                </c:pt>
                <c:pt idx="4">
                  <c:v>Libertad Popular</c:v>
                </c:pt>
                <c:pt idx="5">
                  <c:v>Integridad Democrática</c:v>
                </c:pt>
                <c:pt idx="6">
                  <c:v>Ahora Nación</c:v>
                </c:pt>
                <c:pt idx="7">
                  <c:v>APRA</c:v>
                </c:pt>
                <c:pt idx="8">
                  <c:v>Fuerza Popular</c:v>
                </c:pt>
                <c:pt idx="9">
                  <c:v>Unidad Nacional</c:v>
                </c:pt>
                <c:pt idx="10">
                  <c:v>Avanza Pais</c:v>
                </c:pt>
                <c:pt idx="11">
                  <c:v>Primero La Gente</c:v>
                </c:pt>
                <c:pt idx="12">
                  <c:v>Peru Libre</c:v>
                </c:pt>
                <c:pt idx="13">
                  <c:v>Fuerza y Libertad</c:v>
                </c:pt>
                <c:pt idx="14">
                  <c:v>Partido Morado</c:v>
                </c:pt>
                <c:pt idx="15">
                  <c:v>Somos Perú</c:v>
                </c:pt>
                <c:pt idx="16">
                  <c:v>Peru Federal</c:v>
                </c:pt>
                <c:pt idx="17">
                  <c:v>Frente de la Esperanza</c:v>
                </c:pt>
                <c:pt idx="18">
                  <c:v>Buen Gobierno</c:v>
                </c:pt>
                <c:pt idx="19">
                  <c:v>Renovación Popular</c:v>
                </c:pt>
                <c:pt idx="20">
                  <c:v>Venceremos</c:v>
                </c:pt>
                <c:pt idx="21">
                  <c:v>Si Creo</c:v>
                </c:pt>
                <c:pt idx="22">
                  <c:v>PPP</c:v>
                </c:pt>
                <c:pt idx="23">
                  <c:v>Juntos por el Perú</c:v>
                </c:pt>
                <c:pt idx="24">
                  <c:v>Fe en el Peru</c:v>
                </c:pt>
                <c:pt idx="25">
                  <c:v>Peru Acción</c:v>
                </c:pt>
                <c:pt idx="26">
                  <c:v>Podemos Perú</c:v>
                </c:pt>
                <c:pt idx="27">
                  <c:v>PRIN</c:v>
                </c:pt>
                <c:pt idx="28">
                  <c:v>PTE</c:v>
                </c:pt>
                <c:pt idx="29">
                  <c:v>FREPAP</c:v>
                </c:pt>
                <c:pt idx="30">
                  <c:v>Verde</c:v>
                </c:pt>
                <c:pt idx="31">
                  <c:v>Obras</c:v>
                </c:pt>
                <c:pt idx="32">
                  <c:v>Progresemos</c:v>
                </c:pt>
                <c:pt idx="33">
                  <c:v>Cooperación Popular</c:v>
                </c:pt>
                <c:pt idx="34">
                  <c:v>Un Camino Diferente</c:v>
                </c:pt>
              </c:strCache>
            </c:strRef>
          </c:cat>
          <c:val>
            <c:numRef>
              <c:f>'Op3'!$C$84:$C$118</c:f>
              <c:numCache>
                <c:formatCode>0.00</c:formatCode>
                <c:ptCount val="35"/>
                <c:pt idx="0">
                  <c:v>8.4137931034482758</c:v>
                </c:pt>
                <c:pt idx="1">
                  <c:v>7.958333333333333</c:v>
                </c:pt>
                <c:pt idx="2">
                  <c:v>7.9444444444444446</c:v>
                </c:pt>
                <c:pt idx="3">
                  <c:v>7.9285714285714288</c:v>
                </c:pt>
                <c:pt idx="4">
                  <c:v>7.5185185185185182</c:v>
                </c:pt>
                <c:pt idx="5">
                  <c:v>7.4333333333333336</c:v>
                </c:pt>
                <c:pt idx="6">
                  <c:v>7.3928571428571432</c:v>
                </c:pt>
                <c:pt idx="7">
                  <c:v>7.2758620689655169</c:v>
                </c:pt>
                <c:pt idx="8">
                  <c:v>6.833333333333333</c:v>
                </c:pt>
                <c:pt idx="9">
                  <c:v>6.666666666666667</c:v>
                </c:pt>
                <c:pt idx="10">
                  <c:v>6.56</c:v>
                </c:pt>
                <c:pt idx="11">
                  <c:v>6.5555555555555554</c:v>
                </c:pt>
                <c:pt idx="12">
                  <c:v>6.4</c:v>
                </c:pt>
                <c:pt idx="13">
                  <c:v>6.3571428571428568</c:v>
                </c:pt>
                <c:pt idx="14">
                  <c:v>6.3571428571428568</c:v>
                </c:pt>
                <c:pt idx="15">
                  <c:v>6.25</c:v>
                </c:pt>
                <c:pt idx="16">
                  <c:v>6.166666666666667</c:v>
                </c:pt>
                <c:pt idx="17">
                  <c:v>6.1379310344827589</c:v>
                </c:pt>
                <c:pt idx="18">
                  <c:v>6</c:v>
                </c:pt>
                <c:pt idx="19">
                  <c:v>5.8275862068965516</c:v>
                </c:pt>
                <c:pt idx="20">
                  <c:v>5.7142857142857144</c:v>
                </c:pt>
                <c:pt idx="21">
                  <c:v>5.6428571428571432</c:v>
                </c:pt>
                <c:pt idx="22">
                  <c:v>5.115384615384615</c:v>
                </c:pt>
                <c:pt idx="23">
                  <c:v>5</c:v>
                </c:pt>
                <c:pt idx="24">
                  <c:v>4.9333333333333336</c:v>
                </c:pt>
                <c:pt idx="25">
                  <c:v>4.6551724137931032</c:v>
                </c:pt>
                <c:pt idx="26">
                  <c:v>4.5517241379310347</c:v>
                </c:pt>
                <c:pt idx="27">
                  <c:v>4.4230769230769234</c:v>
                </c:pt>
                <c:pt idx="28">
                  <c:v>4.3043478260869561</c:v>
                </c:pt>
                <c:pt idx="29">
                  <c:v>3.9333333333333331</c:v>
                </c:pt>
                <c:pt idx="30">
                  <c:v>3.8275862068965516</c:v>
                </c:pt>
                <c:pt idx="31">
                  <c:v>3.7</c:v>
                </c:pt>
                <c:pt idx="32">
                  <c:v>3.4827586206896552</c:v>
                </c:pt>
                <c:pt idx="33">
                  <c:v>3.4285714285714284</c:v>
                </c:pt>
                <c:pt idx="34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3-4941-AF9F-EC3C20566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'Op3'!$B$123:$B$157</c:f>
              <c:strCache>
                <c:ptCount val="35"/>
                <c:pt idx="0">
                  <c:v>Ahora Nación</c:v>
                </c:pt>
                <c:pt idx="1">
                  <c:v>Cooperación Popular</c:v>
                </c:pt>
                <c:pt idx="2">
                  <c:v>Fuerza Popular</c:v>
                </c:pt>
                <c:pt idx="3">
                  <c:v>Partido Morado</c:v>
                </c:pt>
                <c:pt idx="4">
                  <c:v>Peru Libre</c:v>
                </c:pt>
                <c:pt idx="5">
                  <c:v>Buen Gobierno</c:v>
                </c:pt>
                <c:pt idx="6">
                  <c:v>Fe en el Peru</c:v>
                </c:pt>
                <c:pt idx="7">
                  <c:v>Libertad Popular</c:v>
                </c:pt>
                <c:pt idx="8">
                  <c:v>PPP</c:v>
                </c:pt>
                <c:pt idx="9">
                  <c:v>PTE</c:v>
                </c:pt>
                <c:pt idx="10">
                  <c:v>Unido Perú</c:v>
                </c:pt>
                <c:pt idx="11">
                  <c:v>Alianza para el Progreso</c:v>
                </c:pt>
                <c:pt idx="12">
                  <c:v>Peru Primero</c:v>
                </c:pt>
                <c:pt idx="13">
                  <c:v>Somos Perú</c:v>
                </c:pt>
                <c:pt idx="14">
                  <c:v>Peru Federal</c:v>
                </c:pt>
                <c:pt idx="15">
                  <c:v>Primero La Gente</c:v>
                </c:pt>
                <c:pt idx="16">
                  <c:v>Si Creo</c:v>
                </c:pt>
                <c:pt idx="17">
                  <c:v>Pais para Todos</c:v>
                </c:pt>
                <c:pt idx="18">
                  <c:v>Unidad Nacional</c:v>
                </c:pt>
                <c:pt idx="19">
                  <c:v>Frente de la Esperanza</c:v>
                </c:pt>
                <c:pt idx="20">
                  <c:v>PRIN</c:v>
                </c:pt>
                <c:pt idx="21">
                  <c:v>APRA</c:v>
                </c:pt>
                <c:pt idx="22">
                  <c:v>Renovación Popular</c:v>
                </c:pt>
                <c:pt idx="23">
                  <c:v>Venceremos</c:v>
                </c:pt>
                <c:pt idx="24">
                  <c:v>Fuerza y Libertad</c:v>
                </c:pt>
                <c:pt idx="25">
                  <c:v>Juntos por el Perú</c:v>
                </c:pt>
                <c:pt idx="26">
                  <c:v>Verde</c:v>
                </c:pt>
                <c:pt idx="27">
                  <c:v>Obras</c:v>
                </c:pt>
                <c:pt idx="28">
                  <c:v>Podemos Perú</c:v>
                </c:pt>
                <c:pt idx="29">
                  <c:v>Avanza Pais</c:v>
                </c:pt>
                <c:pt idx="30">
                  <c:v>Integridad Democrática</c:v>
                </c:pt>
                <c:pt idx="31">
                  <c:v>Peru Acción</c:v>
                </c:pt>
                <c:pt idx="32">
                  <c:v>FREPAP</c:v>
                </c:pt>
                <c:pt idx="33">
                  <c:v>Progresemos</c:v>
                </c:pt>
                <c:pt idx="34">
                  <c:v>Un Camino Diferente</c:v>
                </c:pt>
              </c:strCache>
            </c:strRef>
          </c:cat>
          <c:val>
            <c:numRef>
              <c:f>'Op3'!$C$123:$C$157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14</c:v>
                </c:pt>
                <c:pt idx="31">
                  <c:v>15</c:v>
                </c:pt>
                <c:pt idx="32">
                  <c:v>22</c:v>
                </c:pt>
                <c:pt idx="33">
                  <c:v>22</c:v>
                </c:pt>
                <c:pt idx="3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D-4329-B395-7B85CE59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'Op3'!$B$166:$B$200</c:f>
              <c:strCache>
                <c:ptCount val="35"/>
                <c:pt idx="0">
                  <c:v>Un Camino Diferente</c:v>
                </c:pt>
                <c:pt idx="1">
                  <c:v>FREPAP</c:v>
                </c:pt>
                <c:pt idx="2">
                  <c:v>Peru Acción</c:v>
                </c:pt>
                <c:pt idx="3">
                  <c:v>Verde</c:v>
                </c:pt>
                <c:pt idx="4">
                  <c:v>Obras</c:v>
                </c:pt>
                <c:pt idx="5">
                  <c:v>Progresemos</c:v>
                </c:pt>
                <c:pt idx="6">
                  <c:v>Cooperación Popular</c:v>
                </c:pt>
                <c:pt idx="7">
                  <c:v>PPP</c:v>
                </c:pt>
                <c:pt idx="8">
                  <c:v>Integridad Democrática</c:v>
                </c:pt>
                <c:pt idx="9">
                  <c:v>PRIN</c:v>
                </c:pt>
                <c:pt idx="10">
                  <c:v>Unido Perú</c:v>
                </c:pt>
                <c:pt idx="11">
                  <c:v>Fe en el Peru</c:v>
                </c:pt>
                <c:pt idx="12">
                  <c:v>PTE</c:v>
                </c:pt>
                <c:pt idx="13">
                  <c:v>Frente de la Esperanza</c:v>
                </c:pt>
                <c:pt idx="14">
                  <c:v>Buen Gobierno</c:v>
                </c:pt>
                <c:pt idx="15">
                  <c:v>Fuerza y Libertad</c:v>
                </c:pt>
                <c:pt idx="16">
                  <c:v>Si Creo</c:v>
                </c:pt>
                <c:pt idx="17">
                  <c:v>Peru Federal</c:v>
                </c:pt>
                <c:pt idx="18">
                  <c:v>Venceremos</c:v>
                </c:pt>
                <c:pt idx="19">
                  <c:v>Pais para Todos</c:v>
                </c:pt>
                <c:pt idx="20">
                  <c:v>Juntos por el Perú</c:v>
                </c:pt>
                <c:pt idx="21">
                  <c:v>Ahora Nación</c:v>
                </c:pt>
                <c:pt idx="22">
                  <c:v>Partido Morado</c:v>
                </c:pt>
                <c:pt idx="23">
                  <c:v>Peru Primero</c:v>
                </c:pt>
                <c:pt idx="24">
                  <c:v>Libertad Popular</c:v>
                </c:pt>
                <c:pt idx="25">
                  <c:v>Somos Perú</c:v>
                </c:pt>
                <c:pt idx="26">
                  <c:v>APRA</c:v>
                </c:pt>
                <c:pt idx="27">
                  <c:v>Unidad Nacional</c:v>
                </c:pt>
                <c:pt idx="28">
                  <c:v>Peru Libre</c:v>
                </c:pt>
                <c:pt idx="29">
                  <c:v>Avanza Pais</c:v>
                </c:pt>
                <c:pt idx="30">
                  <c:v>Renovación Popular</c:v>
                </c:pt>
                <c:pt idx="31">
                  <c:v>Fuerza Popular</c:v>
                </c:pt>
                <c:pt idx="32">
                  <c:v>Primero La Gente</c:v>
                </c:pt>
                <c:pt idx="33">
                  <c:v>Podemos Perú</c:v>
                </c:pt>
                <c:pt idx="34">
                  <c:v>Alianza para el Progreso</c:v>
                </c:pt>
              </c:strCache>
            </c:strRef>
          </c:cat>
          <c:val>
            <c:numRef>
              <c:f>'Op3'!$C$166:$C$200</c:f>
              <c:numCache>
                <c:formatCode>0</c:formatCode>
                <c:ptCount val="35"/>
                <c:pt idx="0">
                  <c:v>301.32402777777776</c:v>
                </c:pt>
                <c:pt idx="1">
                  <c:v>1215.6089722222221</c:v>
                </c:pt>
                <c:pt idx="2">
                  <c:v>2006.7844827586205</c:v>
                </c:pt>
                <c:pt idx="3">
                  <c:v>2099.0719827586208</c:v>
                </c:pt>
                <c:pt idx="4">
                  <c:v>2769.8313611111107</c:v>
                </c:pt>
                <c:pt idx="5">
                  <c:v>3332.6196551724142</c:v>
                </c:pt>
                <c:pt idx="6">
                  <c:v>3355.883928571428</c:v>
                </c:pt>
                <c:pt idx="7">
                  <c:v>3655.7755128205131</c:v>
                </c:pt>
                <c:pt idx="8">
                  <c:v>3869.7260277777777</c:v>
                </c:pt>
                <c:pt idx="9">
                  <c:v>4237.8200320512824</c:v>
                </c:pt>
                <c:pt idx="10">
                  <c:v>4439.0219907407409</c:v>
                </c:pt>
                <c:pt idx="11">
                  <c:v>4809.5549999999985</c:v>
                </c:pt>
                <c:pt idx="12">
                  <c:v>5187.0457246376809</c:v>
                </c:pt>
                <c:pt idx="13">
                  <c:v>5274.1465517241386</c:v>
                </c:pt>
                <c:pt idx="14">
                  <c:v>6373.2588888888868</c:v>
                </c:pt>
                <c:pt idx="15">
                  <c:v>6745.8043452380953</c:v>
                </c:pt>
                <c:pt idx="16">
                  <c:v>6754.4303571428545</c:v>
                </c:pt>
                <c:pt idx="17">
                  <c:v>6968.4734027777777</c:v>
                </c:pt>
                <c:pt idx="18">
                  <c:v>7024.084404761903</c:v>
                </c:pt>
                <c:pt idx="19">
                  <c:v>7261.4848611111111</c:v>
                </c:pt>
                <c:pt idx="20">
                  <c:v>8226.7181111111113</c:v>
                </c:pt>
                <c:pt idx="21">
                  <c:v>8509.7649107142861</c:v>
                </c:pt>
                <c:pt idx="22">
                  <c:v>8654.14857142857</c:v>
                </c:pt>
                <c:pt idx="23">
                  <c:v>8740.4684523809519</c:v>
                </c:pt>
                <c:pt idx="24">
                  <c:v>9145.1447839506181</c:v>
                </c:pt>
                <c:pt idx="25">
                  <c:v>9184.3301488095258</c:v>
                </c:pt>
                <c:pt idx="26">
                  <c:v>9421.012270114943</c:v>
                </c:pt>
                <c:pt idx="27">
                  <c:v>9451.9023888888896</c:v>
                </c:pt>
                <c:pt idx="28">
                  <c:v>12131.860972222221</c:v>
                </c:pt>
                <c:pt idx="29">
                  <c:v>14076.754433333332</c:v>
                </c:pt>
                <c:pt idx="30">
                  <c:v>15310.844109195406</c:v>
                </c:pt>
                <c:pt idx="31">
                  <c:v>16195.718083333331</c:v>
                </c:pt>
                <c:pt idx="32">
                  <c:v>21686.197561728393</c:v>
                </c:pt>
                <c:pt idx="33">
                  <c:v>39105.942701149419</c:v>
                </c:pt>
                <c:pt idx="34">
                  <c:v>42399.069827586209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8-4947-BD89-4A69E2272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'Op3'!$B$206:$B$240</c:f>
              <c:strCache>
                <c:ptCount val="35"/>
                <c:pt idx="0">
                  <c:v>Un Camino Diferente</c:v>
                </c:pt>
                <c:pt idx="1">
                  <c:v>Cooperación Popular</c:v>
                </c:pt>
                <c:pt idx="2">
                  <c:v>Verde</c:v>
                </c:pt>
                <c:pt idx="3">
                  <c:v>PPP</c:v>
                </c:pt>
                <c:pt idx="4">
                  <c:v>Peru Acción</c:v>
                </c:pt>
                <c:pt idx="5">
                  <c:v>Obras</c:v>
                </c:pt>
                <c:pt idx="6">
                  <c:v>FREPAP</c:v>
                </c:pt>
                <c:pt idx="7">
                  <c:v>Unido Perú</c:v>
                </c:pt>
                <c:pt idx="8">
                  <c:v>PRIN</c:v>
                </c:pt>
                <c:pt idx="9">
                  <c:v>Fe en el Peru</c:v>
                </c:pt>
                <c:pt idx="10">
                  <c:v>PTE</c:v>
                </c:pt>
                <c:pt idx="11">
                  <c:v>Buen Gobierno</c:v>
                </c:pt>
                <c:pt idx="12">
                  <c:v>Peru Federal</c:v>
                </c:pt>
                <c:pt idx="13">
                  <c:v>Frente de la Esperanza</c:v>
                </c:pt>
                <c:pt idx="14">
                  <c:v>Integridad Democrática</c:v>
                </c:pt>
                <c:pt idx="15">
                  <c:v>Si Creo</c:v>
                </c:pt>
                <c:pt idx="16">
                  <c:v>Venceremos</c:v>
                </c:pt>
                <c:pt idx="17">
                  <c:v>Fuerza y Libertad</c:v>
                </c:pt>
                <c:pt idx="18">
                  <c:v>Ahora Nación</c:v>
                </c:pt>
                <c:pt idx="19">
                  <c:v>Partido Morado</c:v>
                </c:pt>
                <c:pt idx="20">
                  <c:v>Pais para Todos</c:v>
                </c:pt>
                <c:pt idx="21">
                  <c:v>Juntos por el Perú</c:v>
                </c:pt>
                <c:pt idx="22">
                  <c:v>Peru Primero</c:v>
                </c:pt>
                <c:pt idx="23">
                  <c:v>Somos Perú</c:v>
                </c:pt>
                <c:pt idx="24">
                  <c:v>Podemos Perú</c:v>
                </c:pt>
                <c:pt idx="25">
                  <c:v>Unidad Nacional</c:v>
                </c:pt>
                <c:pt idx="26">
                  <c:v>Primero La Gente</c:v>
                </c:pt>
                <c:pt idx="27">
                  <c:v>Libertad Popular</c:v>
                </c:pt>
                <c:pt idx="28">
                  <c:v>Progresemos</c:v>
                </c:pt>
                <c:pt idx="29">
                  <c:v>APRA</c:v>
                </c:pt>
                <c:pt idx="30">
                  <c:v>Peru Libre</c:v>
                </c:pt>
                <c:pt idx="31">
                  <c:v>Renovación Popular</c:v>
                </c:pt>
                <c:pt idx="32">
                  <c:v>Fuerza Popular</c:v>
                </c:pt>
                <c:pt idx="33">
                  <c:v>Alianza para el Progreso</c:v>
                </c:pt>
                <c:pt idx="34">
                  <c:v>Avanza Pais</c:v>
                </c:pt>
              </c:strCache>
            </c:strRef>
          </c:cat>
          <c:val>
            <c:numRef>
              <c:f>'Op3'!$C$206:$C$240</c:f>
              <c:numCache>
                <c:formatCode>0</c:formatCode>
                <c:ptCount val="35"/>
                <c:pt idx="0">
                  <c:v>1179.9069444444442</c:v>
                </c:pt>
                <c:pt idx="1">
                  <c:v>1885.5771604938273</c:v>
                </c:pt>
                <c:pt idx="2">
                  <c:v>2283.5168750000003</c:v>
                </c:pt>
                <c:pt idx="3">
                  <c:v>2747.6182608695658</c:v>
                </c:pt>
                <c:pt idx="4">
                  <c:v>3201.0320512820513</c:v>
                </c:pt>
                <c:pt idx="5">
                  <c:v>3308.4868421052633</c:v>
                </c:pt>
                <c:pt idx="6">
                  <c:v>3958.9379761904761</c:v>
                </c:pt>
                <c:pt idx="7">
                  <c:v>4105.0597222222223</c:v>
                </c:pt>
                <c:pt idx="8">
                  <c:v>4132.4554824561401</c:v>
                </c:pt>
                <c:pt idx="9">
                  <c:v>4705.0479166666664</c:v>
                </c:pt>
                <c:pt idx="10">
                  <c:v>4911.6059649122799</c:v>
                </c:pt>
                <c:pt idx="11">
                  <c:v>5266.1580246913582</c:v>
                </c:pt>
                <c:pt idx="12">
                  <c:v>5808.3085087719301</c:v>
                </c:pt>
                <c:pt idx="13">
                  <c:v>6193.193181818182</c:v>
                </c:pt>
                <c:pt idx="14">
                  <c:v>6195.9687222222228</c:v>
                </c:pt>
                <c:pt idx="15">
                  <c:v>6318.5275362318844</c:v>
                </c:pt>
                <c:pt idx="16">
                  <c:v>6629.4893750000001</c:v>
                </c:pt>
                <c:pt idx="17">
                  <c:v>6684.7399561403508</c:v>
                </c:pt>
                <c:pt idx="18">
                  <c:v>6872.4074382716044</c:v>
                </c:pt>
                <c:pt idx="19">
                  <c:v>6928.5958974358964</c:v>
                </c:pt>
                <c:pt idx="20">
                  <c:v>7635.3224074074078</c:v>
                </c:pt>
                <c:pt idx="21">
                  <c:v>7985.3433333333342</c:v>
                </c:pt>
                <c:pt idx="22">
                  <c:v>8821.5954861111113</c:v>
                </c:pt>
                <c:pt idx="23">
                  <c:v>9126.2532291666685</c:v>
                </c:pt>
                <c:pt idx="24">
                  <c:v>9165.9559166666677</c:v>
                </c:pt>
                <c:pt idx="25">
                  <c:v>9506.6952083333326</c:v>
                </c:pt>
                <c:pt idx="26">
                  <c:v>9599.9621590909082</c:v>
                </c:pt>
                <c:pt idx="27">
                  <c:v>9840.3712152777789</c:v>
                </c:pt>
                <c:pt idx="28">
                  <c:v>10289.161666666667</c:v>
                </c:pt>
                <c:pt idx="29">
                  <c:v>10545.747103174603</c:v>
                </c:pt>
                <c:pt idx="30">
                  <c:v>11726.846279761903</c:v>
                </c:pt>
                <c:pt idx="31">
                  <c:v>13614.284722222223</c:v>
                </c:pt>
                <c:pt idx="32">
                  <c:v>15141.925555555556</c:v>
                </c:pt>
                <c:pt idx="33">
                  <c:v>16393.700999999997</c:v>
                </c:pt>
                <c:pt idx="34">
                  <c:v>20119.150773809524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4-4E07-B2C9-821C18284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'Op3'!$B$245:$B$279</c:f>
              <c:strCache>
                <c:ptCount val="35"/>
                <c:pt idx="0">
                  <c:v>FREPAP</c:v>
                </c:pt>
                <c:pt idx="1">
                  <c:v>Integridad Democrática</c:v>
                </c:pt>
                <c:pt idx="2">
                  <c:v>Progresemos</c:v>
                </c:pt>
                <c:pt idx="3">
                  <c:v>PPP</c:v>
                </c:pt>
                <c:pt idx="4">
                  <c:v>Libertad Popular</c:v>
                </c:pt>
                <c:pt idx="5">
                  <c:v>Peru Acción</c:v>
                </c:pt>
                <c:pt idx="6">
                  <c:v>Fuerza y Libertad</c:v>
                </c:pt>
                <c:pt idx="7">
                  <c:v>Buen Gobierno</c:v>
                </c:pt>
                <c:pt idx="8">
                  <c:v>Obras</c:v>
                </c:pt>
                <c:pt idx="9">
                  <c:v>PRIN</c:v>
                </c:pt>
                <c:pt idx="10">
                  <c:v>PTE</c:v>
                </c:pt>
                <c:pt idx="11">
                  <c:v>Si Creo</c:v>
                </c:pt>
                <c:pt idx="12">
                  <c:v>Un Camino Diferente</c:v>
                </c:pt>
                <c:pt idx="13">
                  <c:v>Ahora Nación</c:v>
                </c:pt>
                <c:pt idx="14">
                  <c:v>Primero La Gente</c:v>
                </c:pt>
                <c:pt idx="15">
                  <c:v>Pais para Todos</c:v>
                </c:pt>
                <c:pt idx="16">
                  <c:v>Cooperación Popular</c:v>
                </c:pt>
                <c:pt idx="17">
                  <c:v>Frente de la Esperanza</c:v>
                </c:pt>
                <c:pt idx="18">
                  <c:v>Unidad Nacional</c:v>
                </c:pt>
                <c:pt idx="19">
                  <c:v>Fe en el Peru</c:v>
                </c:pt>
                <c:pt idx="20">
                  <c:v>Unido Perú</c:v>
                </c:pt>
                <c:pt idx="21">
                  <c:v>Verde</c:v>
                </c:pt>
                <c:pt idx="22">
                  <c:v>Peru Primero</c:v>
                </c:pt>
                <c:pt idx="23">
                  <c:v>Peru Federal</c:v>
                </c:pt>
                <c:pt idx="24">
                  <c:v>APRA</c:v>
                </c:pt>
                <c:pt idx="25">
                  <c:v>Alianza para el Progreso</c:v>
                </c:pt>
                <c:pt idx="26">
                  <c:v>Avanza Pais</c:v>
                </c:pt>
                <c:pt idx="27">
                  <c:v>Fuerza Popular</c:v>
                </c:pt>
                <c:pt idx="28">
                  <c:v>Juntos por el Perú</c:v>
                </c:pt>
                <c:pt idx="29">
                  <c:v>Partido Morado</c:v>
                </c:pt>
                <c:pt idx="30">
                  <c:v>Peru Libre</c:v>
                </c:pt>
                <c:pt idx="31">
                  <c:v>Podemos Perú</c:v>
                </c:pt>
                <c:pt idx="32">
                  <c:v>Renovación Popular</c:v>
                </c:pt>
                <c:pt idx="33">
                  <c:v>Somos Perú</c:v>
                </c:pt>
                <c:pt idx="34">
                  <c:v>Venceremos</c:v>
                </c:pt>
              </c:strCache>
            </c:strRef>
          </c:cat>
          <c:val>
            <c:numRef>
              <c:f>'Op3'!$C$245:$C$279</c:f>
              <c:numCache>
                <c:formatCode>0%</c:formatCode>
                <c:ptCount val="35"/>
                <c:pt idx="0">
                  <c:v>0</c:v>
                </c:pt>
                <c:pt idx="1">
                  <c:v>0.11666666666666667</c:v>
                </c:pt>
                <c:pt idx="2">
                  <c:v>0.12280701754385964</c:v>
                </c:pt>
                <c:pt idx="3">
                  <c:v>0.13207547169811321</c:v>
                </c:pt>
                <c:pt idx="4">
                  <c:v>0.14035087719298245</c:v>
                </c:pt>
                <c:pt idx="5">
                  <c:v>0.17241379310344829</c:v>
                </c:pt>
                <c:pt idx="6">
                  <c:v>0.18181818181818182</c:v>
                </c:pt>
                <c:pt idx="7">
                  <c:v>0.18333333333333332</c:v>
                </c:pt>
                <c:pt idx="8">
                  <c:v>0.18333333333333332</c:v>
                </c:pt>
                <c:pt idx="9">
                  <c:v>0.2</c:v>
                </c:pt>
                <c:pt idx="10">
                  <c:v>0.21276595744680851</c:v>
                </c:pt>
                <c:pt idx="11">
                  <c:v>0.21428571428571427</c:v>
                </c:pt>
                <c:pt idx="12">
                  <c:v>0.25</c:v>
                </c:pt>
                <c:pt idx="13">
                  <c:v>0.27777777777777779</c:v>
                </c:pt>
                <c:pt idx="14">
                  <c:v>0.2857142857142857</c:v>
                </c:pt>
                <c:pt idx="15">
                  <c:v>0.28846153846153844</c:v>
                </c:pt>
                <c:pt idx="16">
                  <c:v>0.29090909090909089</c:v>
                </c:pt>
                <c:pt idx="17">
                  <c:v>0.31034482758620691</c:v>
                </c:pt>
                <c:pt idx="18">
                  <c:v>0.33333333333333331</c:v>
                </c:pt>
                <c:pt idx="19">
                  <c:v>0.35714285714285715</c:v>
                </c:pt>
                <c:pt idx="20">
                  <c:v>0.35714285714285715</c:v>
                </c:pt>
                <c:pt idx="21">
                  <c:v>0.42</c:v>
                </c:pt>
                <c:pt idx="22">
                  <c:v>0.45614035087719296</c:v>
                </c:pt>
                <c:pt idx="23">
                  <c:v>0.48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6-4F6B-A014-88BF67BFA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'Op3'!$B$285:$B$319</c:f>
              <c:strCache>
                <c:ptCount val="35"/>
                <c:pt idx="0">
                  <c:v>Integridad Democrática</c:v>
                </c:pt>
                <c:pt idx="1">
                  <c:v>PPP</c:v>
                </c:pt>
                <c:pt idx="2">
                  <c:v>Libertad Popular</c:v>
                </c:pt>
                <c:pt idx="3">
                  <c:v>Peru Acción</c:v>
                </c:pt>
                <c:pt idx="4">
                  <c:v>Buen Gobierno</c:v>
                </c:pt>
                <c:pt idx="5">
                  <c:v>Obras</c:v>
                </c:pt>
                <c:pt idx="6">
                  <c:v>PRIN</c:v>
                </c:pt>
                <c:pt idx="7">
                  <c:v>PTE</c:v>
                </c:pt>
                <c:pt idx="8">
                  <c:v>Un Camino Diferente</c:v>
                </c:pt>
                <c:pt idx="9">
                  <c:v>Pais para Todos</c:v>
                </c:pt>
                <c:pt idx="10">
                  <c:v>Frente de la Esperanza</c:v>
                </c:pt>
                <c:pt idx="11">
                  <c:v>Fe en el Peru</c:v>
                </c:pt>
                <c:pt idx="12">
                  <c:v>Unido Perú</c:v>
                </c:pt>
                <c:pt idx="13">
                  <c:v>Verde</c:v>
                </c:pt>
                <c:pt idx="14">
                  <c:v>Peru Federal</c:v>
                </c:pt>
                <c:pt idx="15">
                  <c:v>APRA</c:v>
                </c:pt>
                <c:pt idx="16">
                  <c:v>FREPAP</c:v>
                </c:pt>
                <c:pt idx="17">
                  <c:v>Fuerza y Libertad</c:v>
                </c:pt>
                <c:pt idx="18">
                  <c:v>Primero La Gente</c:v>
                </c:pt>
                <c:pt idx="19">
                  <c:v>Partido Morado</c:v>
                </c:pt>
                <c:pt idx="20">
                  <c:v>Cooperación Popular</c:v>
                </c:pt>
                <c:pt idx="21">
                  <c:v>Progresemos</c:v>
                </c:pt>
                <c:pt idx="22">
                  <c:v>Ahora Nación</c:v>
                </c:pt>
                <c:pt idx="23">
                  <c:v>Unidad Nacional</c:v>
                </c:pt>
                <c:pt idx="24">
                  <c:v>Venceremos</c:v>
                </c:pt>
                <c:pt idx="25">
                  <c:v>Si Creo</c:v>
                </c:pt>
                <c:pt idx="26">
                  <c:v>Peru Primero</c:v>
                </c:pt>
                <c:pt idx="27">
                  <c:v>Avanza Pais</c:v>
                </c:pt>
                <c:pt idx="28">
                  <c:v>Renovación Popular</c:v>
                </c:pt>
                <c:pt idx="29">
                  <c:v>Somos Perú</c:v>
                </c:pt>
                <c:pt idx="30">
                  <c:v>Alianza para el Progreso</c:v>
                </c:pt>
                <c:pt idx="31">
                  <c:v>Juntos por el Perú</c:v>
                </c:pt>
                <c:pt idx="32">
                  <c:v>Podemos Perú</c:v>
                </c:pt>
                <c:pt idx="33">
                  <c:v>Fuerza Popular</c:v>
                </c:pt>
                <c:pt idx="34">
                  <c:v>Peru Libre</c:v>
                </c:pt>
              </c:strCache>
            </c:strRef>
          </c:cat>
          <c:val>
            <c:numRef>
              <c:f>'Op3'!$C$285:$C$319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A-4437-9E27-3D78A021A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927777777777776E-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87970253718287"/>
          <c:y val="0.15460629921259841"/>
          <c:w val="0.46008770778652669"/>
          <c:h val="0.7835101341498979"/>
        </c:manualLayout>
      </c:layout>
      <c:radarChart>
        <c:radarStyle val="marker"/>
        <c:varyColors val="0"/>
        <c:ser>
          <c:idx val="0"/>
          <c:order val="0"/>
          <c:tx>
            <c:strRef>
              <c:f>'Op3'!$B$399</c:f>
              <c:strCache>
                <c:ptCount val="1"/>
                <c:pt idx="0">
                  <c:v>Integridad Democrática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'Op3'!$C$361:$I$361</c:f>
              <c:strCache>
                <c:ptCount val="7"/>
                <c:pt idx="0">
                  <c:v>% Sentencias</c:v>
                </c:pt>
                <c:pt idx="1">
                  <c:v>I. Preparación</c:v>
                </c:pt>
                <c:pt idx="2">
                  <c:v>PEN No Declarado</c:v>
                </c:pt>
                <c:pt idx="3">
                  <c:v>PEN Promedio Efectivo</c:v>
                </c:pt>
                <c:pt idx="4">
                  <c:v>Presencia del Pacto</c:v>
                </c:pt>
                <c:pt idx="5">
                  <c:v>Reelección de Cong</c:v>
                </c:pt>
                <c:pt idx="6">
                  <c:v>Equipo Completo</c:v>
                </c:pt>
              </c:strCache>
            </c:strRef>
          </c:cat>
          <c:val>
            <c:numRef>
              <c:f>'Op3'!$C$399:$I$399</c:f>
              <c:numCache>
                <c:formatCode>General</c:formatCode>
                <c:ptCount val="7"/>
                <c:pt idx="0">
                  <c:v>35</c:v>
                </c:pt>
                <c:pt idx="1">
                  <c:v>30</c:v>
                </c:pt>
                <c:pt idx="2">
                  <c:v>5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48-4DF4-AFCA-9516BB109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535"/>
        <c:axId val="84389199"/>
      </c:radarChart>
      <c:catAx>
        <c:axId val="8438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9199"/>
        <c:crosses val="autoZero"/>
        <c:auto val="1"/>
        <c:lblAlgn val="ctr"/>
        <c:lblOffset val="100"/>
        <c:noMultiLvlLbl val="0"/>
      </c:catAx>
      <c:valAx>
        <c:axId val="84389199"/>
        <c:scaling>
          <c:orientation val="minMax"/>
          <c:max val="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'Op3'!$B$324:$B$358</c:f>
              <c:strCache>
                <c:ptCount val="35"/>
                <c:pt idx="0">
                  <c:v>Fe en el Peru</c:v>
                </c:pt>
                <c:pt idx="1">
                  <c:v>Unido Perú</c:v>
                </c:pt>
                <c:pt idx="2">
                  <c:v>PTE</c:v>
                </c:pt>
                <c:pt idx="3">
                  <c:v>Pais para Todos</c:v>
                </c:pt>
                <c:pt idx="4">
                  <c:v>Peru Federal</c:v>
                </c:pt>
                <c:pt idx="5">
                  <c:v>Avanza Pais</c:v>
                </c:pt>
                <c:pt idx="6">
                  <c:v>PRIN</c:v>
                </c:pt>
                <c:pt idx="7">
                  <c:v>PPP</c:v>
                </c:pt>
                <c:pt idx="8">
                  <c:v>Primero La Gente</c:v>
                </c:pt>
                <c:pt idx="9">
                  <c:v>Libertad Popular</c:v>
                </c:pt>
                <c:pt idx="10">
                  <c:v>Fuerza y Libertad</c:v>
                </c:pt>
                <c:pt idx="11">
                  <c:v>Venceremos</c:v>
                </c:pt>
                <c:pt idx="12">
                  <c:v>Si Creo</c:v>
                </c:pt>
                <c:pt idx="13">
                  <c:v>Peru Primero</c:v>
                </c:pt>
                <c:pt idx="14">
                  <c:v>Somos Perú</c:v>
                </c:pt>
                <c:pt idx="15">
                  <c:v>Partido Morado</c:v>
                </c:pt>
                <c:pt idx="16">
                  <c:v>Cooperación Popular</c:v>
                </c:pt>
                <c:pt idx="17">
                  <c:v>Ahora Nación</c:v>
                </c:pt>
                <c:pt idx="18">
                  <c:v>Progresemos</c:v>
                </c:pt>
                <c:pt idx="19">
                  <c:v>Peru Acción</c:v>
                </c:pt>
                <c:pt idx="20">
                  <c:v>Podemos Perú</c:v>
                </c:pt>
                <c:pt idx="21">
                  <c:v>Verde</c:v>
                </c:pt>
                <c:pt idx="22">
                  <c:v>APRA</c:v>
                </c:pt>
                <c:pt idx="23">
                  <c:v>Renovación Popular</c:v>
                </c:pt>
                <c:pt idx="24">
                  <c:v>Frente de la Esperanza</c:v>
                </c:pt>
                <c:pt idx="25">
                  <c:v>Alianza para el Progreso</c:v>
                </c:pt>
                <c:pt idx="26">
                  <c:v>Un Camino Diferente</c:v>
                </c:pt>
                <c:pt idx="27">
                  <c:v>FREPAP</c:v>
                </c:pt>
                <c:pt idx="28">
                  <c:v>Integridad Democrática</c:v>
                </c:pt>
                <c:pt idx="29">
                  <c:v>Obras</c:v>
                </c:pt>
                <c:pt idx="30">
                  <c:v>Juntos por el Perú</c:v>
                </c:pt>
                <c:pt idx="31">
                  <c:v>Unidad Nacional</c:v>
                </c:pt>
                <c:pt idx="32">
                  <c:v>Buen Gobierno</c:v>
                </c:pt>
                <c:pt idx="33">
                  <c:v>Fuerza Popular</c:v>
                </c:pt>
                <c:pt idx="34">
                  <c:v>Peru Libre</c:v>
                </c:pt>
              </c:strCache>
            </c:strRef>
          </c:cat>
          <c:val>
            <c:numRef>
              <c:f>'Op3'!$C$324:$C$358</c:f>
              <c:numCache>
                <c:formatCode>General</c:formatCode>
                <c:ptCount val="35"/>
                <c:pt idx="0">
                  <c:v>18</c:v>
                </c:pt>
                <c:pt idx="1">
                  <c:v>18</c:v>
                </c:pt>
                <c:pt idx="2">
                  <c:v>23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8-49D9-9016-097F42BC9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'Op4'!$B$45:$B$79</c:f>
              <c:strCache>
                <c:ptCount val="35"/>
                <c:pt idx="0">
                  <c:v>Ahora Nación</c:v>
                </c:pt>
                <c:pt idx="1">
                  <c:v>APRA</c:v>
                </c:pt>
                <c:pt idx="2">
                  <c:v>Avanza Pais</c:v>
                </c:pt>
                <c:pt idx="3">
                  <c:v>Fe en el Peru</c:v>
                </c:pt>
                <c:pt idx="4">
                  <c:v>Frente de la Esperanza</c:v>
                </c:pt>
                <c:pt idx="5">
                  <c:v>FREPAP</c:v>
                </c:pt>
                <c:pt idx="6">
                  <c:v>Fuerza y Libertad</c:v>
                </c:pt>
                <c:pt idx="7">
                  <c:v>Integridad Democrática</c:v>
                </c:pt>
                <c:pt idx="8">
                  <c:v>Libertad Popular</c:v>
                </c:pt>
                <c:pt idx="9">
                  <c:v>PPP</c:v>
                </c:pt>
                <c:pt idx="10">
                  <c:v>PRIN</c:v>
                </c:pt>
                <c:pt idx="11">
                  <c:v>PTE</c:v>
                </c:pt>
                <c:pt idx="12">
                  <c:v>Un Camino Diferente</c:v>
                </c:pt>
                <c:pt idx="13">
                  <c:v>Venceremos</c:v>
                </c:pt>
                <c:pt idx="14">
                  <c:v>Buen Gobierno</c:v>
                </c:pt>
                <c:pt idx="15">
                  <c:v>Unidad Nacional</c:v>
                </c:pt>
                <c:pt idx="16">
                  <c:v>Verde</c:v>
                </c:pt>
                <c:pt idx="17">
                  <c:v>Cooperación Popular</c:v>
                </c:pt>
                <c:pt idx="18">
                  <c:v>Si Creo</c:v>
                </c:pt>
                <c:pt idx="19">
                  <c:v>Pais para Todos</c:v>
                </c:pt>
                <c:pt idx="20">
                  <c:v>Juntos por el Perú</c:v>
                </c:pt>
                <c:pt idx="21">
                  <c:v>Obras</c:v>
                </c:pt>
                <c:pt idx="22">
                  <c:v>Peru Acción</c:v>
                </c:pt>
                <c:pt idx="23">
                  <c:v>Progresemos</c:v>
                </c:pt>
                <c:pt idx="24">
                  <c:v>Partido Morado</c:v>
                </c:pt>
                <c:pt idx="25">
                  <c:v>Somos Perú</c:v>
                </c:pt>
                <c:pt idx="26">
                  <c:v>Peru Libre</c:v>
                </c:pt>
                <c:pt idx="27">
                  <c:v>Podemos Perú</c:v>
                </c:pt>
                <c:pt idx="28">
                  <c:v>Peru Primero</c:v>
                </c:pt>
                <c:pt idx="29">
                  <c:v>Unido Perú</c:v>
                </c:pt>
                <c:pt idx="30">
                  <c:v>Primero La Gente</c:v>
                </c:pt>
                <c:pt idx="31">
                  <c:v>Renovación Popular</c:v>
                </c:pt>
                <c:pt idx="32">
                  <c:v>Fuerza Popular</c:v>
                </c:pt>
                <c:pt idx="33">
                  <c:v>Peru Federal</c:v>
                </c:pt>
                <c:pt idx="34">
                  <c:v>Alianza para el Progreso</c:v>
                </c:pt>
              </c:strCache>
            </c:strRef>
          </c:cat>
          <c:val>
            <c:numRef>
              <c:f>'Op4'!$D$45:$D$79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3.3333333333333335</c:v>
                </c:pt>
                <c:pt idx="15">
                  <c:v>3.3333333333333335</c:v>
                </c:pt>
                <c:pt idx="16">
                  <c:v>3.4482758620689653</c:v>
                </c:pt>
                <c:pt idx="17">
                  <c:v>3.5714285714285712</c:v>
                </c:pt>
                <c:pt idx="18">
                  <c:v>3.5714285714285712</c:v>
                </c:pt>
                <c:pt idx="19">
                  <c:v>4.1666666666666661</c:v>
                </c:pt>
                <c:pt idx="20">
                  <c:v>6.666666666666667</c:v>
                </c:pt>
                <c:pt idx="21">
                  <c:v>6.666666666666667</c:v>
                </c:pt>
                <c:pt idx="22">
                  <c:v>6.8965517241379306</c:v>
                </c:pt>
                <c:pt idx="23">
                  <c:v>6.8965517241379306</c:v>
                </c:pt>
                <c:pt idx="24">
                  <c:v>7.1428571428571423</c:v>
                </c:pt>
                <c:pt idx="25">
                  <c:v>7.1428571428571423</c:v>
                </c:pt>
                <c:pt idx="26">
                  <c:v>10</c:v>
                </c:pt>
                <c:pt idx="27">
                  <c:v>10.344827586206897</c:v>
                </c:pt>
                <c:pt idx="28">
                  <c:v>10.714285714285714</c:v>
                </c:pt>
                <c:pt idx="29">
                  <c:v>11.111111111111111</c:v>
                </c:pt>
                <c:pt idx="30">
                  <c:v>14.814814814814813</c:v>
                </c:pt>
                <c:pt idx="31">
                  <c:v>17.241379310344829</c:v>
                </c:pt>
                <c:pt idx="32">
                  <c:v>20</c:v>
                </c:pt>
                <c:pt idx="33">
                  <c:v>20.833333333333336</c:v>
                </c:pt>
                <c:pt idx="34">
                  <c:v>24.137931034482758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B-4598-95BF-3E43AA898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'Op4'!$B$84:$B$118</c:f>
              <c:strCache>
                <c:ptCount val="35"/>
                <c:pt idx="0">
                  <c:v>Alianza para el Progreso</c:v>
                </c:pt>
                <c:pt idx="1">
                  <c:v>Pais para Todos</c:v>
                </c:pt>
                <c:pt idx="2">
                  <c:v>Unido Perú</c:v>
                </c:pt>
                <c:pt idx="3">
                  <c:v>Peru Primero</c:v>
                </c:pt>
                <c:pt idx="4">
                  <c:v>Libertad Popular</c:v>
                </c:pt>
                <c:pt idx="5">
                  <c:v>Integridad Democrática</c:v>
                </c:pt>
                <c:pt idx="6">
                  <c:v>Ahora Nación</c:v>
                </c:pt>
                <c:pt idx="7">
                  <c:v>APRA</c:v>
                </c:pt>
                <c:pt idx="8">
                  <c:v>Fuerza Popular</c:v>
                </c:pt>
                <c:pt idx="9">
                  <c:v>Unidad Nacional</c:v>
                </c:pt>
                <c:pt idx="10">
                  <c:v>Avanza Pais</c:v>
                </c:pt>
                <c:pt idx="11">
                  <c:v>Primero La Gente</c:v>
                </c:pt>
                <c:pt idx="12">
                  <c:v>Peru Libre</c:v>
                </c:pt>
                <c:pt idx="13">
                  <c:v>Fuerza y Libertad</c:v>
                </c:pt>
                <c:pt idx="14">
                  <c:v>Partido Morado</c:v>
                </c:pt>
                <c:pt idx="15">
                  <c:v>Somos Perú</c:v>
                </c:pt>
                <c:pt idx="16">
                  <c:v>Peru Federal</c:v>
                </c:pt>
                <c:pt idx="17">
                  <c:v>Frente de la Esperanza</c:v>
                </c:pt>
                <c:pt idx="18">
                  <c:v>Buen Gobierno</c:v>
                </c:pt>
                <c:pt idx="19">
                  <c:v>Renovación Popular</c:v>
                </c:pt>
                <c:pt idx="20">
                  <c:v>Venceremos</c:v>
                </c:pt>
                <c:pt idx="21">
                  <c:v>Si Creo</c:v>
                </c:pt>
                <c:pt idx="22">
                  <c:v>PPP</c:v>
                </c:pt>
                <c:pt idx="23">
                  <c:v>Juntos por el Perú</c:v>
                </c:pt>
                <c:pt idx="24">
                  <c:v>Fe en el Peru</c:v>
                </c:pt>
                <c:pt idx="25">
                  <c:v>Peru Acción</c:v>
                </c:pt>
                <c:pt idx="26">
                  <c:v>Podemos Perú</c:v>
                </c:pt>
                <c:pt idx="27">
                  <c:v>PRIN</c:v>
                </c:pt>
                <c:pt idx="28">
                  <c:v>PTE</c:v>
                </c:pt>
                <c:pt idx="29">
                  <c:v>FREPAP</c:v>
                </c:pt>
                <c:pt idx="30">
                  <c:v>Verde</c:v>
                </c:pt>
                <c:pt idx="31">
                  <c:v>Obras</c:v>
                </c:pt>
                <c:pt idx="32">
                  <c:v>Progresemos</c:v>
                </c:pt>
                <c:pt idx="33">
                  <c:v>Cooperación Popular</c:v>
                </c:pt>
                <c:pt idx="34">
                  <c:v>Un Camino Diferente</c:v>
                </c:pt>
              </c:strCache>
            </c:strRef>
          </c:cat>
          <c:val>
            <c:numRef>
              <c:f>'Op4'!$C$84:$C$118</c:f>
              <c:numCache>
                <c:formatCode>0.00</c:formatCode>
                <c:ptCount val="35"/>
                <c:pt idx="0">
                  <c:v>8.4137931034482758</c:v>
                </c:pt>
                <c:pt idx="1">
                  <c:v>7.958333333333333</c:v>
                </c:pt>
                <c:pt idx="2">
                  <c:v>7.9444444444444446</c:v>
                </c:pt>
                <c:pt idx="3">
                  <c:v>7.9285714285714288</c:v>
                </c:pt>
                <c:pt idx="4">
                  <c:v>7.5185185185185182</c:v>
                </c:pt>
                <c:pt idx="5">
                  <c:v>7.4333333333333336</c:v>
                </c:pt>
                <c:pt idx="6">
                  <c:v>7.3928571428571432</c:v>
                </c:pt>
                <c:pt idx="7">
                  <c:v>7.2758620689655169</c:v>
                </c:pt>
                <c:pt idx="8">
                  <c:v>6.833333333333333</c:v>
                </c:pt>
                <c:pt idx="9">
                  <c:v>6.666666666666667</c:v>
                </c:pt>
                <c:pt idx="10">
                  <c:v>6.56</c:v>
                </c:pt>
                <c:pt idx="11">
                  <c:v>6.5555555555555554</c:v>
                </c:pt>
                <c:pt idx="12">
                  <c:v>6.4</c:v>
                </c:pt>
                <c:pt idx="13">
                  <c:v>6.3571428571428568</c:v>
                </c:pt>
                <c:pt idx="14">
                  <c:v>6.3571428571428568</c:v>
                </c:pt>
                <c:pt idx="15">
                  <c:v>6.25</c:v>
                </c:pt>
                <c:pt idx="16">
                  <c:v>6.166666666666667</c:v>
                </c:pt>
                <c:pt idx="17">
                  <c:v>6.1379310344827589</c:v>
                </c:pt>
                <c:pt idx="18">
                  <c:v>6</c:v>
                </c:pt>
                <c:pt idx="19">
                  <c:v>5.8275862068965516</c:v>
                </c:pt>
                <c:pt idx="20">
                  <c:v>5.7142857142857144</c:v>
                </c:pt>
                <c:pt idx="21">
                  <c:v>5.6428571428571432</c:v>
                </c:pt>
                <c:pt idx="22">
                  <c:v>5.115384615384615</c:v>
                </c:pt>
                <c:pt idx="23">
                  <c:v>5</c:v>
                </c:pt>
                <c:pt idx="24">
                  <c:v>4.9333333333333336</c:v>
                </c:pt>
                <c:pt idx="25">
                  <c:v>4.6551724137931032</c:v>
                </c:pt>
                <c:pt idx="26">
                  <c:v>4.5517241379310347</c:v>
                </c:pt>
                <c:pt idx="27">
                  <c:v>4.4230769230769234</c:v>
                </c:pt>
                <c:pt idx="28">
                  <c:v>4.3043478260869561</c:v>
                </c:pt>
                <c:pt idx="29">
                  <c:v>3.9333333333333331</c:v>
                </c:pt>
                <c:pt idx="30">
                  <c:v>3.8275862068965516</c:v>
                </c:pt>
                <c:pt idx="31">
                  <c:v>3.7</c:v>
                </c:pt>
                <c:pt idx="32">
                  <c:v>3.4827586206896552</c:v>
                </c:pt>
                <c:pt idx="33">
                  <c:v>3.4285714285714284</c:v>
                </c:pt>
                <c:pt idx="34">
                  <c:v>3.2666666666666666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3-49C6-B6B4-FBCB3E715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'Op4'!$B$123:$B$157</c:f>
              <c:strCache>
                <c:ptCount val="35"/>
                <c:pt idx="0">
                  <c:v>Ahora Nación</c:v>
                </c:pt>
                <c:pt idx="1">
                  <c:v>Cooperación Popular</c:v>
                </c:pt>
                <c:pt idx="2">
                  <c:v>Fuerza Popular</c:v>
                </c:pt>
                <c:pt idx="3">
                  <c:v>Partido Morado</c:v>
                </c:pt>
                <c:pt idx="4">
                  <c:v>Peru Libre</c:v>
                </c:pt>
                <c:pt idx="5">
                  <c:v>Buen Gobierno</c:v>
                </c:pt>
                <c:pt idx="6">
                  <c:v>Fe en el Peru</c:v>
                </c:pt>
                <c:pt idx="7">
                  <c:v>Libertad Popular</c:v>
                </c:pt>
                <c:pt idx="8">
                  <c:v>PPP</c:v>
                </c:pt>
                <c:pt idx="9">
                  <c:v>PTE</c:v>
                </c:pt>
                <c:pt idx="10">
                  <c:v>Unido Perú</c:v>
                </c:pt>
                <c:pt idx="11">
                  <c:v>Alianza para el Progreso</c:v>
                </c:pt>
                <c:pt idx="12">
                  <c:v>Peru Primero</c:v>
                </c:pt>
                <c:pt idx="13">
                  <c:v>Somos Perú</c:v>
                </c:pt>
                <c:pt idx="14">
                  <c:v>Peru Federal</c:v>
                </c:pt>
                <c:pt idx="15">
                  <c:v>Primero La Gente</c:v>
                </c:pt>
                <c:pt idx="16">
                  <c:v>Si Creo</c:v>
                </c:pt>
                <c:pt idx="17">
                  <c:v>Pais para Todos</c:v>
                </c:pt>
                <c:pt idx="18">
                  <c:v>Unidad Nacional</c:v>
                </c:pt>
                <c:pt idx="19">
                  <c:v>Frente de la Esperanza</c:v>
                </c:pt>
                <c:pt idx="20">
                  <c:v>PRIN</c:v>
                </c:pt>
                <c:pt idx="21">
                  <c:v>APRA</c:v>
                </c:pt>
                <c:pt idx="22">
                  <c:v>Renovación Popular</c:v>
                </c:pt>
                <c:pt idx="23">
                  <c:v>Venceremos</c:v>
                </c:pt>
                <c:pt idx="24">
                  <c:v>Fuerza y Libertad</c:v>
                </c:pt>
                <c:pt idx="25">
                  <c:v>Juntos por el Perú</c:v>
                </c:pt>
                <c:pt idx="26">
                  <c:v>Verde</c:v>
                </c:pt>
                <c:pt idx="27">
                  <c:v>Obras</c:v>
                </c:pt>
                <c:pt idx="28">
                  <c:v>Podemos Perú</c:v>
                </c:pt>
                <c:pt idx="29">
                  <c:v>Avanza Pais</c:v>
                </c:pt>
                <c:pt idx="30">
                  <c:v>Integridad Democrática</c:v>
                </c:pt>
                <c:pt idx="31">
                  <c:v>Peru Acción</c:v>
                </c:pt>
                <c:pt idx="32">
                  <c:v>FREPAP</c:v>
                </c:pt>
                <c:pt idx="33">
                  <c:v>Progresemos</c:v>
                </c:pt>
                <c:pt idx="34">
                  <c:v>Un Camino Diferente</c:v>
                </c:pt>
              </c:strCache>
            </c:strRef>
          </c:cat>
          <c:val>
            <c:numRef>
              <c:f>'Op4'!$C$123:$C$157</c:f>
              <c:numCache>
                <c:formatCode>0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10</c:v>
                </c:pt>
                <c:pt idx="30">
                  <c:v>14</c:v>
                </c:pt>
                <c:pt idx="31">
                  <c:v>15</c:v>
                </c:pt>
                <c:pt idx="32">
                  <c:v>22</c:v>
                </c:pt>
                <c:pt idx="33">
                  <c:v>22</c:v>
                </c:pt>
                <c:pt idx="3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C-48C9-83AB-3B0D15CEA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'Op4'!$B$166:$B$200</c:f>
              <c:strCache>
                <c:ptCount val="35"/>
                <c:pt idx="0">
                  <c:v>Un Camino Diferente</c:v>
                </c:pt>
                <c:pt idx="1">
                  <c:v>FREPAP</c:v>
                </c:pt>
                <c:pt idx="2">
                  <c:v>Peru Acción</c:v>
                </c:pt>
                <c:pt idx="3">
                  <c:v>Verde</c:v>
                </c:pt>
                <c:pt idx="4">
                  <c:v>Obras</c:v>
                </c:pt>
                <c:pt idx="5">
                  <c:v>Progresemos</c:v>
                </c:pt>
                <c:pt idx="6">
                  <c:v>Cooperación Popular</c:v>
                </c:pt>
                <c:pt idx="7">
                  <c:v>PPP</c:v>
                </c:pt>
                <c:pt idx="8">
                  <c:v>Integridad Democrática</c:v>
                </c:pt>
                <c:pt idx="9">
                  <c:v>PRIN</c:v>
                </c:pt>
                <c:pt idx="10">
                  <c:v>Unido Perú</c:v>
                </c:pt>
                <c:pt idx="11">
                  <c:v>Fe en el Peru</c:v>
                </c:pt>
                <c:pt idx="12">
                  <c:v>PTE</c:v>
                </c:pt>
                <c:pt idx="13">
                  <c:v>Frente de la Esperanza</c:v>
                </c:pt>
                <c:pt idx="14">
                  <c:v>Buen Gobierno</c:v>
                </c:pt>
                <c:pt idx="15">
                  <c:v>Fuerza y Libertad</c:v>
                </c:pt>
                <c:pt idx="16">
                  <c:v>Si Creo</c:v>
                </c:pt>
                <c:pt idx="17">
                  <c:v>Peru Federal</c:v>
                </c:pt>
                <c:pt idx="18">
                  <c:v>Venceremos</c:v>
                </c:pt>
                <c:pt idx="19">
                  <c:v>Pais para Todos</c:v>
                </c:pt>
                <c:pt idx="20">
                  <c:v>Juntos por el Perú</c:v>
                </c:pt>
                <c:pt idx="21">
                  <c:v>Ahora Nación</c:v>
                </c:pt>
                <c:pt idx="22">
                  <c:v>Partido Morado</c:v>
                </c:pt>
                <c:pt idx="23">
                  <c:v>Peru Primero</c:v>
                </c:pt>
                <c:pt idx="24">
                  <c:v>Libertad Popular</c:v>
                </c:pt>
                <c:pt idx="25">
                  <c:v>Somos Perú</c:v>
                </c:pt>
                <c:pt idx="26">
                  <c:v>APRA</c:v>
                </c:pt>
                <c:pt idx="27">
                  <c:v>Unidad Nacional</c:v>
                </c:pt>
                <c:pt idx="28">
                  <c:v>Peru Libre</c:v>
                </c:pt>
                <c:pt idx="29">
                  <c:v>Avanza Pais</c:v>
                </c:pt>
                <c:pt idx="30">
                  <c:v>Renovación Popular</c:v>
                </c:pt>
                <c:pt idx="31">
                  <c:v>Fuerza Popular</c:v>
                </c:pt>
                <c:pt idx="32">
                  <c:v>Primero La Gente</c:v>
                </c:pt>
                <c:pt idx="33">
                  <c:v>Podemos Perú</c:v>
                </c:pt>
                <c:pt idx="34">
                  <c:v>Alianza para el Progreso</c:v>
                </c:pt>
              </c:strCache>
            </c:strRef>
          </c:cat>
          <c:val>
            <c:numRef>
              <c:f>'Op4'!$C$166:$C$200</c:f>
              <c:numCache>
                <c:formatCode>0</c:formatCode>
                <c:ptCount val="35"/>
                <c:pt idx="0">
                  <c:v>301.32402777777776</c:v>
                </c:pt>
                <c:pt idx="1">
                  <c:v>1215.6089722222221</c:v>
                </c:pt>
                <c:pt idx="2">
                  <c:v>2006.7844827586205</c:v>
                </c:pt>
                <c:pt idx="3">
                  <c:v>2099.0719827586208</c:v>
                </c:pt>
                <c:pt idx="4">
                  <c:v>2769.8313611111107</c:v>
                </c:pt>
                <c:pt idx="5">
                  <c:v>3332.6196551724142</c:v>
                </c:pt>
                <c:pt idx="6">
                  <c:v>3355.883928571428</c:v>
                </c:pt>
                <c:pt idx="7">
                  <c:v>3655.7755128205131</c:v>
                </c:pt>
                <c:pt idx="8">
                  <c:v>3869.7260277777777</c:v>
                </c:pt>
                <c:pt idx="9">
                  <c:v>4237.8200320512824</c:v>
                </c:pt>
                <c:pt idx="10">
                  <c:v>4439.0219907407409</c:v>
                </c:pt>
                <c:pt idx="11">
                  <c:v>4809.5549999999985</c:v>
                </c:pt>
                <c:pt idx="12">
                  <c:v>5187.0457246376809</c:v>
                </c:pt>
                <c:pt idx="13">
                  <c:v>5274.1465517241386</c:v>
                </c:pt>
                <c:pt idx="14">
                  <c:v>6373.2588888888868</c:v>
                </c:pt>
                <c:pt idx="15">
                  <c:v>6745.8043452380953</c:v>
                </c:pt>
                <c:pt idx="16">
                  <c:v>6754.4303571428545</c:v>
                </c:pt>
                <c:pt idx="17">
                  <c:v>6968.4734027777777</c:v>
                </c:pt>
                <c:pt idx="18">
                  <c:v>7024.084404761903</c:v>
                </c:pt>
                <c:pt idx="19">
                  <c:v>7261.4848611111111</c:v>
                </c:pt>
                <c:pt idx="20">
                  <c:v>8226.7181111111113</c:v>
                </c:pt>
                <c:pt idx="21">
                  <c:v>8509.7649107142861</c:v>
                </c:pt>
                <c:pt idx="22">
                  <c:v>8654.14857142857</c:v>
                </c:pt>
                <c:pt idx="23">
                  <c:v>8740.4684523809519</c:v>
                </c:pt>
                <c:pt idx="24">
                  <c:v>9145.1447839506181</c:v>
                </c:pt>
                <c:pt idx="25">
                  <c:v>9184.3301488095258</c:v>
                </c:pt>
                <c:pt idx="26">
                  <c:v>9421.012270114943</c:v>
                </c:pt>
                <c:pt idx="27">
                  <c:v>9451.9023888888896</c:v>
                </c:pt>
                <c:pt idx="28">
                  <c:v>12131.860972222221</c:v>
                </c:pt>
                <c:pt idx="29">
                  <c:v>14076.754433333332</c:v>
                </c:pt>
                <c:pt idx="30">
                  <c:v>15310.844109195406</c:v>
                </c:pt>
                <c:pt idx="31">
                  <c:v>16195.718083333331</c:v>
                </c:pt>
                <c:pt idx="32">
                  <c:v>21686.197561728393</c:v>
                </c:pt>
                <c:pt idx="33">
                  <c:v>39105.942701149419</c:v>
                </c:pt>
                <c:pt idx="34">
                  <c:v>42399.069827586209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7-4373-AF79-DE6491CB5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'Op4'!$B$206:$B$240</c:f>
              <c:strCache>
                <c:ptCount val="35"/>
                <c:pt idx="0">
                  <c:v>Un Camino Diferente</c:v>
                </c:pt>
                <c:pt idx="1">
                  <c:v>Cooperación Popular</c:v>
                </c:pt>
                <c:pt idx="2">
                  <c:v>Verde</c:v>
                </c:pt>
                <c:pt idx="3">
                  <c:v>PPP</c:v>
                </c:pt>
                <c:pt idx="4">
                  <c:v>Peru Acción</c:v>
                </c:pt>
                <c:pt idx="5">
                  <c:v>Obras</c:v>
                </c:pt>
                <c:pt idx="6">
                  <c:v>FREPAP</c:v>
                </c:pt>
                <c:pt idx="7">
                  <c:v>Unido Perú</c:v>
                </c:pt>
                <c:pt idx="8">
                  <c:v>PRIN</c:v>
                </c:pt>
                <c:pt idx="9">
                  <c:v>Fe en el Peru</c:v>
                </c:pt>
                <c:pt idx="10">
                  <c:v>PTE</c:v>
                </c:pt>
                <c:pt idx="11">
                  <c:v>Buen Gobierno</c:v>
                </c:pt>
                <c:pt idx="12">
                  <c:v>Peru Federal</c:v>
                </c:pt>
                <c:pt idx="13">
                  <c:v>Frente de la Esperanza</c:v>
                </c:pt>
                <c:pt idx="14">
                  <c:v>Integridad Democrática</c:v>
                </c:pt>
                <c:pt idx="15">
                  <c:v>Si Creo</c:v>
                </c:pt>
                <c:pt idx="16">
                  <c:v>Venceremos</c:v>
                </c:pt>
                <c:pt idx="17">
                  <c:v>Fuerza y Libertad</c:v>
                </c:pt>
                <c:pt idx="18">
                  <c:v>Ahora Nación</c:v>
                </c:pt>
                <c:pt idx="19">
                  <c:v>Partido Morado</c:v>
                </c:pt>
                <c:pt idx="20">
                  <c:v>Pais para Todos</c:v>
                </c:pt>
                <c:pt idx="21">
                  <c:v>Juntos por el Perú</c:v>
                </c:pt>
                <c:pt idx="22">
                  <c:v>Peru Primero</c:v>
                </c:pt>
                <c:pt idx="23">
                  <c:v>Somos Perú</c:v>
                </c:pt>
                <c:pt idx="24">
                  <c:v>Podemos Perú</c:v>
                </c:pt>
                <c:pt idx="25">
                  <c:v>Unidad Nacional</c:v>
                </c:pt>
                <c:pt idx="26">
                  <c:v>Primero La Gente</c:v>
                </c:pt>
                <c:pt idx="27">
                  <c:v>Libertad Popular</c:v>
                </c:pt>
                <c:pt idx="28">
                  <c:v>Progresemos</c:v>
                </c:pt>
                <c:pt idx="29">
                  <c:v>APRA</c:v>
                </c:pt>
                <c:pt idx="30">
                  <c:v>Peru Libre</c:v>
                </c:pt>
                <c:pt idx="31">
                  <c:v>Renovación Popular</c:v>
                </c:pt>
                <c:pt idx="32">
                  <c:v>Fuerza Popular</c:v>
                </c:pt>
                <c:pt idx="33">
                  <c:v>Alianza para el Progreso</c:v>
                </c:pt>
                <c:pt idx="34">
                  <c:v>Avanza Pais</c:v>
                </c:pt>
              </c:strCache>
            </c:strRef>
          </c:cat>
          <c:val>
            <c:numRef>
              <c:f>'Op4'!$C$206:$C$240</c:f>
              <c:numCache>
                <c:formatCode>0</c:formatCode>
                <c:ptCount val="35"/>
                <c:pt idx="0">
                  <c:v>1179.9069444444442</c:v>
                </c:pt>
                <c:pt idx="1">
                  <c:v>1885.5771604938273</c:v>
                </c:pt>
                <c:pt idx="2">
                  <c:v>2283.5168750000003</c:v>
                </c:pt>
                <c:pt idx="3">
                  <c:v>2747.6182608695658</c:v>
                </c:pt>
                <c:pt idx="4">
                  <c:v>3201.0320512820513</c:v>
                </c:pt>
                <c:pt idx="5">
                  <c:v>3308.4868421052633</c:v>
                </c:pt>
                <c:pt idx="6">
                  <c:v>3958.9379761904761</c:v>
                </c:pt>
                <c:pt idx="7">
                  <c:v>4105.0597222222223</c:v>
                </c:pt>
                <c:pt idx="8">
                  <c:v>4132.4554824561401</c:v>
                </c:pt>
                <c:pt idx="9">
                  <c:v>4705.0479166666664</c:v>
                </c:pt>
                <c:pt idx="10">
                  <c:v>4911.6059649122799</c:v>
                </c:pt>
                <c:pt idx="11">
                  <c:v>5266.1580246913582</c:v>
                </c:pt>
                <c:pt idx="12">
                  <c:v>5808.3085087719301</c:v>
                </c:pt>
                <c:pt idx="13">
                  <c:v>6193.193181818182</c:v>
                </c:pt>
                <c:pt idx="14">
                  <c:v>6195.9687222222228</c:v>
                </c:pt>
                <c:pt idx="15">
                  <c:v>6318.5275362318844</c:v>
                </c:pt>
                <c:pt idx="16">
                  <c:v>6629.4893750000001</c:v>
                </c:pt>
                <c:pt idx="17">
                  <c:v>6684.7399561403508</c:v>
                </c:pt>
                <c:pt idx="18">
                  <c:v>6872.4074382716044</c:v>
                </c:pt>
                <c:pt idx="19">
                  <c:v>6928.5958974358964</c:v>
                </c:pt>
                <c:pt idx="20">
                  <c:v>7635.3224074074078</c:v>
                </c:pt>
                <c:pt idx="21">
                  <c:v>7985.3433333333342</c:v>
                </c:pt>
                <c:pt idx="22">
                  <c:v>8821.5954861111113</c:v>
                </c:pt>
                <c:pt idx="23">
                  <c:v>9126.2532291666685</c:v>
                </c:pt>
                <c:pt idx="24">
                  <c:v>9165.9559166666677</c:v>
                </c:pt>
                <c:pt idx="25">
                  <c:v>9506.6952083333326</c:v>
                </c:pt>
                <c:pt idx="26">
                  <c:v>9599.9621590909082</c:v>
                </c:pt>
                <c:pt idx="27">
                  <c:v>9840.3712152777789</c:v>
                </c:pt>
                <c:pt idx="28">
                  <c:v>10289.161666666667</c:v>
                </c:pt>
                <c:pt idx="29">
                  <c:v>10545.747103174603</c:v>
                </c:pt>
                <c:pt idx="30">
                  <c:v>11726.846279761903</c:v>
                </c:pt>
                <c:pt idx="31">
                  <c:v>13614.284722222223</c:v>
                </c:pt>
                <c:pt idx="32">
                  <c:v>15141.925555555556</c:v>
                </c:pt>
                <c:pt idx="33">
                  <c:v>16393.700999999997</c:v>
                </c:pt>
                <c:pt idx="34">
                  <c:v>20119.150773809524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F-4A4B-ACF6-F915EBA4F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'Op4'!$B$245:$B$279</c:f>
              <c:strCache>
                <c:ptCount val="35"/>
                <c:pt idx="0">
                  <c:v>FREPAP</c:v>
                </c:pt>
                <c:pt idx="1">
                  <c:v>Integridad Democrática</c:v>
                </c:pt>
                <c:pt idx="2">
                  <c:v>Progresemos</c:v>
                </c:pt>
                <c:pt idx="3">
                  <c:v>PPP</c:v>
                </c:pt>
                <c:pt idx="4">
                  <c:v>Libertad Popular</c:v>
                </c:pt>
                <c:pt idx="5">
                  <c:v>Peru Acción</c:v>
                </c:pt>
                <c:pt idx="6">
                  <c:v>Fuerza y Libertad</c:v>
                </c:pt>
                <c:pt idx="7">
                  <c:v>Buen Gobierno</c:v>
                </c:pt>
                <c:pt idx="8">
                  <c:v>Obras</c:v>
                </c:pt>
                <c:pt idx="9">
                  <c:v>PRIN</c:v>
                </c:pt>
                <c:pt idx="10">
                  <c:v>PTE</c:v>
                </c:pt>
                <c:pt idx="11">
                  <c:v>Si Creo</c:v>
                </c:pt>
                <c:pt idx="12">
                  <c:v>Un Camino Diferente</c:v>
                </c:pt>
                <c:pt idx="13">
                  <c:v>Ahora Nación</c:v>
                </c:pt>
                <c:pt idx="14">
                  <c:v>Primero La Gente</c:v>
                </c:pt>
                <c:pt idx="15">
                  <c:v>Pais para Todos</c:v>
                </c:pt>
                <c:pt idx="16">
                  <c:v>Cooperación Popular</c:v>
                </c:pt>
                <c:pt idx="17">
                  <c:v>Frente de la Esperanza</c:v>
                </c:pt>
                <c:pt idx="18">
                  <c:v>Unidad Nacional</c:v>
                </c:pt>
                <c:pt idx="19">
                  <c:v>Fe en el Peru</c:v>
                </c:pt>
                <c:pt idx="20">
                  <c:v>Unido Perú</c:v>
                </c:pt>
                <c:pt idx="21">
                  <c:v>Verde</c:v>
                </c:pt>
                <c:pt idx="22">
                  <c:v>Peru Primero</c:v>
                </c:pt>
                <c:pt idx="23">
                  <c:v>Peru Federal</c:v>
                </c:pt>
                <c:pt idx="24">
                  <c:v>APRA</c:v>
                </c:pt>
                <c:pt idx="25">
                  <c:v>Alianza para el Progreso</c:v>
                </c:pt>
                <c:pt idx="26">
                  <c:v>Avanza Pais</c:v>
                </c:pt>
                <c:pt idx="27">
                  <c:v>Fuerza Popular</c:v>
                </c:pt>
                <c:pt idx="28">
                  <c:v>Juntos por el Perú</c:v>
                </c:pt>
                <c:pt idx="29">
                  <c:v>Partido Morado</c:v>
                </c:pt>
                <c:pt idx="30">
                  <c:v>Peru Libre</c:v>
                </c:pt>
                <c:pt idx="31">
                  <c:v>Podemos Perú</c:v>
                </c:pt>
                <c:pt idx="32">
                  <c:v>Renovación Popular</c:v>
                </c:pt>
                <c:pt idx="33">
                  <c:v>Somos Perú</c:v>
                </c:pt>
                <c:pt idx="34">
                  <c:v>Venceremos</c:v>
                </c:pt>
              </c:strCache>
            </c:strRef>
          </c:cat>
          <c:val>
            <c:numRef>
              <c:f>'Op4'!$C$245:$C$279</c:f>
              <c:numCache>
                <c:formatCode>0%</c:formatCode>
                <c:ptCount val="35"/>
                <c:pt idx="0">
                  <c:v>0</c:v>
                </c:pt>
                <c:pt idx="1">
                  <c:v>0.11666666666666667</c:v>
                </c:pt>
                <c:pt idx="2">
                  <c:v>0.12280701754385964</c:v>
                </c:pt>
                <c:pt idx="3">
                  <c:v>0.13207547169811321</c:v>
                </c:pt>
                <c:pt idx="4">
                  <c:v>0.14035087719298245</c:v>
                </c:pt>
                <c:pt idx="5">
                  <c:v>0.17241379310344829</c:v>
                </c:pt>
                <c:pt idx="6">
                  <c:v>0.18181818181818182</c:v>
                </c:pt>
                <c:pt idx="7">
                  <c:v>0.18333333333333332</c:v>
                </c:pt>
                <c:pt idx="8">
                  <c:v>0.18333333333333332</c:v>
                </c:pt>
                <c:pt idx="9">
                  <c:v>0.2</c:v>
                </c:pt>
                <c:pt idx="10">
                  <c:v>0.21276595744680851</c:v>
                </c:pt>
                <c:pt idx="11">
                  <c:v>0.21428571428571427</c:v>
                </c:pt>
                <c:pt idx="12">
                  <c:v>0.25</c:v>
                </c:pt>
                <c:pt idx="13">
                  <c:v>0.27777777777777779</c:v>
                </c:pt>
                <c:pt idx="14">
                  <c:v>0.2857142857142857</c:v>
                </c:pt>
                <c:pt idx="15">
                  <c:v>0.28846153846153844</c:v>
                </c:pt>
                <c:pt idx="16">
                  <c:v>0.29090909090909089</c:v>
                </c:pt>
                <c:pt idx="17">
                  <c:v>0.31034482758620691</c:v>
                </c:pt>
                <c:pt idx="18">
                  <c:v>0.33333333333333331</c:v>
                </c:pt>
                <c:pt idx="19">
                  <c:v>0.35714285714285715</c:v>
                </c:pt>
                <c:pt idx="20">
                  <c:v>0.35714285714285715</c:v>
                </c:pt>
                <c:pt idx="21">
                  <c:v>0.42</c:v>
                </c:pt>
                <c:pt idx="22">
                  <c:v>0.45614035087719296</c:v>
                </c:pt>
                <c:pt idx="23">
                  <c:v>0.48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2-4416-9133-271CE9326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'Op4'!$B$285:$B$319</c:f>
              <c:strCache>
                <c:ptCount val="35"/>
                <c:pt idx="0">
                  <c:v>Integridad Democrática</c:v>
                </c:pt>
                <c:pt idx="1">
                  <c:v>PPP</c:v>
                </c:pt>
                <c:pt idx="2">
                  <c:v>Libertad Popular</c:v>
                </c:pt>
                <c:pt idx="3">
                  <c:v>Peru Acción</c:v>
                </c:pt>
                <c:pt idx="4">
                  <c:v>Buen Gobierno</c:v>
                </c:pt>
                <c:pt idx="5">
                  <c:v>Obras</c:v>
                </c:pt>
                <c:pt idx="6">
                  <c:v>PRIN</c:v>
                </c:pt>
                <c:pt idx="7">
                  <c:v>PTE</c:v>
                </c:pt>
                <c:pt idx="8">
                  <c:v>Un Camino Diferente</c:v>
                </c:pt>
                <c:pt idx="9">
                  <c:v>Pais para Todos</c:v>
                </c:pt>
                <c:pt idx="10">
                  <c:v>Frente de la Esperanza</c:v>
                </c:pt>
                <c:pt idx="11">
                  <c:v>Fe en el Peru</c:v>
                </c:pt>
                <c:pt idx="12">
                  <c:v>Unido Perú</c:v>
                </c:pt>
                <c:pt idx="13">
                  <c:v>Verde</c:v>
                </c:pt>
                <c:pt idx="14">
                  <c:v>Peru Federal</c:v>
                </c:pt>
                <c:pt idx="15">
                  <c:v>APRA</c:v>
                </c:pt>
                <c:pt idx="16">
                  <c:v>FREPAP</c:v>
                </c:pt>
                <c:pt idx="17">
                  <c:v>Fuerza y Libertad</c:v>
                </c:pt>
                <c:pt idx="18">
                  <c:v>Primero La Gente</c:v>
                </c:pt>
                <c:pt idx="19">
                  <c:v>Partido Morado</c:v>
                </c:pt>
                <c:pt idx="20">
                  <c:v>Cooperación Popular</c:v>
                </c:pt>
                <c:pt idx="21">
                  <c:v>Progresemos</c:v>
                </c:pt>
                <c:pt idx="22">
                  <c:v>Ahora Nación</c:v>
                </c:pt>
                <c:pt idx="23">
                  <c:v>Unidad Nacional</c:v>
                </c:pt>
                <c:pt idx="24">
                  <c:v>Venceremos</c:v>
                </c:pt>
                <c:pt idx="25">
                  <c:v>Si Creo</c:v>
                </c:pt>
                <c:pt idx="26">
                  <c:v>Peru Primero</c:v>
                </c:pt>
                <c:pt idx="27">
                  <c:v>Avanza Pais</c:v>
                </c:pt>
                <c:pt idx="28">
                  <c:v>Renovación Popular</c:v>
                </c:pt>
                <c:pt idx="29">
                  <c:v>Somos Perú</c:v>
                </c:pt>
                <c:pt idx="30">
                  <c:v>Alianza para el Progreso</c:v>
                </c:pt>
                <c:pt idx="31">
                  <c:v>Juntos por el Perú</c:v>
                </c:pt>
                <c:pt idx="32">
                  <c:v>Podemos Perú</c:v>
                </c:pt>
                <c:pt idx="33">
                  <c:v>Fuerza Popular</c:v>
                </c:pt>
                <c:pt idx="34">
                  <c:v>Peru Libre</c:v>
                </c:pt>
              </c:strCache>
            </c:strRef>
          </c:cat>
          <c:val>
            <c:numRef>
              <c:f>'Op4'!$C$285:$C$319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B-44B9-92BF-1901BE206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'Op4'!$B$324:$B$358</c:f>
              <c:strCache>
                <c:ptCount val="35"/>
                <c:pt idx="0">
                  <c:v>Fe en el Peru</c:v>
                </c:pt>
                <c:pt idx="1">
                  <c:v>Unido Perú</c:v>
                </c:pt>
                <c:pt idx="2">
                  <c:v>PTE</c:v>
                </c:pt>
                <c:pt idx="3">
                  <c:v>Pais para Todos</c:v>
                </c:pt>
                <c:pt idx="4">
                  <c:v>Peru Federal</c:v>
                </c:pt>
                <c:pt idx="5">
                  <c:v>Avanza Pais</c:v>
                </c:pt>
                <c:pt idx="6">
                  <c:v>PRIN</c:v>
                </c:pt>
                <c:pt idx="7">
                  <c:v>PPP</c:v>
                </c:pt>
                <c:pt idx="8">
                  <c:v>Primero La Gente</c:v>
                </c:pt>
                <c:pt idx="9">
                  <c:v>Libertad Popular</c:v>
                </c:pt>
                <c:pt idx="10">
                  <c:v>Fuerza y Libertad</c:v>
                </c:pt>
                <c:pt idx="11">
                  <c:v>Venceremos</c:v>
                </c:pt>
                <c:pt idx="12">
                  <c:v>Si Creo</c:v>
                </c:pt>
                <c:pt idx="13">
                  <c:v>Peru Primero</c:v>
                </c:pt>
                <c:pt idx="14">
                  <c:v>Somos Perú</c:v>
                </c:pt>
                <c:pt idx="15">
                  <c:v>Partido Morado</c:v>
                </c:pt>
                <c:pt idx="16">
                  <c:v>Cooperación Popular</c:v>
                </c:pt>
                <c:pt idx="17">
                  <c:v>Ahora Nación</c:v>
                </c:pt>
                <c:pt idx="18">
                  <c:v>Progresemos</c:v>
                </c:pt>
                <c:pt idx="19">
                  <c:v>Peru Acción</c:v>
                </c:pt>
                <c:pt idx="20">
                  <c:v>Podemos Perú</c:v>
                </c:pt>
                <c:pt idx="21">
                  <c:v>Verde</c:v>
                </c:pt>
                <c:pt idx="22">
                  <c:v>APRA</c:v>
                </c:pt>
                <c:pt idx="23">
                  <c:v>Renovación Popular</c:v>
                </c:pt>
                <c:pt idx="24">
                  <c:v>Frente de la Esperanza</c:v>
                </c:pt>
                <c:pt idx="25">
                  <c:v>Alianza para el Progreso</c:v>
                </c:pt>
                <c:pt idx="26">
                  <c:v>Un Camino Diferente</c:v>
                </c:pt>
                <c:pt idx="27">
                  <c:v>FREPAP</c:v>
                </c:pt>
                <c:pt idx="28">
                  <c:v>Integridad Democrática</c:v>
                </c:pt>
                <c:pt idx="29">
                  <c:v>Obras</c:v>
                </c:pt>
                <c:pt idx="30">
                  <c:v>Juntos por el Perú</c:v>
                </c:pt>
                <c:pt idx="31">
                  <c:v>Unidad Nacional</c:v>
                </c:pt>
                <c:pt idx="32">
                  <c:v>Buen Gobierno</c:v>
                </c:pt>
                <c:pt idx="33">
                  <c:v>Fuerza Popular</c:v>
                </c:pt>
                <c:pt idx="34">
                  <c:v>Peru Libre</c:v>
                </c:pt>
              </c:strCache>
            </c:strRef>
          </c:cat>
          <c:val>
            <c:numRef>
              <c:f>'Op4'!$C$324:$C$358</c:f>
              <c:numCache>
                <c:formatCode>General</c:formatCode>
                <c:ptCount val="35"/>
                <c:pt idx="0">
                  <c:v>18</c:v>
                </c:pt>
                <c:pt idx="1">
                  <c:v>18</c:v>
                </c:pt>
                <c:pt idx="2">
                  <c:v>23</c:v>
                </c:pt>
                <c:pt idx="3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28</c:v>
                </c:pt>
                <c:pt idx="12">
                  <c:v>28</c:v>
                </c:pt>
                <c:pt idx="13">
                  <c:v>28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9-4318-AB0C-ABE4434F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4275487"/>
        <c:axId val="744272575"/>
      </c:barChart>
      <c:catAx>
        <c:axId val="74427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2575"/>
        <c:crosses val="autoZero"/>
        <c:auto val="1"/>
        <c:lblAlgn val="ctr"/>
        <c:lblOffset val="100"/>
        <c:noMultiLvlLbl val="0"/>
      </c:catAx>
      <c:valAx>
        <c:axId val="744272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27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2966805958691949"/>
          <c:y val="3.24074227563659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787970253718287"/>
          <c:y val="0.15460629921259841"/>
          <c:w val="0.46008770778652669"/>
          <c:h val="0.7835101341498979"/>
        </c:manualLayout>
      </c:layout>
      <c:radarChart>
        <c:radarStyle val="marker"/>
        <c:varyColors val="0"/>
        <c:ser>
          <c:idx val="0"/>
          <c:order val="0"/>
          <c:tx>
            <c:strRef>
              <c:f>Grafica!$A$3</c:f>
              <c:strCache>
                <c:ptCount val="1"/>
                <c:pt idx="0">
                  <c:v>Renovación Popular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Grafica!$B$2:$H$2</c:f>
              <c:strCache>
                <c:ptCount val="7"/>
                <c:pt idx="0">
                  <c:v>Sin Sentencias</c:v>
                </c:pt>
                <c:pt idx="1">
                  <c:v>Preparación          (Max 8.41)</c:v>
                </c:pt>
                <c:pt idx="2">
                  <c:v>Ingresos Nulos</c:v>
                </c:pt>
                <c:pt idx="3">
                  <c:v>Ingresos Efectivos (Max 20,119)</c:v>
                </c:pt>
                <c:pt idx="4">
                  <c:v>Libre del Pacto</c:v>
                </c:pt>
                <c:pt idx="5">
                  <c:v>Sin Reelección</c:v>
                </c:pt>
                <c:pt idx="6">
                  <c:v>Equipo Completo</c:v>
                </c:pt>
              </c:strCache>
            </c:strRef>
          </c:cat>
          <c:val>
            <c:numRef>
              <c:f>Grafica!$B$3:$H$3</c:f>
              <c:numCache>
                <c:formatCode>0</c:formatCode>
                <c:ptCount val="7"/>
                <c:pt idx="0">
                  <c:v>82.758620689655174</c:v>
                </c:pt>
                <c:pt idx="1">
                  <c:v>69.26229508196721</c:v>
                </c:pt>
                <c:pt idx="2">
                  <c:v>76.666666666666671</c:v>
                </c:pt>
                <c:pt idx="3">
                  <c:v>67.668287172164682</c:v>
                </c:pt>
                <c:pt idx="4">
                  <c:v>0</c:v>
                </c:pt>
                <c:pt idx="5">
                  <c:v>93.333333333333329</c:v>
                </c:pt>
                <c:pt idx="6">
                  <c:v>96.666666666666671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9-4607-BE01-30CC0BFF2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7535"/>
        <c:axId val="84389199"/>
      </c:radarChart>
      <c:catAx>
        <c:axId val="8438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9199"/>
        <c:crosses val="autoZero"/>
        <c:auto val="1"/>
        <c:lblAlgn val="ctr"/>
        <c:lblOffset val="100"/>
        <c:noMultiLvlLbl val="0"/>
      </c:catAx>
      <c:valAx>
        <c:axId val="84389199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44</xdr:row>
      <xdr:rowOff>26670</xdr:rowOff>
    </xdr:from>
    <xdr:to>
      <xdr:col>11</xdr:col>
      <xdr:colOff>769620</xdr:colOff>
      <xdr:row>76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FB5ED5-0FBB-4759-991A-02AA8F1C2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350520</xdr:colOff>
      <xdr:row>76</xdr:row>
      <xdr:rowOff>114300</xdr:rowOff>
    </xdr:from>
    <xdr:to>
      <xdr:col>11</xdr:col>
      <xdr:colOff>525780</xdr:colOff>
      <xdr:row>78</xdr:row>
      <xdr:rowOff>30480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17BF9F7C-04D8-47DB-B9A6-5AD0342E4FDB}"/>
            </a:ext>
          </a:extLst>
        </xdr:cNvPr>
        <xdr:cNvSpPr txBox="1"/>
      </xdr:nvSpPr>
      <xdr:spPr>
        <a:xfrm>
          <a:off x="7277100" y="1401318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Porcentaje</a:t>
          </a:r>
          <a:r>
            <a:rPr lang="en-US" sz="1100" baseline="0"/>
            <a:t> de Candidatos Activos con Sentencia Firme</a:t>
          </a:r>
        </a:p>
      </xdr:txBody>
    </xdr:sp>
    <xdr:clientData/>
  </xdr:twoCellAnchor>
  <xdr:twoCellAnchor>
    <xdr:from>
      <xdr:col>6</xdr:col>
      <xdr:colOff>45720</xdr:colOff>
      <xdr:row>88</xdr:row>
      <xdr:rowOff>152400</xdr:rowOff>
    </xdr:from>
    <xdr:to>
      <xdr:col>11</xdr:col>
      <xdr:colOff>769620</xdr:colOff>
      <xdr:row>119</xdr:row>
      <xdr:rowOff>83820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B77C23-E128-4514-8505-65FBBC641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266700</xdr:colOff>
      <xdr:row>119</xdr:row>
      <xdr:rowOff>7620</xdr:rowOff>
    </xdr:from>
    <xdr:to>
      <xdr:col>11</xdr:col>
      <xdr:colOff>441960</xdr:colOff>
      <xdr:row>120</xdr:row>
      <xdr:rowOff>106680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7500F1A6-09D0-4BEA-BB77-8B1F05178BC2}"/>
            </a:ext>
          </a:extLst>
        </xdr:cNvPr>
        <xdr:cNvSpPr txBox="1"/>
      </xdr:nvSpPr>
      <xdr:spPr>
        <a:xfrm>
          <a:off x="7193280" y="2177034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Índice de Preparación (0</a:t>
          </a:r>
          <a:r>
            <a:rPr lang="en-US" sz="1100" baseline="0"/>
            <a:t> a 20)</a:t>
          </a:r>
        </a:p>
      </xdr:txBody>
    </xdr:sp>
    <xdr:clientData/>
  </xdr:twoCellAnchor>
  <xdr:twoCellAnchor>
    <xdr:from>
      <xdr:col>6</xdr:col>
      <xdr:colOff>53340</xdr:colOff>
      <xdr:row>62</xdr:row>
      <xdr:rowOff>152400</xdr:rowOff>
    </xdr:from>
    <xdr:to>
      <xdr:col>11</xdr:col>
      <xdr:colOff>624840</xdr:colOff>
      <xdr:row>62</xdr:row>
      <xdr:rowOff>160020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E273C228-4961-492F-9FC8-D55AD0937342}"/>
            </a:ext>
          </a:extLst>
        </xdr:cNvPr>
        <xdr:cNvCxnSpPr/>
      </xdr:nvCxnSpPr>
      <xdr:spPr>
        <a:xfrm flipV="1">
          <a:off x="6035040" y="1149096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129540</xdr:colOff>
      <xdr:row>98</xdr:row>
      <xdr:rowOff>76200</xdr:rowOff>
    </xdr:from>
    <xdr:to>
      <xdr:col>11</xdr:col>
      <xdr:colOff>701040</xdr:colOff>
      <xdr:row>98</xdr:row>
      <xdr:rowOff>83820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926BBDE-F8C4-46E3-B4C4-287CD9DB462B}"/>
            </a:ext>
          </a:extLst>
        </xdr:cNvPr>
        <xdr:cNvCxnSpPr/>
      </xdr:nvCxnSpPr>
      <xdr:spPr>
        <a:xfrm flipV="1">
          <a:off x="6111240" y="1799844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708660</xdr:colOff>
      <xdr:row>89</xdr:row>
      <xdr:rowOff>129540</xdr:rowOff>
    </xdr:from>
    <xdr:to>
      <xdr:col>12</xdr:col>
      <xdr:colOff>228600</xdr:colOff>
      <xdr:row>95</xdr:row>
      <xdr:rowOff>60960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E14A740-698B-4CCB-B029-F2F08D3E7418}"/>
            </a:ext>
          </a:extLst>
        </xdr:cNvPr>
        <xdr:cNvSpPr txBox="1"/>
      </xdr:nvSpPr>
      <xdr:spPr>
        <a:xfrm>
          <a:off x="10469880" y="16405860"/>
          <a:ext cx="14097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En promedio, estos partidos presentan candidatos con preparación inferior a un bachillerato </a:t>
          </a:r>
          <a:endParaRPr lang="en-US" sz="1100" baseline="0"/>
        </a:p>
      </xdr:txBody>
    </xdr:sp>
    <xdr:clientData/>
  </xdr:twoCellAnchor>
  <xdr:twoCellAnchor>
    <xdr:from>
      <xdr:col>10</xdr:col>
      <xdr:colOff>624840</xdr:colOff>
      <xdr:row>102</xdr:row>
      <xdr:rowOff>68580</xdr:rowOff>
    </xdr:from>
    <xdr:to>
      <xdr:col>12</xdr:col>
      <xdr:colOff>144780</xdr:colOff>
      <xdr:row>108</xdr:row>
      <xdr:rowOff>0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3C9BA7F-FFAB-40E3-A96F-CC10C097AE2A}"/>
            </a:ext>
          </a:extLst>
        </xdr:cNvPr>
        <xdr:cNvSpPr txBox="1"/>
      </xdr:nvSpPr>
      <xdr:spPr>
        <a:xfrm>
          <a:off x="10386060" y="18722340"/>
          <a:ext cx="14097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En promedio, estos partidos presentan candidatos con preparación superior a un bachillerato </a:t>
          </a:r>
          <a:endParaRPr lang="en-US" sz="1100" baseline="0"/>
        </a:p>
      </xdr:txBody>
    </xdr:sp>
    <xdr:clientData/>
  </xdr:twoCellAnchor>
  <xdr:twoCellAnchor>
    <xdr:from>
      <xdr:col>6</xdr:col>
      <xdr:colOff>45720</xdr:colOff>
      <xdr:row>127</xdr:row>
      <xdr:rowOff>152400</xdr:rowOff>
    </xdr:from>
    <xdr:to>
      <xdr:col>11</xdr:col>
      <xdr:colOff>769620</xdr:colOff>
      <xdr:row>158</xdr:row>
      <xdr:rowOff>83820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16F61CE-DEF9-4C9E-BF3B-FF83B8991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266700</xdr:colOff>
      <xdr:row>158</xdr:row>
      <xdr:rowOff>7620</xdr:rowOff>
    </xdr:from>
    <xdr:to>
      <xdr:col>11</xdr:col>
      <xdr:colOff>441960</xdr:colOff>
      <xdr:row>159</xdr:row>
      <xdr:rowOff>106680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87B3D755-B817-4213-BCE3-DB47D7153F56}"/>
            </a:ext>
          </a:extLst>
        </xdr:cNvPr>
        <xdr:cNvSpPr txBox="1"/>
      </xdr:nvSpPr>
      <xdr:spPr>
        <a:xfrm>
          <a:off x="7193280" y="2177034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 de Candidatos que han</a:t>
          </a:r>
          <a:r>
            <a:rPr lang="en-US" sz="1100" baseline="0"/>
            <a:t> declarado ingreso S/ 0.00</a:t>
          </a:r>
        </a:p>
      </xdr:txBody>
    </xdr:sp>
    <xdr:clientData/>
  </xdr:twoCellAnchor>
  <xdr:twoCellAnchor>
    <xdr:from>
      <xdr:col>6</xdr:col>
      <xdr:colOff>167640</xdr:colOff>
      <xdr:row>141</xdr:row>
      <xdr:rowOff>91440</xdr:rowOff>
    </xdr:from>
    <xdr:to>
      <xdr:col>11</xdr:col>
      <xdr:colOff>739140</xdr:colOff>
      <xdr:row>141</xdr:row>
      <xdr:rowOff>99060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CBAF0EF1-D67C-4CCA-A503-57AE67A09B89}"/>
            </a:ext>
          </a:extLst>
        </xdr:cNvPr>
        <xdr:cNvCxnSpPr/>
      </xdr:nvCxnSpPr>
      <xdr:spPr>
        <a:xfrm flipV="1">
          <a:off x="6149340" y="2587752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167</xdr:row>
      <xdr:rowOff>152400</xdr:rowOff>
    </xdr:from>
    <xdr:to>
      <xdr:col>11</xdr:col>
      <xdr:colOff>769620</xdr:colOff>
      <xdr:row>198</xdr:row>
      <xdr:rowOff>83820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B82D784-E2D0-4A3B-A003-EC0733A2CC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266700</xdr:colOff>
      <xdr:row>198</xdr:row>
      <xdr:rowOff>7620</xdr:rowOff>
    </xdr:from>
    <xdr:to>
      <xdr:col>11</xdr:col>
      <xdr:colOff>441960</xdr:colOff>
      <xdr:row>199</xdr:row>
      <xdr:rowOff>106680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912B1FD-B33D-4AD0-860B-4C563B1EAC28}"/>
            </a:ext>
          </a:extLst>
        </xdr:cNvPr>
        <xdr:cNvSpPr txBox="1"/>
      </xdr:nvSpPr>
      <xdr:spPr>
        <a:xfrm>
          <a:off x="7193280" y="2890266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6</xdr:col>
      <xdr:colOff>121920</xdr:colOff>
      <xdr:row>187</xdr:row>
      <xdr:rowOff>22860</xdr:rowOff>
    </xdr:from>
    <xdr:to>
      <xdr:col>11</xdr:col>
      <xdr:colOff>693420</xdr:colOff>
      <xdr:row>187</xdr:row>
      <xdr:rowOff>30480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8979F962-4958-47A9-8C1A-6F25DDCE6089}"/>
            </a:ext>
          </a:extLst>
        </xdr:cNvPr>
        <xdr:cNvCxnSpPr/>
      </xdr:nvCxnSpPr>
      <xdr:spPr>
        <a:xfrm flipV="1">
          <a:off x="6103620" y="3422142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207</xdr:row>
      <xdr:rowOff>152400</xdr:rowOff>
    </xdr:from>
    <xdr:to>
      <xdr:col>11</xdr:col>
      <xdr:colOff>769620</xdr:colOff>
      <xdr:row>238</xdr:row>
      <xdr:rowOff>83820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5AC08D85-32D1-4D04-A3E0-5054EC6D2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266700</xdr:colOff>
      <xdr:row>238</xdr:row>
      <xdr:rowOff>7620</xdr:rowOff>
    </xdr:from>
    <xdr:to>
      <xdr:col>11</xdr:col>
      <xdr:colOff>441960</xdr:colOff>
      <xdr:row>240</xdr:row>
      <xdr:rowOff>110067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9D7DB19-EA69-4ED5-B480-B4BFC51700EA}"/>
            </a:ext>
          </a:extLst>
        </xdr:cNvPr>
        <xdr:cNvSpPr txBox="1"/>
      </xdr:nvSpPr>
      <xdr:spPr>
        <a:xfrm>
          <a:off x="7217833" y="44339087"/>
          <a:ext cx="4137660" cy="47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</a:p>
        <a:p>
          <a:pPr algn="ctr"/>
          <a:r>
            <a:rPr lang="en-US" sz="1100" baseline="0"/>
            <a:t>descontando el Maximo y los Reportes de S/. 0.00</a:t>
          </a:r>
        </a:p>
      </xdr:txBody>
    </xdr:sp>
    <xdr:clientData/>
  </xdr:twoCellAnchor>
  <xdr:twoCellAnchor>
    <xdr:from>
      <xdr:col>6</xdr:col>
      <xdr:colOff>91440</xdr:colOff>
      <xdr:row>227</xdr:row>
      <xdr:rowOff>167640</xdr:rowOff>
    </xdr:from>
    <xdr:to>
      <xdr:col>11</xdr:col>
      <xdr:colOff>662940</xdr:colOff>
      <xdr:row>227</xdr:row>
      <xdr:rowOff>175260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34EBA1AE-90D0-423B-A1B5-2AD81D463403}"/>
            </a:ext>
          </a:extLst>
        </xdr:cNvPr>
        <xdr:cNvCxnSpPr/>
      </xdr:nvCxnSpPr>
      <xdr:spPr>
        <a:xfrm flipV="1">
          <a:off x="6073140" y="4168140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244</xdr:row>
      <xdr:rowOff>152400</xdr:rowOff>
    </xdr:from>
    <xdr:to>
      <xdr:col>11</xdr:col>
      <xdr:colOff>769620</xdr:colOff>
      <xdr:row>275</xdr:row>
      <xdr:rowOff>83820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650495F6-68DE-4A1B-8816-C56405797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99060</xdr:colOff>
      <xdr:row>275</xdr:row>
      <xdr:rowOff>7620</xdr:rowOff>
    </xdr:from>
    <xdr:to>
      <xdr:col>11</xdr:col>
      <xdr:colOff>441960</xdr:colOff>
      <xdr:row>276</xdr:row>
      <xdr:rowOff>106680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A61BD091-A088-4E2D-B605-7F4D58670443}"/>
            </a:ext>
          </a:extLst>
        </xdr:cNvPr>
        <xdr:cNvSpPr txBox="1"/>
      </xdr:nvSpPr>
      <xdr:spPr>
        <a:xfrm>
          <a:off x="6080760" y="50299620"/>
          <a:ext cx="506730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Porcentaje de Candidatos que pasaron por partidos</a:t>
          </a:r>
          <a:r>
            <a:rPr lang="en-US" sz="1100" baseline="0"/>
            <a:t> en el Congreso de la República</a:t>
          </a:r>
        </a:p>
      </xdr:txBody>
    </xdr:sp>
    <xdr:clientData/>
  </xdr:twoCellAnchor>
  <xdr:twoCellAnchor>
    <xdr:from>
      <xdr:col>6</xdr:col>
      <xdr:colOff>205740</xdr:colOff>
      <xdr:row>266</xdr:row>
      <xdr:rowOff>99060</xdr:rowOff>
    </xdr:from>
    <xdr:to>
      <xdr:col>11</xdr:col>
      <xdr:colOff>777240</xdr:colOff>
      <xdr:row>266</xdr:row>
      <xdr:rowOff>106680</xdr:rowOff>
    </xdr:to>
    <xdr:cxnSp macro="">
      <xdr:nvCxnSpPr>
        <xdr:cNvPr id="29" name="Conector recto 28">
          <a:extLst>
            <a:ext uri="{FF2B5EF4-FFF2-40B4-BE49-F238E27FC236}">
              <a16:creationId xmlns:a16="http://schemas.microsoft.com/office/drawing/2014/main" id="{E23D8576-6363-4F58-8FB0-B09E586B4DFB}"/>
            </a:ext>
          </a:extLst>
        </xdr:cNvPr>
        <xdr:cNvCxnSpPr/>
      </xdr:nvCxnSpPr>
      <xdr:spPr>
        <a:xfrm flipV="1">
          <a:off x="6187440" y="4874514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315</xdr:row>
      <xdr:rowOff>7620</xdr:rowOff>
    </xdr:from>
    <xdr:to>
      <xdr:col>11</xdr:col>
      <xdr:colOff>441960</xdr:colOff>
      <xdr:row>316</xdr:row>
      <xdr:rowOff>106680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81B1356F-C4C0-4A8E-8377-F9D12C80EC11}"/>
            </a:ext>
          </a:extLst>
        </xdr:cNvPr>
        <xdr:cNvSpPr txBox="1"/>
      </xdr:nvSpPr>
      <xdr:spPr>
        <a:xfrm>
          <a:off x="7193280" y="3621786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6</xdr:col>
      <xdr:colOff>45720</xdr:colOff>
      <xdr:row>284</xdr:row>
      <xdr:rowOff>152400</xdr:rowOff>
    </xdr:from>
    <xdr:to>
      <xdr:col>11</xdr:col>
      <xdr:colOff>769620</xdr:colOff>
      <xdr:row>315</xdr:row>
      <xdr:rowOff>83820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B1D00575-B865-4689-B560-57BAEF45B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266700</xdr:colOff>
      <xdr:row>315</xdr:row>
      <xdr:rowOff>7620</xdr:rowOff>
    </xdr:from>
    <xdr:to>
      <xdr:col>11</xdr:col>
      <xdr:colOff>441960</xdr:colOff>
      <xdr:row>316</xdr:row>
      <xdr:rowOff>106680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B92F6902-D9DA-4DF9-8ED0-3ED934577FB2}"/>
            </a:ext>
          </a:extLst>
        </xdr:cNvPr>
        <xdr:cNvSpPr txBox="1"/>
      </xdr:nvSpPr>
      <xdr:spPr>
        <a:xfrm>
          <a:off x="7193280" y="50299620"/>
          <a:ext cx="39547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 de Congresistas que buscan</a:t>
          </a:r>
          <a:r>
            <a:rPr lang="en-US" sz="1100" baseline="0"/>
            <a:t> Reelección</a:t>
          </a:r>
        </a:p>
      </xdr:txBody>
    </xdr:sp>
    <xdr:clientData/>
  </xdr:twoCellAnchor>
  <xdr:twoCellAnchor>
    <xdr:from>
      <xdr:col>5</xdr:col>
      <xdr:colOff>940646</xdr:colOff>
      <xdr:row>297</xdr:row>
      <xdr:rowOff>117687</xdr:rowOff>
    </xdr:from>
    <xdr:to>
      <xdr:col>11</xdr:col>
      <xdr:colOff>567266</xdr:colOff>
      <xdr:row>297</xdr:row>
      <xdr:rowOff>125307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1265336A-E5F8-4DFA-A20F-60305E6D1316}"/>
            </a:ext>
          </a:extLst>
        </xdr:cNvPr>
        <xdr:cNvCxnSpPr/>
      </xdr:nvCxnSpPr>
      <xdr:spPr>
        <a:xfrm flipV="1">
          <a:off x="5995246" y="55438887"/>
          <a:ext cx="5485553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53340</xdr:colOff>
      <xdr:row>57</xdr:row>
      <xdr:rowOff>137160</xdr:rowOff>
    </xdr:from>
    <xdr:to>
      <xdr:col>11</xdr:col>
      <xdr:colOff>624840</xdr:colOff>
      <xdr:row>57</xdr:row>
      <xdr:rowOff>144780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9C55D4C4-EDBE-44C7-A1AB-39E5960F0F3F}"/>
            </a:ext>
          </a:extLst>
        </xdr:cNvPr>
        <xdr:cNvCxnSpPr/>
      </xdr:nvCxnSpPr>
      <xdr:spPr>
        <a:xfrm flipV="1">
          <a:off x="6035040" y="10561320"/>
          <a:ext cx="529590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144780</xdr:colOff>
      <xdr:row>94</xdr:row>
      <xdr:rowOff>76200</xdr:rowOff>
    </xdr:from>
    <xdr:to>
      <xdr:col>10</xdr:col>
      <xdr:colOff>693420</xdr:colOff>
      <xdr:row>94</xdr:row>
      <xdr:rowOff>83820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06F176FB-3AB8-4C04-B57D-59E2ECB6E785}"/>
            </a:ext>
          </a:extLst>
        </xdr:cNvPr>
        <xdr:cNvCxnSpPr/>
      </xdr:nvCxnSpPr>
      <xdr:spPr>
        <a:xfrm flipV="1">
          <a:off x="6126480" y="17266920"/>
          <a:ext cx="432816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137160</xdr:colOff>
      <xdr:row>132</xdr:row>
      <xdr:rowOff>106680</xdr:rowOff>
    </xdr:from>
    <xdr:to>
      <xdr:col>11</xdr:col>
      <xdr:colOff>708660</xdr:colOff>
      <xdr:row>132</xdr:row>
      <xdr:rowOff>114300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3C8B1005-30C5-4CC8-BF3B-858CEE8EF194}"/>
            </a:ext>
          </a:extLst>
        </xdr:cNvPr>
        <xdr:cNvCxnSpPr/>
      </xdr:nvCxnSpPr>
      <xdr:spPr>
        <a:xfrm flipV="1">
          <a:off x="6118860" y="24246840"/>
          <a:ext cx="529590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114300</xdr:colOff>
      <xdr:row>174</xdr:row>
      <xdr:rowOff>38100</xdr:rowOff>
    </xdr:from>
    <xdr:to>
      <xdr:col>11</xdr:col>
      <xdr:colOff>685800</xdr:colOff>
      <xdr:row>174</xdr:row>
      <xdr:rowOff>45720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29A46D9A-C587-4564-82C7-8C896DE176A8}"/>
            </a:ext>
          </a:extLst>
        </xdr:cNvPr>
        <xdr:cNvCxnSpPr/>
      </xdr:nvCxnSpPr>
      <xdr:spPr>
        <a:xfrm flipV="1">
          <a:off x="6096000" y="3185922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214</xdr:row>
      <xdr:rowOff>30480</xdr:rowOff>
    </xdr:from>
    <xdr:to>
      <xdr:col>11</xdr:col>
      <xdr:colOff>640080</xdr:colOff>
      <xdr:row>214</xdr:row>
      <xdr:rowOff>38100</xdr:rowOff>
    </xdr:to>
    <xdr:cxnSp macro="">
      <xdr:nvCxnSpPr>
        <xdr:cNvPr id="45" name="Conector recto 44">
          <a:extLst>
            <a:ext uri="{FF2B5EF4-FFF2-40B4-BE49-F238E27FC236}">
              <a16:creationId xmlns:a16="http://schemas.microsoft.com/office/drawing/2014/main" id="{DE6BA800-6EFB-4A48-93EF-6FD8F207C3B6}"/>
            </a:ext>
          </a:extLst>
        </xdr:cNvPr>
        <xdr:cNvCxnSpPr/>
      </xdr:nvCxnSpPr>
      <xdr:spPr>
        <a:xfrm flipV="1">
          <a:off x="6050280" y="39166800"/>
          <a:ext cx="529590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260</xdr:row>
      <xdr:rowOff>38100</xdr:rowOff>
    </xdr:from>
    <xdr:to>
      <xdr:col>11</xdr:col>
      <xdr:colOff>777240</xdr:colOff>
      <xdr:row>260</xdr:row>
      <xdr:rowOff>45720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AD0B48F5-43CD-49E9-990F-ACA646E5C604}"/>
            </a:ext>
          </a:extLst>
        </xdr:cNvPr>
        <xdr:cNvCxnSpPr/>
      </xdr:nvCxnSpPr>
      <xdr:spPr>
        <a:xfrm flipV="1">
          <a:off x="6187440" y="47586900"/>
          <a:ext cx="529590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899160</xdr:colOff>
      <xdr:row>290</xdr:row>
      <xdr:rowOff>68580</xdr:rowOff>
    </xdr:from>
    <xdr:to>
      <xdr:col>11</xdr:col>
      <xdr:colOff>525780</xdr:colOff>
      <xdr:row>290</xdr:row>
      <xdr:rowOff>76200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F6217E80-1C07-427C-BC1A-6E1070C18943}"/>
            </a:ext>
          </a:extLst>
        </xdr:cNvPr>
        <xdr:cNvCxnSpPr/>
      </xdr:nvCxnSpPr>
      <xdr:spPr>
        <a:xfrm flipV="1">
          <a:off x="5935980" y="53103780"/>
          <a:ext cx="529590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33019</xdr:colOff>
      <xdr:row>401</xdr:row>
      <xdr:rowOff>95250</xdr:rowOff>
    </xdr:from>
    <xdr:to>
      <xdr:col>7</xdr:col>
      <xdr:colOff>815340</xdr:colOff>
      <xdr:row>416</xdr:row>
      <xdr:rowOff>95250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9E78FF51-880E-4832-934F-A33656B99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266700</xdr:colOff>
      <xdr:row>353</xdr:row>
      <xdr:rowOff>7620</xdr:rowOff>
    </xdr:from>
    <xdr:to>
      <xdr:col>11</xdr:col>
      <xdr:colOff>441960</xdr:colOff>
      <xdr:row>354</xdr:row>
      <xdr:rowOff>106680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7E6114B2-7390-4736-84FE-9841059444DE}"/>
            </a:ext>
          </a:extLst>
        </xdr:cNvPr>
        <xdr:cNvSpPr txBox="1"/>
      </xdr:nvSpPr>
      <xdr:spPr>
        <a:xfrm>
          <a:off x="7217833" y="58681620"/>
          <a:ext cx="4137660" cy="2853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6</xdr:col>
      <xdr:colOff>45720</xdr:colOff>
      <xdr:row>322</xdr:row>
      <xdr:rowOff>152400</xdr:rowOff>
    </xdr:from>
    <xdr:to>
      <xdr:col>11</xdr:col>
      <xdr:colOff>769620</xdr:colOff>
      <xdr:row>353</xdr:row>
      <xdr:rowOff>83820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0AF5F417-B0CD-4053-A12D-1B46F30E5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266700</xdr:colOff>
      <xdr:row>353</xdr:row>
      <xdr:rowOff>7620</xdr:rowOff>
    </xdr:from>
    <xdr:to>
      <xdr:col>11</xdr:col>
      <xdr:colOff>441960</xdr:colOff>
      <xdr:row>354</xdr:row>
      <xdr:rowOff>106680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2F5525B3-D417-4592-9B5E-8281F9B3CD4D}"/>
            </a:ext>
          </a:extLst>
        </xdr:cNvPr>
        <xdr:cNvSpPr txBox="1"/>
      </xdr:nvSpPr>
      <xdr:spPr>
        <a:xfrm>
          <a:off x="7217833" y="58681620"/>
          <a:ext cx="4137660" cy="2853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</a:t>
          </a:r>
          <a:r>
            <a:rPr lang="en-US" sz="1100" baseline="0"/>
            <a:t> de Candidatos al Senado Nacional</a:t>
          </a:r>
          <a:r>
            <a:rPr lang="en-US" sz="1100"/>
            <a:t> </a:t>
          </a:r>
          <a:endParaRPr lang="en-US" sz="1100" baseline="0"/>
        </a:p>
      </xdr:txBody>
    </xdr:sp>
    <xdr:clientData/>
  </xdr:twoCellAnchor>
  <xdr:twoCellAnchor>
    <xdr:from>
      <xdr:col>6</xdr:col>
      <xdr:colOff>43179</xdr:colOff>
      <xdr:row>350</xdr:row>
      <xdr:rowOff>33021</xdr:rowOff>
    </xdr:from>
    <xdr:to>
      <xdr:col>11</xdr:col>
      <xdr:colOff>618066</xdr:colOff>
      <xdr:row>350</xdr:row>
      <xdr:rowOff>40641</xdr:rowOff>
    </xdr:to>
    <xdr:cxnSp macro="">
      <xdr:nvCxnSpPr>
        <xdr:cNvPr id="52" name="Conector recto 51">
          <a:extLst>
            <a:ext uri="{FF2B5EF4-FFF2-40B4-BE49-F238E27FC236}">
              <a16:creationId xmlns:a16="http://schemas.microsoft.com/office/drawing/2014/main" id="{E5E2C932-3E09-4E94-B3F3-ABF4D213214F}"/>
            </a:ext>
          </a:extLst>
        </xdr:cNvPr>
        <xdr:cNvCxnSpPr/>
      </xdr:nvCxnSpPr>
      <xdr:spPr>
        <a:xfrm flipV="1">
          <a:off x="6046046" y="65226354"/>
          <a:ext cx="5485553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35560</xdr:colOff>
      <xdr:row>346</xdr:row>
      <xdr:rowOff>170177</xdr:rowOff>
    </xdr:from>
    <xdr:to>
      <xdr:col>11</xdr:col>
      <xdr:colOff>610447</xdr:colOff>
      <xdr:row>346</xdr:row>
      <xdr:rowOff>177797</xdr:rowOff>
    </xdr:to>
    <xdr:cxnSp macro="">
      <xdr:nvCxnSpPr>
        <xdr:cNvPr id="53" name="Conector recto 52">
          <a:extLst>
            <a:ext uri="{FF2B5EF4-FFF2-40B4-BE49-F238E27FC236}">
              <a16:creationId xmlns:a16="http://schemas.microsoft.com/office/drawing/2014/main" id="{CD47031B-944B-4326-8792-C966848D2DF0}"/>
            </a:ext>
          </a:extLst>
        </xdr:cNvPr>
        <xdr:cNvCxnSpPr/>
      </xdr:nvCxnSpPr>
      <xdr:spPr>
        <a:xfrm flipV="1">
          <a:off x="6038427" y="64618444"/>
          <a:ext cx="5485553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0</xdr:row>
      <xdr:rowOff>26670</xdr:rowOff>
    </xdr:from>
    <xdr:to>
      <xdr:col>6</xdr:col>
      <xdr:colOff>769620</xdr:colOff>
      <xdr:row>32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102309-060A-40C5-B9C5-14C673CCC1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32</xdr:row>
      <xdr:rowOff>114300</xdr:rowOff>
    </xdr:from>
    <xdr:to>
      <xdr:col>6</xdr:col>
      <xdr:colOff>525780</xdr:colOff>
      <xdr:row>34</xdr:row>
      <xdr:rowOff>30480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783C9DF-2DB9-4011-86E2-AFEC4F810D45}"/>
            </a:ext>
          </a:extLst>
        </xdr:cNvPr>
        <xdr:cNvSpPr txBox="1"/>
      </xdr:nvSpPr>
      <xdr:spPr>
        <a:xfrm>
          <a:off x="6758940" y="1401318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Porcentaje</a:t>
          </a:r>
          <a:r>
            <a:rPr lang="en-US" sz="1100" baseline="0"/>
            <a:t> de Candidatos Activos con Sentencia Firme</a:t>
          </a:r>
        </a:p>
      </xdr:txBody>
    </xdr:sp>
    <xdr:clientData/>
  </xdr:twoCellAnchor>
  <xdr:twoCellAnchor>
    <xdr:from>
      <xdr:col>1</xdr:col>
      <xdr:colOff>53340</xdr:colOff>
      <xdr:row>18</xdr:row>
      <xdr:rowOff>152400</xdr:rowOff>
    </xdr:from>
    <xdr:to>
      <xdr:col>6</xdr:col>
      <xdr:colOff>624840</xdr:colOff>
      <xdr:row>18</xdr:row>
      <xdr:rowOff>160020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24D1FBF-F105-43E1-B3B1-60F94954D107}"/>
            </a:ext>
          </a:extLst>
        </xdr:cNvPr>
        <xdr:cNvCxnSpPr/>
      </xdr:nvCxnSpPr>
      <xdr:spPr>
        <a:xfrm flipV="1">
          <a:off x="5516880" y="1149096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AB13AA-30D4-41FC-BB09-96B935EAB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2C0B270-D515-47F5-8E8A-2D3FF76FEC9C}"/>
            </a:ext>
          </a:extLst>
        </xdr:cNvPr>
        <xdr:cNvSpPr txBox="1"/>
      </xdr:nvSpPr>
      <xdr:spPr>
        <a:xfrm>
          <a:off x="6675120" y="2177034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Índice de Preparación (0</a:t>
          </a:r>
          <a:r>
            <a:rPr lang="en-US" sz="1100" baseline="0"/>
            <a:t> a 20)</a:t>
          </a:r>
        </a:p>
      </xdr:txBody>
    </xdr:sp>
    <xdr:clientData/>
  </xdr:twoCellAnchor>
  <xdr:twoCellAnchor>
    <xdr:from>
      <xdr:col>0</xdr:col>
      <xdr:colOff>129540</xdr:colOff>
      <xdr:row>10</xdr:row>
      <xdr:rowOff>76200</xdr:rowOff>
    </xdr:from>
    <xdr:to>
      <xdr:col>5</xdr:col>
      <xdr:colOff>701040</xdr:colOff>
      <xdr:row>10</xdr:row>
      <xdr:rowOff>83820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C1BF98A8-2CD3-4EC0-B525-B78086CB990D}"/>
            </a:ext>
          </a:extLst>
        </xdr:cNvPr>
        <xdr:cNvCxnSpPr/>
      </xdr:nvCxnSpPr>
      <xdr:spPr>
        <a:xfrm flipV="1">
          <a:off x="5593080" y="1799844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708660</xdr:colOff>
      <xdr:row>1</xdr:row>
      <xdr:rowOff>129540</xdr:rowOff>
    </xdr:from>
    <xdr:to>
      <xdr:col>6</xdr:col>
      <xdr:colOff>228600</xdr:colOff>
      <xdr:row>7</xdr:row>
      <xdr:rowOff>60960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C894E87C-6833-41A5-9916-F8D42F980730}"/>
            </a:ext>
          </a:extLst>
        </xdr:cNvPr>
        <xdr:cNvSpPr txBox="1"/>
      </xdr:nvSpPr>
      <xdr:spPr>
        <a:xfrm>
          <a:off x="10355580" y="16405860"/>
          <a:ext cx="14097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En promedio, estos partidos presentan candidatos con preparación inferior a un bachillerato </a:t>
          </a:r>
          <a:endParaRPr lang="en-US" sz="1100" baseline="0"/>
        </a:p>
      </xdr:txBody>
    </xdr:sp>
    <xdr:clientData/>
  </xdr:twoCellAnchor>
  <xdr:twoCellAnchor>
    <xdr:from>
      <xdr:col>4</xdr:col>
      <xdr:colOff>624840</xdr:colOff>
      <xdr:row>14</xdr:row>
      <xdr:rowOff>68580</xdr:rowOff>
    </xdr:from>
    <xdr:to>
      <xdr:col>6</xdr:col>
      <xdr:colOff>144780</xdr:colOff>
      <xdr:row>20</xdr:row>
      <xdr:rowOff>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4B526FF-4313-4EE0-9059-48A2192BA553}"/>
            </a:ext>
          </a:extLst>
        </xdr:cNvPr>
        <xdr:cNvSpPr txBox="1"/>
      </xdr:nvSpPr>
      <xdr:spPr>
        <a:xfrm>
          <a:off x="10271760" y="18722340"/>
          <a:ext cx="14097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En promedio, estos partidos presentan candidatos con preparación superior a un bachillerato </a:t>
          </a:r>
          <a:endParaRPr lang="en-US" sz="1100" baseline="0"/>
        </a:p>
      </xdr:txBody>
    </xdr:sp>
    <xdr:clientData/>
  </xdr:twoCellAnchor>
  <xdr:twoCellAnchor editAs="oneCell">
    <xdr:from>
      <xdr:col>7</xdr:col>
      <xdr:colOff>365760</xdr:colOff>
      <xdr:row>4</xdr:row>
      <xdr:rowOff>106680</xdr:rowOff>
    </xdr:from>
    <xdr:to>
      <xdr:col>16</xdr:col>
      <xdr:colOff>91440</xdr:colOff>
      <xdr:row>21</xdr:row>
      <xdr:rowOff>150495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F5DE7C8-B86E-4D93-B345-6DE53A5AB27A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13120" y="838200"/>
          <a:ext cx="6858000" cy="3152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FB329F-61FD-421B-BB9D-357D6FA7D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7620</xdr:rowOff>
    </xdr:from>
    <xdr:to>
      <xdr:col>6</xdr:col>
      <xdr:colOff>0</xdr:colOff>
      <xdr:row>32</xdr:row>
      <xdr:rowOff>106680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1EECFB6-2306-4AAA-9B42-34FCBB7E3344}"/>
            </a:ext>
          </a:extLst>
        </xdr:cNvPr>
        <xdr:cNvSpPr txBox="1"/>
      </xdr:nvSpPr>
      <xdr:spPr>
        <a:xfrm>
          <a:off x="0" y="5676900"/>
          <a:ext cx="475488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 de Candidatos que han</a:t>
          </a:r>
          <a:r>
            <a:rPr lang="en-US" sz="1100" baseline="0"/>
            <a:t> declarado ingreso S/ 0.00</a:t>
          </a:r>
        </a:p>
      </xdr:txBody>
    </xdr:sp>
    <xdr:clientData/>
  </xdr:twoCellAnchor>
  <xdr:twoCellAnchor>
    <xdr:from>
      <xdr:col>0</xdr:col>
      <xdr:colOff>167640</xdr:colOff>
      <xdr:row>14</xdr:row>
      <xdr:rowOff>91440</xdr:rowOff>
    </xdr:from>
    <xdr:to>
      <xdr:col>5</xdr:col>
      <xdr:colOff>739140</xdr:colOff>
      <xdr:row>14</xdr:row>
      <xdr:rowOff>99060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E5E7F38-CBE8-4E4C-AB7B-2D61CA5C9271}"/>
            </a:ext>
          </a:extLst>
        </xdr:cNvPr>
        <xdr:cNvCxnSpPr/>
      </xdr:nvCxnSpPr>
      <xdr:spPr>
        <a:xfrm flipV="1">
          <a:off x="5631180" y="2587752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2AB357-B48B-4427-856A-52F454BB2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1C4E580-5FC9-4D3A-950E-4001EE14EEA7}"/>
            </a:ext>
          </a:extLst>
        </xdr:cNvPr>
        <xdr:cNvSpPr txBox="1"/>
      </xdr:nvSpPr>
      <xdr:spPr>
        <a:xfrm>
          <a:off x="6675120" y="3621786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0</xdr:col>
      <xdr:colOff>121920</xdr:colOff>
      <xdr:row>20</xdr:row>
      <xdr:rowOff>22860</xdr:rowOff>
    </xdr:from>
    <xdr:to>
      <xdr:col>5</xdr:col>
      <xdr:colOff>693420</xdr:colOff>
      <xdr:row>20</xdr:row>
      <xdr:rowOff>30480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F36BC65B-72CA-4510-AD2D-D1C13B9189F4}"/>
            </a:ext>
          </a:extLst>
        </xdr:cNvPr>
        <xdr:cNvCxnSpPr/>
      </xdr:nvCxnSpPr>
      <xdr:spPr>
        <a:xfrm flipV="1">
          <a:off x="5585460" y="3422142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7</xdr:row>
      <xdr:rowOff>38100</xdr:rowOff>
    </xdr:from>
    <xdr:to>
      <xdr:col>5</xdr:col>
      <xdr:colOff>685800</xdr:colOff>
      <xdr:row>7</xdr:row>
      <xdr:rowOff>45720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8BA6698-7240-4555-92C6-0AFC75D791FF}"/>
            </a:ext>
          </a:extLst>
        </xdr:cNvPr>
        <xdr:cNvCxnSpPr/>
      </xdr:nvCxnSpPr>
      <xdr:spPr>
        <a:xfrm flipV="1">
          <a:off x="5577840" y="3185922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3CCD50-A50B-4C69-BB69-1ADFF31B3A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31</xdr:row>
      <xdr:rowOff>7620</xdr:rowOff>
    </xdr:from>
    <xdr:to>
      <xdr:col>5</xdr:col>
      <xdr:colOff>441960</xdr:colOff>
      <xdr:row>33</xdr:row>
      <xdr:rowOff>110067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721D86-06CA-4FDE-AE52-DAA6C48E2041}"/>
            </a:ext>
          </a:extLst>
        </xdr:cNvPr>
        <xdr:cNvSpPr txBox="1"/>
      </xdr:nvSpPr>
      <xdr:spPr>
        <a:xfrm>
          <a:off x="6675120" y="43533060"/>
          <a:ext cx="4358640" cy="4682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</a:p>
        <a:p>
          <a:pPr algn="ctr"/>
          <a:r>
            <a:rPr lang="en-US" sz="1100" baseline="0"/>
            <a:t>descontando el Maximo y los Reportes de S/. 0.00</a:t>
          </a:r>
        </a:p>
      </xdr:txBody>
    </xdr:sp>
    <xdr:clientData/>
  </xdr:twoCellAnchor>
  <xdr:twoCellAnchor>
    <xdr:from>
      <xdr:col>0</xdr:col>
      <xdr:colOff>91440</xdr:colOff>
      <xdr:row>20</xdr:row>
      <xdr:rowOff>167640</xdr:rowOff>
    </xdr:from>
    <xdr:to>
      <xdr:col>5</xdr:col>
      <xdr:colOff>662940</xdr:colOff>
      <xdr:row>20</xdr:row>
      <xdr:rowOff>175260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47216A17-4CFF-4227-8914-8D98F47DDC8C}"/>
            </a:ext>
          </a:extLst>
        </xdr:cNvPr>
        <xdr:cNvCxnSpPr/>
      </xdr:nvCxnSpPr>
      <xdr:spPr>
        <a:xfrm flipV="1">
          <a:off x="5554980" y="4168140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</xdr:colOff>
      <xdr:row>7</xdr:row>
      <xdr:rowOff>30480</xdr:rowOff>
    </xdr:from>
    <xdr:to>
      <xdr:col>5</xdr:col>
      <xdr:colOff>640080</xdr:colOff>
      <xdr:row>7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151B75F6-020A-4837-B68B-701812ADAE79}"/>
            </a:ext>
          </a:extLst>
        </xdr:cNvPr>
        <xdr:cNvCxnSpPr/>
      </xdr:nvCxnSpPr>
      <xdr:spPr>
        <a:xfrm flipV="1">
          <a:off x="5532120" y="3916680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D60B17-C3BA-43A3-B6F3-FCF798E0C3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7620</xdr:rowOff>
    </xdr:from>
    <xdr:to>
      <xdr:col>6</xdr:col>
      <xdr:colOff>0</xdr:colOff>
      <xdr:row>34</xdr:row>
      <xdr:rowOff>68580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9E26629-6A42-4F9B-B53A-33DCE6DD25A7}"/>
            </a:ext>
          </a:extLst>
        </xdr:cNvPr>
        <xdr:cNvSpPr txBox="1"/>
      </xdr:nvSpPr>
      <xdr:spPr>
        <a:xfrm>
          <a:off x="0" y="5676900"/>
          <a:ext cx="4754880" cy="609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Índice de Infiltración de Partidos #PorEstosNo en Otros Partidos</a:t>
          </a:r>
          <a:endParaRPr lang="en-US" sz="1100" baseline="0"/>
        </a:p>
      </xdr:txBody>
    </xdr:sp>
    <xdr:clientData/>
  </xdr:twoCellAnchor>
  <xdr:twoCellAnchor>
    <xdr:from>
      <xdr:col>0</xdr:col>
      <xdr:colOff>205740</xdr:colOff>
      <xdr:row>22</xdr:row>
      <xdr:rowOff>99060</xdr:rowOff>
    </xdr:from>
    <xdr:to>
      <xdr:col>5</xdr:col>
      <xdr:colOff>777240</xdr:colOff>
      <xdr:row>22</xdr:row>
      <xdr:rowOff>106680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9D5144B9-D29B-431C-8183-738A031B64D7}"/>
            </a:ext>
          </a:extLst>
        </xdr:cNvPr>
        <xdr:cNvCxnSpPr/>
      </xdr:nvCxnSpPr>
      <xdr:spPr>
        <a:xfrm flipV="1">
          <a:off x="5669280" y="48745140"/>
          <a:ext cx="569976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205740</xdr:colOff>
      <xdr:row>16</xdr:row>
      <xdr:rowOff>38100</xdr:rowOff>
    </xdr:from>
    <xdr:to>
      <xdr:col>5</xdr:col>
      <xdr:colOff>777240</xdr:colOff>
      <xdr:row>16</xdr:row>
      <xdr:rowOff>45720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8CEF15C-13AF-4746-9F19-429E44FA5FA8}"/>
            </a:ext>
          </a:extLst>
        </xdr:cNvPr>
        <xdr:cNvCxnSpPr/>
      </xdr:nvCxnSpPr>
      <xdr:spPr>
        <a:xfrm flipV="1">
          <a:off x="5669280" y="47586900"/>
          <a:ext cx="569976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0</xdr:colOff>
      <xdr:row>9</xdr:row>
      <xdr:rowOff>0</xdr:rowOff>
    </xdr:from>
    <xdr:to>
      <xdr:col>15</xdr:col>
      <xdr:colOff>518160</xdr:colOff>
      <xdr:row>27</xdr:row>
      <xdr:rowOff>25400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820F997-99BF-4CCE-84B0-71B56F2BA504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47360" y="1645920"/>
          <a:ext cx="6858000" cy="33172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5ADE391-4427-42AE-8F4B-EC3616EA950B}"/>
            </a:ext>
          </a:extLst>
        </xdr:cNvPr>
        <xdr:cNvSpPr txBox="1"/>
      </xdr:nvSpPr>
      <xdr:spPr>
        <a:xfrm>
          <a:off x="6675120" y="5761482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AFB02D-4EF4-4CC6-BDAE-0D01D6EFB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5BEC632-709C-41F8-A8B9-929D5210C6C4}"/>
            </a:ext>
          </a:extLst>
        </xdr:cNvPr>
        <xdr:cNvSpPr txBox="1"/>
      </xdr:nvSpPr>
      <xdr:spPr>
        <a:xfrm>
          <a:off x="6675120" y="5761482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 de Congresistas que buscan</a:t>
          </a:r>
          <a:r>
            <a:rPr lang="en-US" sz="1100" baseline="0"/>
            <a:t> Reelección</a:t>
          </a:r>
        </a:p>
      </xdr:txBody>
    </xdr:sp>
    <xdr:clientData/>
  </xdr:twoCellAnchor>
  <xdr:twoCellAnchor>
    <xdr:from>
      <xdr:col>0</xdr:col>
      <xdr:colOff>940646</xdr:colOff>
      <xdr:row>13</xdr:row>
      <xdr:rowOff>117687</xdr:rowOff>
    </xdr:from>
    <xdr:to>
      <xdr:col>5</xdr:col>
      <xdr:colOff>567266</xdr:colOff>
      <xdr:row>13</xdr:row>
      <xdr:rowOff>125307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C514F1D-A631-4D4A-A510-335E6A1F65E7}"/>
            </a:ext>
          </a:extLst>
        </xdr:cNvPr>
        <xdr:cNvCxnSpPr/>
      </xdr:nvCxnSpPr>
      <xdr:spPr>
        <a:xfrm flipV="1">
          <a:off x="5466926" y="54433047"/>
          <a:ext cx="5692140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899160</xdr:colOff>
      <xdr:row>6</xdr:row>
      <xdr:rowOff>68580</xdr:rowOff>
    </xdr:from>
    <xdr:to>
      <xdr:col>5</xdr:col>
      <xdr:colOff>525780</xdr:colOff>
      <xdr:row>6</xdr:row>
      <xdr:rowOff>76200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EB388E6F-F478-48F6-AEA3-6B5D218EDA48}"/>
            </a:ext>
          </a:extLst>
        </xdr:cNvPr>
        <xdr:cNvCxnSpPr/>
      </xdr:nvCxnSpPr>
      <xdr:spPr>
        <a:xfrm flipV="1">
          <a:off x="5463540" y="53103780"/>
          <a:ext cx="5654040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7F192B5-1865-407E-8FBE-3F7D43D293AC}"/>
            </a:ext>
          </a:extLst>
        </xdr:cNvPr>
        <xdr:cNvSpPr txBox="1"/>
      </xdr:nvSpPr>
      <xdr:spPr>
        <a:xfrm>
          <a:off x="6675120" y="6456426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Promedio de Ingreso Anual reportado por Candidato</a:t>
          </a:r>
          <a:endParaRPr lang="en-US" sz="1100" baseline="0"/>
        </a:p>
      </xdr:txBody>
    </xdr:sp>
    <xdr:clientData/>
  </xdr:twoCellAnchor>
  <xdr:twoCellAnchor>
    <xdr:from>
      <xdr:col>0</xdr:col>
      <xdr:colOff>45720</xdr:colOff>
      <xdr:row>0</xdr:row>
      <xdr:rowOff>152400</xdr:rowOff>
    </xdr:from>
    <xdr:to>
      <xdr:col>5</xdr:col>
      <xdr:colOff>769620</xdr:colOff>
      <xdr:row>31</xdr:row>
      <xdr:rowOff>83820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8F9AC6-F1F7-40B0-BCEE-156CB4D72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266700</xdr:colOff>
      <xdr:row>31</xdr:row>
      <xdr:rowOff>7620</xdr:rowOff>
    </xdr:from>
    <xdr:to>
      <xdr:col>5</xdr:col>
      <xdr:colOff>441960</xdr:colOff>
      <xdr:row>32</xdr:row>
      <xdr:rowOff>106680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3712724-9DAB-4930-ACAA-D0E99C803DBF}"/>
            </a:ext>
          </a:extLst>
        </xdr:cNvPr>
        <xdr:cNvSpPr txBox="1"/>
      </xdr:nvSpPr>
      <xdr:spPr>
        <a:xfrm>
          <a:off x="6675120" y="64564260"/>
          <a:ext cx="4358640" cy="2819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Cantidad</a:t>
          </a:r>
          <a:r>
            <a:rPr lang="en-US" sz="1100" baseline="0"/>
            <a:t> de Candidatos al Senado Nacional</a:t>
          </a:r>
          <a:r>
            <a:rPr lang="en-US" sz="1100"/>
            <a:t> </a:t>
          </a:r>
          <a:endParaRPr lang="en-US" sz="1100" baseline="0"/>
        </a:p>
      </xdr:txBody>
    </xdr:sp>
    <xdr:clientData/>
  </xdr:twoCellAnchor>
  <xdr:twoCellAnchor>
    <xdr:from>
      <xdr:col>0</xdr:col>
      <xdr:colOff>43179</xdr:colOff>
      <xdr:row>28</xdr:row>
      <xdr:rowOff>33021</xdr:rowOff>
    </xdr:from>
    <xdr:to>
      <xdr:col>5</xdr:col>
      <xdr:colOff>618066</xdr:colOff>
      <xdr:row>28</xdr:row>
      <xdr:rowOff>40641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ED5B5622-91A0-4D70-950C-5CD96C813E7B}"/>
            </a:ext>
          </a:extLst>
        </xdr:cNvPr>
        <xdr:cNvCxnSpPr/>
      </xdr:nvCxnSpPr>
      <xdr:spPr>
        <a:xfrm flipV="1">
          <a:off x="5506719" y="64041021"/>
          <a:ext cx="5703147" cy="7620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35560</xdr:colOff>
      <xdr:row>24</xdr:row>
      <xdr:rowOff>170177</xdr:rowOff>
    </xdr:from>
    <xdr:to>
      <xdr:col>5</xdr:col>
      <xdr:colOff>610447</xdr:colOff>
      <xdr:row>24</xdr:row>
      <xdr:rowOff>177797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3C89B069-DC23-4EED-8A51-D51BC22E22E1}"/>
            </a:ext>
          </a:extLst>
        </xdr:cNvPr>
        <xdr:cNvCxnSpPr/>
      </xdr:nvCxnSpPr>
      <xdr:spPr>
        <a:xfrm flipV="1">
          <a:off x="5499100" y="63446657"/>
          <a:ext cx="5703147" cy="7620"/>
        </a:xfrm>
        <a:prstGeom prst="line">
          <a:avLst/>
        </a:prstGeom>
        <a:ln w="28575"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419100</xdr:colOff>
      <xdr:row>3</xdr:row>
      <xdr:rowOff>100964</xdr:rowOff>
    </xdr:from>
    <xdr:to>
      <xdr:col>6</xdr:col>
      <xdr:colOff>0</xdr:colOff>
      <xdr:row>23</xdr:row>
      <xdr:rowOff>152399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A53116-C8D9-4A66-8E22-7D3905061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sis%20lista%20al%20senado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ANA"/>
      <sheetName val="PBG"/>
      <sheetName val="OBR"/>
      <sheetName val="IND"/>
      <sheetName val="COO"/>
      <sheetName val="DUN"/>
      <sheetName val="PPT"/>
      <sheetName val="PLP"/>
      <sheetName val="PPR"/>
      <sheetName val="FEP"/>
      <sheetName val="PET"/>
      <sheetName val="VER"/>
      <sheetName val="FED"/>
      <sheetName val="FDE"/>
      <sheetName val="PPP"/>
      <sheetName val="PAC"/>
      <sheetName val="PRI"/>
      <sheetName val="SIC"/>
      <sheetName val="PRO"/>
      <sheetName val="UCD"/>
      <sheetName val="UNA"/>
      <sheetName val="FYL"/>
      <sheetName val="PLG"/>
      <sheetName val="FRE"/>
      <sheetName val="APR"/>
    </sheetNames>
    <sheetDataSet>
      <sheetData sheetId="0">
        <row r="2">
          <cell r="A2" t="str">
            <v>Fuerza Popular</v>
          </cell>
          <cell r="B2">
            <v>1</v>
          </cell>
          <cell r="C2"/>
          <cell r="D2">
            <v>1</v>
          </cell>
        </row>
        <row r="3">
          <cell r="A3" t="str">
            <v>Acción Popular</v>
          </cell>
          <cell r="B3">
            <v>1</v>
          </cell>
          <cell r="C3"/>
          <cell r="D3">
            <v>1</v>
          </cell>
        </row>
        <row r="4">
          <cell r="A4" t="str">
            <v>Alianza para el Progreso</v>
          </cell>
          <cell r="B4">
            <v>1</v>
          </cell>
          <cell r="C4"/>
          <cell r="D4">
            <v>1</v>
          </cell>
        </row>
        <row r="5">
          <cell r="A5" t="str">
            <v>Avanza Pais</v>
          </cell>
          <cell r="B5">
            <v>1</v>
          </cell>
          <cell r="C5"/>
          <cell r="D5">
            <v>1</v>
          </cell>
        </row>
        <row r="6">
          <cell r="A6" t="str">
            <v>Somos Perú</v>
          </cell>
          <cell r="B6">
            <v>1</v>
          </cell>
          <cell r="C6"/>
          <cell r="D6">
            <v>1</v>
          </cell>
        </row>
        <row r="7">
          <cell r="A7" t="str">
            <v>Peru Libre</v>
          </cell>
          <cell r="B7">
            <v>1</v>
          </cell>
          <cell r="C7"/>
          <cell r="D7">
            <v>1</v>
          </cell>
        </row>
        <row r="8">
          <cell r="A8" t="str">
            <v>Renovación Popular</v>
          </cell>
          <cell r="B8">
            <v>1</v>
          </cell>
          <cell r="C8"/>
          <cell r="D8">
            <v>1</v>
          </cell>
        </row>
        <row r="9">
          <cell r="A9" t="str">
            <v>Podemos Perú</v>
          </cell>
          <cell r="B9">
            <v>1</v>
          </cell>
          <cell r="C9"/>
          <cell r="D9">
            <v>1</v>
          </cell>
        </row>
        <row r="10">
          <cell r="A10" t="str">
            <v>Partido Morado</v>
          </cell>
          <cell r="B10">
            <v>1</v>
          </cell>
          <cell r="C10"/>
          <cell r="D10">
            <v>1</v>
          </cell>
        </row>
        <row r="11">
          <cell r="A11" t="str">
            <v>Juntos por el Perú</v>
          </cell>
          <cell r="B11">
            <v>1</v>
          </cell>
          <cell r="C11"/>
          <cell r="D11">
            <v>1</v>
          </cell>
        </row>
        <row r="12">
          <cell r="A12" t="str">
            <v>APRA</v>
          </cell>
          <cell r="B12">
            <v>1</v>
          </cell>
          <cell r="C12"/>
          <cell r="D12">
            <v>1</v>
          </cell>
        </row>
        <row r="13">
          <cell r="A13" t="str">
            <v>CPP</v>
          </cell>
          <cell r="B13">
            <v>1</v>
          </cell>
          <cell r="C13"/>
          <cell r="D13">
            <v>1</v>
          </cell>
        </row>
        <row r="14">
          <cell r="A14" t="str">
            <v>FREPAP</v>
          </cell>
          <cell r="B14">
            <v>0</v>
          </cell>
          <cell r="C14">
            <v>0</v>
          </cell>
          <cell r="D14">
            <v>0</v>
          </cell>
        </row>
        <row r="15">
          <cell r="A15" t="str">
            <v>Primero La Gente</v>
          </cell>
          <cell r="B15">
            <v>0.29629629629629628</v>
          </cell>
          <cell r="C15">
            <v>0.29629629629629628</v>
          </cell>
          <cell r="D15">
            <v>0.2857142857142857</v>
          </cell>
        </row>
        <row r="16">
          <cell r="A16"/>
          <cell r="B16"/>
          <cell r="C16"/>
          <cell r="D16"/>
        </row>
        <row r="17">
          <cell r="A17" t="str">
            <v>Fuerza y Libertad</v>
          </cell>
          <cell r="B17">
            <v>0.21428571428571427</v>
          </cell>
          <cell r="C17">
            <v>0.21428571428571427</v>
          </cell>
          <cell r="D17">
            <v>0.18181818181818182</v>
          </cell>
        </row>
        <row r="18">
          <cell r="A18" t="str">
            <v>Venceremos</v>
          </cell>
          <cell r="B18">
            <v>1</v>
          </cell>
          <cell r="C18">
            <v>1</v>
          </cell>
          <cell r="D18">
            <v>1</v>
          </cell>
        </row>
        <row r="19">
          <cell r="A19" t="str">
            <v>Verde</v>
          </cell>
          <cell r="B19">
            <v>0.20689655172413793</v>
          </cell>
          <cell r="C19">
            <v>0.20689655172413793</v>
          </cell>
          <cell r="D19">
            <v>0.42</v>
          </cell>
        </row>
        <row r="20">
          <cell r="A20" t="str">
            <v>Unidad Nacional</v>
          </cell>
          <cell r="B20">
            <v>0.36666666666666664</v>
          </cell>
          <cell r="C20">
            <v>0.36666666666666664</v>
          </cell>
          <cell r="D20">
            <v>0.33333333333333331</v>
          </cell>
        </row>
        <row r="21">
          <cell r="A21" t="str">
            <v>Libertad Popular</v>
          </cell>
          <cell r="B21">
            <v>0.14814814814814814</v>
          </cell>
          <cell r="C21">
            <v>0.14814814814814814</v>
          </cell>
          <cell r="D21">
            <v>0.14035087719298245</v>
          </cell>
        </row>
        <row r="22">
          <cell r="A22" t="str">
            <v>Fe en el Peru</v>
          </cell>
          <cell r="B22">
            <v>0.33333333333333331</v>
          </cell>
          <cell r="C22">
            <v>0.33333333333333331</v>
          </cell>
          <cell r="D22">
            <v>0.35714285714285715</v>
          </cell>
        </row>
        <row r="23">
          <cell r="A23" t="str">
            <v>Cooperación Popular</v>
          </cell>
          <cell r="B23">
            <v>0.21428571428571427</v>
          </cell>
          <cell r="C23">
            <v>0.21428571428571427</v>
          </cell>
          <cell r="D23">
            <v>0.29090909090909089</v>
          </cell>
        </row>
        <row r="24">
          <cell r="A24" t="str">
            <v>Progresemos</v>
          </cell>
          <cell r="B24">
            <v>0.10344827586206896</v>
          </cell>
          <cell r="C24">
            <v>0.10344827586206896</v>
          </cell>
          <cell r="D24">
            <v>0.12280701754385964</v>
          </cell>
        </row>
        <row r="25">
          <cell r="A25" t="str">
            <v>Si Creo</v>
          </cell>
          <cell r="B25">
            <v>0.17857142857142858</v>
          </cell>
          <cell r="C25">
            <v>0.17857142857142858</v>
          </cell>
          <cell r="D25">
            <v>0.21428571428571427</v>
          </cell>
        </row>
        <row r="26">
          <cell r="A26" t="str">
            <v>Frente de la Esperanza</v>
          </cell>
          <cell r="B26">
            <v>0.34482758620689657</v>
          </cell>
          <cell r="C26">
            <v>0.34482758620689657</v>
          </cell>
          <cell r="D26">
            <v>0.31034482758620691</v>
          </cell>
        </row>
        <row r="27">
          <cell r="A27" t="str">
            <v>Peru Federal</v>
          </cell>
          <cell r="B27">
            <v>0.125</v>
          </cell>
          <cell r="C27">
            <v>0.125</v>
          </cell>
          <cell r="D27">
            <v>0.48</v>
          </cell>
        </row>
        <row r="28">
          <cell r="A28" t="str">
            <v>Ahora Nación</v>
          </cell>
          <cell r="B28">
            <v>0.2857142857142857</v>
          </cell>
          <cell r="C28">
            <v>0.2857142857142857</v>
          </cell>
          <cell r="D28">
            <v>0.27777777777777779</v>
          </cell>
        </row>
        <row r="29">
          <cell r="A29" t="str">
            <v>PPP</v>
          </cell>
          <cell r="B29">
            <v>0.15384615384615385</v>
          </cell>
          <cell r="C29">
            <v>0.15384615384615385</v>
          </cell>
          <cell r="D29">
            <v>0.13207547169811321</v>
          </cell>
        </row>
        <row r="30">
          <cell r="A30" t="str">
            <v>PTE</v>
          </cell>
          <cell r="B30">
            <v>0.2608695652173913</v>
          </cell>
          <cell r="C30">
            <v>0.2608695652173913</v>
          </cell>
          <cell r="D30">
            <v>0.21276595744680851</v>
          </cell>
        </row>
        <row r="31">
          <cell r="A31" t="str">
            <v>Peru Primero</v>
          </cell>
          <cell r="B31">
            <v>0.2857142857142857</v>
          </cell>
          <cell r="C31">
            <v>0.5</v>
          </cell>
          <cell r="D31">
            <v>0.45614035087719296</v>
          </cell>
        </row>
        <row r="32">
          <cell r="A32" t="str">
            <v>Salvemos al Perú</v>
          </cell>
          <cell r="B32">
            <v>0.21428571428571427</v>
          </cell>
          <cell r="C32">
            <v>0.21428571428571427</v>
          </cell>
          <cell r="D32">
            <v>0.18181818181818182</v>
          </cell>
        </row>
        <row r="33">
          <cell r="A33" t="str">
            <v>Obras</v>
          </cell>
          <cell r="B33">
            <v>0.2</v>
          </cell>
          <cell r="C33">
            <v>0.2</v>
          </cell>
          <cell r="D33">
            <v>0.18333333333333332</v>
          </cell>
        </row>
        <row r="34">
          <cell r="A34" t="str">
            <v>Un Camino Diferente</v>
          </cell>
          <cell r="B34">
            <v>0.3</v>
          </cell>
          <cell r="C34">
            <v>0.3</v>
          </cell>
          <cell r="D34">
            <v>0.25</v>
          </cell>
        </row>
        <row r="35">
          <cell r="A35" t="str">
            <v>Pais para Todos</v>
          </cell>
          <cell r="B35">
            <v>0.29166666666666669</v>
          </cell>
          <cell r="C35">
            <v>0.29166666666666669</v>
          </cell>
          <cell r="D35">
            <v>0.28846153846153844</v>
          </cell>
        </row>
        <row r="36">
          <cell r="A36" t="str">
            <v>Buen Gobierno</v>
          </cell>
          <cell r="B36">
            <v>0.16666666666666666</v>
          </cell>
          <cell r="C36">
            <v>0.16666666666666666</v>
          </cell>
          <cell r="D36">
            <v>0.18333333333333332</v>
          </cell>
        </row>
        <row r="37">
          <cell r="A37" t="str">
            <v>PRIN</v>
          </cell>
          <cell r="B37">
            <v>0.19230769230769232</v>
          </cell>
          <cell r="C37">
            <v>0.19230769230769232</v>
          </cell>
          <cell r="D37">
            <v>0.2</v>
          </cell>
        </row>
        <row r="38">
          <cell r="A38" t="str">
            <v>Peru Acción</v>
          </cell>
          <cell r="B38">
            <v>0.17241379310344829</v>
          </cell>
          <cell r="C38">
            <v>0.17241379310344829</v>
          </cell>
          <cell r="D38">
            <v>0.17241379310344829</v>
          </cell>
        </row>
        <row r="39">
          <cell r="A39" t="str">
            <v>Integridad Democrática</v>
          </cell>
          <cell r="B39">
            <v>0.1</v>
          </cell>
          <cell r="C39">
            <v>0.1</v>
          </cell>
          <cell r="D39">
            <v>0.11666666666666667</v>
          </cell>
        </row>
        <row r="40">
          <cell r="A40" t="str">
            <v>Unido Perú</v>
          </cell>
          <cell r="B40">
            <v>0.33333333333333331</v>
          </cell>
          <cell r="C40">
            <v>0.33333333333333331</v>
          </cell>
          <cell r="D40">
            <v>0.35714285714285715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CF57-5B76-4BF9-932F-551BAAB14027}">
  <dimension ref="A2:U1191"/>
  <sheetViews>
    <sheetView workbookViewId="0">
      <selection activeCell="N2" sqref="N2"/>
    </sheetView>
  </sheetViews>
  <sheetFormatPr baseColWidth="10" defaultRowHeight="14.4" x14ac:dyDescent="0.3"/>
  <cols>
    <col min="2" max="2" width="13.6640625" customWidth="1"/>
    <col min="3" max="3" width="20.5546875" bestFit="1" customWidth="1"/>
    <col min="4" max="11" width="3.5546875" bestFit="1" customWidth="1"/>
    <col min="12" max="12" width="14.77734375" bestFit="1" customWidth="1"/>
    <col min="15" max="15" width="12.77734375" bestFit="1" customWidth="1"/>
    <col min="16" max="16" width="14.77734375" bestFit="1" customWidth="1"/>
    <col min="17" max="17" width="12.77734375" bestFit="1" customWidth="1"/>
    <col min="18" max="18" width="17.33203125" bestFit="1" customWidth="1"/>
    <col min="19" max="20" width="13.77734375" customWidth="1"/>
    <col min="21" max="21" width="18.109375" bestFit="1" customWidth="1"/>
  </cols>
  <sheetData>
    <row r="2" spans="1:18" ht="53.4" x14ac:dyDescent="0.3">
      <c r="A2" s="1" t="s">
        <v>0</v>
      </c>
      <c r="B2" s="2" t="s">
        <v>1</v>
      </c>
      <c r="C2" s="3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41</v>
      </c>
      <c r="L2" s="11" t="s">
        <v>42</v>
      </c>
      <c r="M2" s="11" t="s">
        <v>44</v>
      </c>
      <c r="N2" s="11" t="s">
        <v>41</v>
      </c>
      <c r="O2" s="11" t="s">
        <v>42</v>
      </c>
      <c r="P2" s="11" t="s">
        <v>42</v>
      </c>
      <c r="Q2" s="11" t="s">
        <v>42</v>
      </c>
    </row>
    <row r="3" spans="1:18" x14ac:dyDescent="0.3">
      <c r="A3" s="1">
        <v>1</v>
      </c>
      <c r="B3" s="2" t="s">
        <v>2</v>
      </c>
      <c r="C3" s="3" t="s">
        <v>3</v>
      </c>
      <c r="D3" s="1" t="s">
        <v>40</v>
      </c>
      <c r="E3" s="1" t="s">
        <v>40</v>
      </c>
      <c r="F3" s="1"/>
      <c r="G3" s="1"/>
      <c r="H3" s="1" t="s">
        <v>40</v>
      </c>
      <c r="I3" s="1" t="s">
        <v>40</v>
      </c>
      <c r="J3" s="1" t="s">
        <v>40</v>
      </c>
      <c r="K3" s="1"/>
      <c r="L3" s="12">
        <v>350000</v>
      </c>
      <c r="M3" s="15">
        <f>+IF(D3="X",1,0)+IF(E3="X",1,0)+IF(F3="X",2,0)+IF(G3="X",2,0)+IF(H3="X",3,IF(H3="Y",1.5,0))+IF(I3="X",5,IF(I3="Y",2.5,0))+IF(J3="X",10,IF(J3="Y",5,0))</f>
        <v>20</v>
      </c>
      <c r="N3" s="15">
        <f t="shared" ref="N3:N8" si="0">+IF(K3="X",1,0)</f>
        <v>0</v>
      </c>
      <c r="O3" s="12">
        <v>111742</v>
      </c>
      <c r="P3" s="12">
        <f t="shared" ref="P3" si="1">+L3/12</f>
        <v>29166.666666666668</v>
      </c>
      <c r="Q3" s="12">
        <f>+O3/12</f>
        <v>9311.8333333333339</v>
      </c>
    </row>
    <row r="4" spans="1:18" x14ac:dyDescent="0.3">
      <c r="A4" s="1">
        <f>+A3+1</f>
        <v>2</v>
      </c>
      <c r="B4" s="4" t="s">
        <v>4</v>
      </c>
      <c r="C4" s="3" t="s">
        <v>3</v>
      </c>
      <c r="D4" s="1" t="s">
        <v>40</v>
      </c>
      <c r="E4" s="1" t="s">
        <v>40</v>
      </c>
      <c r="F4" s="1"/>
      <c r="G4" s="1"/>
      <c r="H4" s="1" t="s">
        <v>40</v>
      </c>
      <c r="I4" s="1"/>
      <c r="J4" s="1"/>
      <c r="K4" s="1"/>
      <c r="L4" s="12">
        <v>111742</v>
      </c>
      <c r="M4" s="15">
        <f t="shared" ref="M4:M32" si="2">+IF(D4="X",1,0)+IF(E4="X",1,0)+IF(F4="X",2,0)+IF(G4="X",2,0)+IF(H4="X",3,IF(H4="Y",1.5,0))+IF(I4="X",5,IF(I4="Y",2.5,0))+IF(J4="X",10,IF(J4="Y",5,0))</f>
        <v>5</v>
      </c>
      <c r="N4" s="15">
        <f t="shared" si="0"/>
        <v>0</v>
      </c>
      <c r="O4" s="12">
        <v>111742</v>
      </c>
      <c r="P4" s="12">
        <f t="shared" ref="P4:P10" si="3">+L4/12</f>
        <v>9311.8333333333339</v>
      </c>
      <c r="Q4" s="12">
        <f>+O4/12</f>
        <v>9311.8333333333339</v>
      </c>
    </row>
    <row r="5" spans="1:18" x14ac:dyDescent="0.3">
      <c r="A5" s="1">
        <f t="shared" ref="A5:A32" si="4">+A4+1</f>
        <v>3</v>
      </c>
      <c r="B5" s="2" t="s">
        <v>5</v>
      </c>
      <c r="C5" s="3" t="s">
        <v>3</v>
      </c>
      <c r="D5" s="1" t="s">
        <v>40</v>
      </c>
      <c r="E5" s="1" t="s">
        <v>40</v>
      </c>
      <c r="F5" s="1"/>
      <c r="G5" s="1"/>
      <c r="H5" s="1" t="s">
        <v>40</v>
      </c>
      <c r="I5" s="1"/>
      <c r="J5" s="1"/>
      <c r="K5" s="1"/>
      <c r="L5" s="12">
        <v>147096</v>
      </c>
      <c r="M5" s="15">
        <f t="shared" si="2"/>
        <v>5</v>
      </c>
      <c r="N5" s="15">
        <f t="shared" si="0"/>
        <v>0</v>
      </c>
      <c r="O5" s="12">
        <v>147096</v>
      </c>
      <c r="P5" s="12">
        <f t="shared" si="3"/>
        <v>12258</v>
      </c>
      <c r="Q5" s="12">
        <f t="shared" ref="Q5:Q8" si="5">+O5/12</f>
        <v>12258</v>
      </c>
    </row>
    <row r="6" spans="1:18" x14ac:dyDescent="0.3">
      <c r="A6" s="1">
        <f t="shared" si="4"/>
        <v>4</v>
      </c>
      <c r="B6" s="4" t="s">
        <v>6</v>
      </c>
      <c r="C6" s="3" t="s">
        <v>3</v>
      </c>
      <c r="D6" s="1" t="s">
        <v>40</v>
      </c>
      <c r="E6" s="1" t="s">
        <v>40</v>
      </c>
      <c r="F6" s="1"/>
      <c r="G6" s="1"/>
      <c r="H6" s="1" t="s">
        <v>40</v>
      </c>
      <c r="I6" s="1" t="s">
        <v>40</v>
      </c>
      <c r="J6" s="1"/>
      <c r="K6" s="1"/>
      <c r="L6" s="12">
        <v>110787</v>
      </c>
      <c r="M6" s="15">
        <f t="shared" si="2"/>
        <v>10</v>
      </c>
      <c r="N6" s="15">
        <f t="shared" si="0"/>
        <v>0</v>
      </c>
      <c r="O6" s="12">
        <v>110787</v>
      </c>
      <c r="P6" s="12">
        <f t="shared" si="3"/>
        <v>9232.25</v>
      </c>
      <c r="Q6" s="12">
        <f t="shared" si="5"/>
        <v>9232.25</v>
      </c>
    </row>
    <row r="7" spans="1:18" x14ac:dyDescent="0.3">
      <c r="A7" s="1">
        <f t="shared" si="4"/>
        <v>5</v>
      </c>
      <c r="B7" s="4" t="s">
        <v>7</v>
      </c>
      <c r="C7" s="3" t="s">
        <v>3</v>
      </c>
      <c r="D7" s="1" t="s">
        <v>40</v>
      </c>
      <c r="E7" s="1" t="s">
        <v>40</v>
      </c>
      <c r="F7" s="1"/>
      <c r="G7" s="1"/>
      <c r="H7" s="1" t="s">
        <v>40</v>
      </c>
      <c r="I7" s="1" t="s">
        <v>40</v>
      </c>
      <c r="J7" s="1"/>
      <c r="K7" s="1"/>
      <c r="L7" s="12">
        <v>217445</v>
      </c>
      <c r="M7" s="15">
        <f t="shared" si="2"/>
        <v>10</v>
      </c>
      <c r="N7" s="15">
        <f t="shared" si="0"/>
        <v>0</v>
      </c>
      <c r="O7" s="12">
        <v>217445</v>
      </c>
      <c r="P7" s="12">
        <f t="shared" si="3"/>
        <v>18120.416666666668</v>
      </c>
      <c r="Q7" s="12">
        <f t="shared" si="5"/>
        <v>18120.416666666668</v>
      </c>
    </row>
    <row r="8" spans="1:18" x14ac:dyDescent="0.3">
      <c r="A8" s="1">
        <f t="shared" si="4"/>
        <v>6</v>
      </c>
      <c r="B8" s="4" t="s">
        <v>8</v>
      </c>
      <c r="C8" s="3" t="s">
        <v>3</v>
      </c>
      <c r="D8" s="1" t="s">
        <v>40</v>
      </c>
      <c r="E8" s="1" t="s">
        <v>40</v>
      </c>
      <c r="F8" s="1"/>
      <c r="G8" s="1"/>
      <c r="H8" s="1" t="s">
        <v>40</v>
      </c>
      <c r="I8" s="1"/>
      <c r="J8" s="1"/>
      <c r="K8" s="1"/>
      <c r="L8" s="12">
        <v>62558</v>
      </c>
      <c r="M8" s="15">
        <f t="shared" si="2"/>
        <v>5</v>
      </c>
      <c r="N8" s="15">
        <f t="shared" si="0"/>
        <v>0</v>
      </c>
      <c r="O8" s="12">
        <v>62558</v>
      </c>
      <c r="P8" s="12">
        <f t="shared" si="3"/>
        <v>5213.166666666667</v>
      </c>
      <c r="Q8" s="12">
        <f t="shared" si="5"/>
        <v>5213.166666666667</v>
      </c>
    </row>
    <row r="9" spans="1:18" x14ac:dyDescent="0.3">
      <c r="A9" s="7">
        <f t="shared" si="4"/>
        <v>7</v>
      </c>
      <c r="B9" s="8" t="s">
        <v>9</v>
      </c>
      <c r="C9" s="9"/>
      <c r="D9" s="7"/>
      <c r="E9" s="7"/>
      <c r="F9" s="7"/>
      <c r="G9" s="7"/>
      <c r="H9" s="7"/>
      <c r="I9" s="7"/>
      <c r="J9" s="7"/>
      <c r="K9" s="7"/>
      <c r="L9" s="13"/>
      <c r="M9" s="13"/>
      <c r="N9" s="13"/>
      <c r="O9" s="13"/>
      <c r="P9" s="13"/>
      <c r="Q9" s="13"/>
    </row>
    <row r="10" spans="1:18" x14ac:dyDescent="0.3">
      <c r="A10" s="1">
        <f t="shared" si="4"/>
        <v>8</v>
      </c>
      <c r="B10" s="4" t="s">
        <v>10</v>
      </c>
      <c r="C10" s="3" t="s">
        <v>3</v>
      </c>
      <c r="D10" s="1" t="s">
        <v>40</v>
      </c>
      <c r="E10" s="1" t="s">
        <v>40</v>
      </c>
      <c r="F10" s="1"/>
      <c r="G10" s="1"/>
      <c r="H10" s="1" t="s">
        <v>40</v>
      </c>
      <c r="I10" s="1"/>
      <c r="J10" s="1"/>
      <c r="K10" s="1"/>
      <c r="L10" s="12">
        <v>394363</v>
      </c>
      <c r="M10" s="15">
        <f t="shared" si="2"/>
        <v>5</v>
      </c>
      <c r="N10" s="15">
        <f>+IF(K10="X",1,0)</f>
        <v>0</v>
      </c>
      <c r="O10" s="20"/>
      <c r="P10" s="12">
        <f t="shared" si="3"/>
        <v>32863.583333333336</v>
      </c>
      <c r="Q10" s="20"/>
      <c r="R10" t="s">
        <v>140</v>
      </c>
    </row>
    <row r="11" spans="1:18" x14ac:dyDescent="0.3">
      <c r="A11" s="7">
        <f t="shared" si="4"/>
        <v>9</v>
      </c>
      <c r="B11" s="10"/>
      <c r="C11" s="9"/>
      <c r="D11" s="7"/>
      <c r="E11" s="7"/>
      <c r="F11" s="7"/>
      <c r="G11" s="7"/>
      <c r="H11" s="7"/>
      <c r="I11" s="7"/>
      <c r="J11" s="7"/>
      <c r="K11" s="7"/>
      <c r="L11" s="13"/>
      <c r="M11" s="13"/>
      <c r="N11" s="13"/>
      <c r="O11" s="13"/>
      <c r="P11" s="13"/>
      <c r="Q11" s="13"/>
    </row>
    <row r="12" spans="1:18" x14ac:dyDescent="0.3">
      <c r="A12" s="1">
        <f t="shared" si="4"/>
        <v>10</v>
      </c>
      <c r="B12" s="2" t="s">
        <v>11</v>
      </c>
      <c r="C12" s="3" t="s">
        <v>3</v>
      </c>
      <c r="D12" s="1" t="s">
        <v>40</v>
      </c>
      <c r="E12" s="1" t="s">
        <v>40</v>
      </c>
      <c r="F12" s="1"/>
      <c r="G12" s="1"/>
      <c r="H12" s="1" t="s">
        <v>40</v>
      </c>
      <c r="I12" s="1" t="s">
        <v>40</v>
      </c>
      <c r="J12" s="1"/>
      <c r="K12" s="1"/>
      <c r="L12" s="12">
        <v>90412.49</v>
      </c>
      <c r="M12" s="15">
        <f t="shared" si="2"/>
        <v>10</v>
      </c>
      <c r="N12" s="15">
        <f t="shared" ref="N12:N32" si="6">+IF(K12="X",1,0)</f>
        <v>0</v>
      </c>
      <c r="O12" s="12">
        <v>90412.49</v>
      </c>
      <c r="P12" s="12">
        <f t="shared" ref="P12:P32" si="7">+L12/12</f>
        <v>7534.3741666666674</v>
      </c>
      <c r="Q12" s="12">
        <f t="shared" ref="Q12:Q32" si="8">+O12/12</f>
        <v>7534.3741666666674</v>
      </c>
    </row>
    <row r="13" spans="1:18" x14ac:dyDescent="0.3">
      <c r="A13" s="1">
        <f t="shared" si="4"/>
        <v>11</v>
      </c>
      <c r="B13" s="2" t="s">
        <v>12</v>
      </c>
      <c r="C13" s="3" t="s">
        <v>3</v>
      </c>
      <c r="D13" s="1" t="s">
        <v>40</v>
      </c>
      <c r="E13" s="1" t="s">
        <v>40</v>
      </c>
      <c r="F13" s="1"/>
      <c r="G13" s="1"/>
      <c r="H13" s="1" t="s">
        <v>40</v>
      </c>
      <c r="I13" s="1" t="s">
        <v>40</v>
      </c>
      <c r="J13" s="1" t="s">
        <v>40</v>
      </c>
      <c r="K13" s="1"/>
      <c r="L13" s="14">
        <v>228837</v>
      </c>
      <c r="M13" s="15">
        <f t="shared" si="2"/>
        <v>20</v>
      </c>
      <c r="N13" s="15">
        <f t="shared" si="6"/>
        <v>0</v>
      </c>
      <c r="O13" s="14">
        <v>228837</v>
      </c>
      <c r="P13" s="12">
        <f t="shared" si="7"/>
        <v>19069.75</v>
      </c>
      <c r="Q13" s="12">
        <f t="shared" si="8"/>
        <v>19069.75</v>
      </c>
    </row>
    <row r="14" spans="1:18" x14ac:dyDescent="0.3">
      <c r="A14" s="1">
        <f t="shared" si="4"/>
        <v>12</v>
      </c>
      <c r="B14" s="2" t="s">
        <v>13</v>
      </c>
      <c r="C14" s="3" t="s">
        <v>3</v>
      </c>
      <c r="D14" s="1" t="s">
        <v>40</v>
      </c>
      <c r="E14" s="1" t="s">
        <v>40</v>
      </c>
      <c r="F14" s="1" t="s">
        <v>40</v>
      </c>
      <c r="G14" s="1"/>
      <c r="H14" s="1"/>
      <c r="I14" s="1"/>
      <c r="J14" s="1"/>
      <c r="K14" s="1"/>
      <c r="L14" s="14">
        <v>44724</v>
      </c>
      <c r="M14" s="15">
        <f t="shared" si="2"/>
        <v>4</v>
      </c>
      <c r="N14" s="15">
        <f t="shared" si="6"/>
        <v>0</v>
      </c>
      <c r="O14" s="14">
        <v>44724</v>
      </c>
      <c r="P14" s="12">
        <f t="shared" si="7"/>
        <v>3727</v>
      </c>
      <c r="Q14" s="12">
        <f t="shared" si="8"/>
        <v>3727</v>
      </c>
    </row>
    <row r="15" spans="1:18" x14ac:dyDescent="0.3">
      <c r="A15" s="1">
        <f t="shared" si="4"/>
        <v>13</v>
      </c>
      <c r="B15" s="5" t="s">
        <v>14</v>
      </c>
      <c r="C15" s="3" t="s">
        <v>3</v>
      </c>
      <c r="D15" s="1" t="s">
        <v>40</v>
      </c>
      <c r="E15" s="1" t="s">
        <v>40</v>
      </c>
      <c r="F15" s="1"/>
      <c r="G15" s="1"/>
      <c r="H15" s="1" t="s">
        <v>40</v>
      </c>
      <c r="I15" s="1" t="s">
        <v>40</v>
      </c>
      <c r="J15" s="1" t="s">
        <v>40</v>
      </c>
      <c r="K15" s="1"/>
      <c r="L15" s="14">
        <v>240000</v>
      </c>
      <c r="M15" s="15">
        <f t="shared" si="2"/>
        <v>20</v>
      </c>
      <c r="N15" s="15">
        <f t="shared" si="6"/>
        <v>0</v>
      </c>
      <c r="O15" s="14">
        <v>240000</v>
      </c>
      <c r="P15" s="12">
        <f t="shared" si="7"/>
        <v>20000</v>
      </c>
      <c r="Q15" s="12">
        <f t="shared" si="8"/>
        <v>20000</v>
      </c>
    </row>
    <row r="16" spans="1:18" x14ac:dyDescent="0.3">
      <c r="A16" s="1">
        <f t="shared" si="4"/>
        <v>14</v>
      </c>
      <c r="B16" s="2" t="s">
        <v>15</v>
      </c>
      <c r="C16" s="3" t="s">
        <v>3</v>
      </c>
      <c r="D16" s="1" t="s">
        <v>40</v>
      </c>
      <c r="E16" s="1" t="s">
        <v>40</v>
      </c>
      <c r="F16" s="1"/>
      <c r="G16" s="1"/>
      <c r="H16" s="1" t="s">
        <v>40</v>
      </c>
      <c r="I16" s="1" t="s">
        <v>43</v>
      </c>
      <c r="J16" s="1"/>
      <c r="K16" s="1"/>
      <c r="L16" s="14">
        <v>128400</v>
      </c>
      <c r="M16" s="15">
        <f t="shared" si="2"/>
        <v>7.5</v>
      </c>
      <c r="N16" s="15">
        <f t="shared" si="6"/>
        <v>0</v>
      </c>
      <c r="O16" s="14">
        <v>128400</v>
      </c>
      <c r="P16" s="12">
        <f t="shared" si="7"/>
        <v>10700</v>
      </c>
      <c r="Q16" s="12">
        <f t="shared" si="8"/>
        <v>10700</v>
      </c>
    </row>
    <row r="17" spans="1:17" x14ac:dyDescent="0.3">
      <c r="A17" s="1">
        <f t="shared" si="4"/>
        <v>15</v>
      </c>
      <c r="B17" s="4" t="s">
        <v>16</v>
      </c>
      <c r="C17" s="3" t="s">
        <v>3</v>
      </c>
      <c r="D17" s="1" t="s">
        <v>40</v>
      </c>
      <c r="E17" s="1" t="s">
        <v>40</v>
      </c>
      <c r="F17" s="1"/>
      <c r="G17" s="1"/>
      <c r="H17" s="1"/>
      <c r="I17" s="1"/>
      <c r="J17" s="1"/>
      <c r="K17" s="1"/>
      <c r="L17" s="14">
        <v>49000</v>
      </c>
      <c r="M17" s="15">
        <f t="shared" si="2"/>
        <v>2</v>
      </c>
      <c r="N17" s="15">
        <f t="shared" si="6"/>
        <v>0</v>
      </c>
      <c r="O17" s="14">
        <v>49000</v>
      </c>
      <c r="P17" s="12">
        <f t="shared" si="7"/>
        <v>4083.3333333333335</v>
      </c>
      <c r="Q17" s="12">
        <f t="shared" si="8"/>
        <v>4083.3333333333335</v>
      </c>
    </row>
    <row r="18" spans="1:17" x14ac:dyDescent="0.3">
      <c r="A18" s="1">
        <f t="shared" si="4"/>
        <v>16</v>
      </c>
      <c r="B18" s="4" t="s">
        <v>17</v>
      </c>
      <c r="C18" s="3" t="s">
        <v>3</v>
      </c>
      <c r="D18" s="1" t="s">
        <v>40</v>
      </c>
      <c r="E18" s="1" t="s">
        <v>40</v>
      </c>
      <c r="F18" s="1"/>
      <c r="G18" s="1" t="s">
        <v>40</v>
      </c>
      <c r="H18" s="1"/>
      <c r="I18" s="1"/>
      <c r="J18" s="1"/>
      <c r="K18" s="1"/>
      <c r="L18" s="14">
        <v>93720</v>
      </c>
      <c r="M18" s="15">
        <f t="shared" si="2"/>
        <v>4</v>
      </c>
      <c r="N18" s="15">
        <f t="shared" si="6"/>
        <v>0</v>
      </c>
      <c r="O18" s="14">
        <v>93720</v>
      </c>
      <c r="P18" s="12">
        <f t="shared" si="7"/>
        <v>7810</v>
      </c>
      <c r="Q18" s="12">
        <f t="shared" si="8"/>
        <v>7810</v>
      </c>
    </row>
    <row r="19" spans="1:17" x14ac:dyDescent="0.3">
      <c r="A19" s="1">
        <f t="shared" si="4"/>
        <v>17</v>
      </c>
      <c r="B19" s="4" t="s">
        <v>18</v>
      </c>
      <c r="C19" s="3" t="s">
        <v>3</v>
      </c>
      <c r="D19" s="1" t="s">
        <v>40</v>
      </c>
      <c r="E19" s="1" t="s">
        <v>40</v>
      </c>
      <c r="F19" s="1"/>
      <c r="G19" s="1"/>
      <c r="H19" s="1" t="s">
        <v>40</v>
      </c>
      <c r="I19" s="1"/>
      <c r="J19" s="1"/>
      <c r="K19" s="1"/>
      <c r="L19" s="14">
        <v>44000</v>
      </c>
      <c r="M19" s="15">
        <f t="shared" si="2"/>
        <v>5</v>
      </c>
      <c r="N19" s="15">
        <f t="shared" si="6"/>
        <v>0</v>
      </c>
      <c r="O19" s="14">
        <v>44000</v>
      </c>
      <c r="P19" s="12">
        <f t="shared" si="7"/>
        <v>3666.6666666666665</v>
      </c>
      <c r="Q19" s="12">
        <f t="shared" si="8"/>
        <v>3666.6666666666665</v>
      </c>
    </row>
    <row r="20" spans="1:17" x14ac:dyDescent="0.3">
      <c r="A20" s="1">
        <f t="shared" si="4"/>
        <v>18</v>
      </c>
      <c r="B20" s="4" t="s">
        <v>19</v>
      </c>
      <c r="C20" s="3" t="s">
        <v>3</v>
      </c>
      <c r="D20" s="1" t="s">
        <v>40</v>
      </c>
      <c r="E20" s="1" t="s">
        <v>40</v>
      </c>
      <c r="F20" s="1" t="s">
        <v>40</v>
      </c>
      <c r="G20" s="1"/>
      <c r="H20" s="1" t="s">
        <v>40</v>
      </c>
      <c r="I20" s="1" t="s">
        <v>43</v>
      </c>
      <c r="J20" s="1"/>
      <c r="K20" s="1"/>
      <c r="L20" s="14">
        <v>18000</v>
      </c>
      <c r="M20" s="15">
        <f t="shared" si="2"/>
        <v>9.5</v>
      </c>
      <c r="N20" s="15">
        <f t="shared" si="6"/>
        <v>0</v>
      </c>
      <c r="O20" s="14">
        <v>18000</v>
      </c>
      <c r="P20" s="12">
        <f t="shared" si="7"/>
        <v>1500</v>
      </c>
      <c r="Q20" s="12">
        <f t="shared" si="8"/>
        <v>1500</v>
      </c>
    </row>
    <row r="21" spans="1:17" x14ac:dyDescent="0.3">
      <c r="A21" s="1">
        <f t="shared" si="4"/>
        <v>19</v>
      </c>
      <c r="B21" s="2" t="s">
        <v>20</v>
      </c>
      <c r="C21" s="3" t="s">
        <v>3</v>
      </c>
      <c r="D21" s="1" t="s">
        <v>40</v>
      </c>
      <c r="E21" s="1" t="s">
        <v>40</v>
      </c>
      <c r="F21" s="1"/>
      <c r="G21" s="1"/>
      <c r="H21" s="1"/>
      <c r="I21" s="1"/>
      <c r="J21" s="1"/>
      <c r="K21" s="1"/>
      <c r="L21" s="14">
        <v>36000</v>
      </c>
      <c r="M21" s="15">
        <f t="shared" si="2"/>
        <v>2</v>
      </c>
      <c r="N21" s="15">
        <f t="shared" si="6"/>
        <v>0</v>
      </c>
      <c r="O21" s="14">
        <v>36000</v>
      </c>
      <c r="P21" s="12">
        <f t="shared" si="7"/>
        <v>3000</v>
      </c>
      <c r="Q21" s="12">
        <f t="shared" si="8"/>
        <v>3000</v>
      </c>
    </row>
    <row r="22" spans="1:17" x14ac:dyDescent="0.3">
      <c r="A22" s="1">
        <f t="shared" si="4"/>
        <v>20</v>
      </c>
      <c r="B22" s="2" t="s">
        <v>21</v>
      </c>
      <c r="C22" s="3" t="s">
        <v>3</v>
      </c>
      <c r="D22" s="1" t="s">
        <v>40</v>
      </c>
      <c r="E22" s="1" t="s">
        <v>40</v>
      </c>
      <c r="F22" s="1" t="s">
        <v>40</v>
      </c>
      <c r="G22" s="1" t="s">
        <v>40</v>
      </c>
      <c r="H22" s="1"/>
      <c r="I22" s="1" t="s">
        <v>40</v>
      </c>
      <c r="J22" s="1"/>
      <c r="K22" s="1"/>
      <c r="L22" s="14">
        <v>31000</v>
      </c>
      <c r="M22" s="15">
        <f t="shared" si="2"/>
        <v>11</v>
      </c>
      <c r="N22" s="15">
        <f t="shared" si="6"/>
        <v>0</v>
      </c>
      <c r="O22" s="14">
        <v>31000</v>
      </c>
      <c r="P22" s="12">
        <f t="shared" si="7"/>
        <v>2583.3333333333335</v>
      </c>
      <c r="Q22" s="12">
        <f t="shared" si="8"/>
        <v>2583.3333333333335</v>
      </c>
    </row>
    <row r="23" spans="1:17" x14ac:dyDescent="0.3">
      <c r="A23" s="1">
        <f t="shared" si="4"/>
        <v>21</v>
      </c>
      <c r="B23" s="2" t="s">
        <v>22</v>
      </c>
      <c r="C23" s="3" t="s">
        <v>3</v>
      </c>
      <c r="D23" s="1" t="s">
        <v>40</v>
      </c>
      <c r="E23" s="1" t="s">
        <v>40</v>
      </c>
      <c r="F23" s="1"/>
      <c r="G23" s="1"/>
      <c r="H23" s="1" t="s">
        <v>40</v>
      </c>
      <c r="I23" s="1"/>
      <c r="J23" s="1"/>
      <c r="K23" s="1"/>
      <c r="L23" s="14">
        <v>6000</v>
      </c>
      <c r="M23" s="15">
        <f t="shared" si="2"/>
        <v>5</v>
      </c>
      <c r="N23" s="15">
        <f t="shared" si="6"/>
        <v>0</v>
      </c>
      <c r="O23" s="14">
        <v>6000</v>
      </c>
      <c r="P23" s="12">
        <f t="shared" si="7"/>
        <v>500</v>
      </c>
      <c r="Q23" s="12">
        <f t="shared" si="8"/>
        <v>500</v>
      </c>
    </row>
    <row r="24" spans="1:17" x14ac:dyDescent="0.3">
      <c r="A24" s="1">
        <f t="shared" si="4"/>
        <v>22</v>
      </c>
      <c r="B24" s="2" t="s">
        <v>23</v>
      </c>
      <c r="C24" s="3" t="s">
        <v>3</v>
      </c>
      <c r="D24" s="1" t="s">
        <v>40</v>
      </c>
      <c r="E24" s="1" t="s">
        <v>40</v>
      </c>
      <c r="F24" s="1"/>
      <c r="G24" s="1"/>
      <c r="H24" s="1"/>
      <c r="I24" s="1"/>
      <c r="J24" s="1"/>
      <c r="K24" s="1"/>
      <c r="L24" s="14">
        <v>14400</v>
      </c>
      <c r="M24" s="15">
        <f t="shared" si="2"/>
        <v>2</v>
      </c>
      <c r="N24" s="15">
        <f t="shared" si="6"/>
        <v>0</v>
      </c>
      <c r="O24" s="14">
        <v>14400</v>
      </c>
      <c r="P24" s="12">
        <f t="shared" si="7"/>
        <v>1200</v>
      </c>
      <c r="Q24" s="12">
        <f t="shared" si="8"/>
        <v>1200</v>
      </c>
    </row>
    <row r="25" spans="1:17" x14ac:dyDescent="0.3">
      <c r="A25" s="1">
        <f t="shared" si="4"/>
        <v>23</v>
      </c>
      <c r="B25" s="2" t="s">
        <v>24</v>
      </c>
      <c r="C25" s="3" t="s">
        <v>3</v>
      </c>
      <c r="D25" s="1" t="s">
        <v>40</v>
      </c>
      <c r="E25" s="1" t="s">
        <v>40</v>
      </c>
      <c r="F25" s="1"/>
      <c r="G25" s="1"/>
      <c r="H25" s="1" t="s">
        <v>40</v>
      </c>
      <c r="I25" s="1" t="s">
        <v>40</v>
      </c>
      <c r="J25" s="1" t="s">
        <v>40</v>
      </c>
      <c r="K25" s="1"/>
      <c r="L25" s="14">
        <v>82800</v>
      </c>
      <c r="M25" s="15">
        <f t="shared" si="2"/>
        <v>20</v>
      </c>
      <c r="N25" s="15">
        <f t="shared" si="6"/>
        <v>0</v>
      </c>
      <c r="O25" s="14">
        <v>82800</v>
      </c>
      <c r="P25" s="12">
        <f t="shared" si="7"/>
        <v>6900</v>
      </c>
      <c r="Q25" s="12">
        <f t="shared" si="8"/>
        <v>6900</v>
      </c>
    </row>
    <row r="26" spans="1:17" x14ac:dyDescent="0.3">
      <c r="A26" s="1">
        <f t="shared" si="4"/>
        <v>24</v>
      </c>
      <c r="B26" s="2" t="s">
        <v>25</v>
      </c>
      <c r="C26" s="3" t="s">
        <v>3</v>
      </c>
      <c r="D26" s="1" t="s">
        <v>40</v>
      </c>
      <c r="E26" s="1" t="s">
        <v>40</v>
      </c>
      <c r="F26" s="1"/>
      <c r="G26" s="1"/>
      <c r="H26" s="1"/>
      <c r="I26" s="1"/>
      <c r="J26" s="1"/>
      <c r="K26" s="1"/>
      <c r="L26" s="14">
        <v>12000</v>
      </c>
      <c r="M26" s="15">
        <f t="shared" si="2"/>
        <v>2</v>
      </c>
      <c r="N26" s="15">
        <f t="shared" si="6"/>
        <v>0</v>
      </c>
      <c r="O26" s="14">
        <v>12000</v>
      </c>
      <c r="P26" s="12">
        <f t="shared" si="7"/>
        <v>1000</v>
      </c>
      <c r="Q26" s="12">
        <f t="shared" si="8"/>
        <v>1000</v>
      </c>
    </row>
    <row r="27" spans="1:17" x14ac:dyDescent="0.3">
      <c r="A27" s="1">
        <f t="shared" si="4"/>
        <v>25</v>
      </c>
      <c r="B27" s="2" t="s">
        <v>26</v>
      </c>
      <c r="C27" s="3" t="s">
        <v>3</v>
      </c>
      <c r="D27" s="1" t="s">
        <v>40</v>
      </c>
      <c r="E27" s="1" t="s">
        <v>40</v>
      </c>
      <c r="F27" s="1"/>
      <c r="G27" s="1"/>
      <c r="H27" s="1" t="s">
        <v>40</v>
      </c>
      <c r="I27" s="1" t="s">
        <v>40</v>
      </c>
      <c r="J27" s="1"/>
      <c r="K27" s="1"/>
      <c r="L27" s="14">
        <v>76500</v>
      </c>
      <c r="M27" s="15">
        <f t="shared" si="2"/>
        <v>10</v>
      </c>
      <c r="N27" s="15">
        <f t="shared" si="6"/>
        <v>0</v>
      </c>
      <c r="O27" s="14">
        <v>76500</v>
      </c>
      <c r="P27" s="12">
        <f t="shared" si="7"/>
        <v>6375</v>
      </c>
      <c r="Q27" s="12">
        <f t="shared" si="8"/>
        <v>6375</v>
      </c>
    </row>
    <row r="28" spans="1:17" x14ac:dyDescent="0.3">
      <c r="A28" s="1">
        <f t="shared" si="4"/>
        <v>26</v>
      </c>
      <c r="B28" s="2" t="s">
        <v>27</v>
      </c>
      <c r="C28" s="3" t="s">
        <v>3</v>
      </c>
      <c r="D28" s="1" t="s">
        <v>40</v>
      </c>
      <c r="E28" s="1" t="s">
        <v>40</v>
      </c>
      <c r="F28" s="1" t="s">
        <v>40</v>
      </c>
      <c r="G28" s="1"/>
      <c r="H28" s="1"/>
      <c r="I28" s="1"/>
      <c r="J28" s="1"/>
      <c r="K28" s="1"/>
      <c r="L28" s="14">
        <v>8410.08</v>
      </c>
      <c r="M28" s="15">
        <f t="shared" si="2"/>
        <v>4</v>
      </c>
      <c r="N28" s="15">
        <f t="shared" si="6"/>
        <v>0</v>
      </c>
      <c r="O28" s="14">
        <v>8410.08</v>
      </c>
      <c r="P28" s="12">
        <f t="shared" si="7"/>
        <v>700.84</v>
      </c>
      <c r="Q28" s="12">
        <f t="shared" si="8"/>
        <v>700.84</v>
      </c>
    </row>
    <row r="29" spans="1:17" x14ac:dyDescent="0.3">
      <c r="A29" s="1">
        <f t="shared" si="4"/>
        <v>27</v>
      </c>
      <c r="B29" s="5" t="s">
        <v>28</v>
      </c>
      <c r="C29" s="3" t="s">
        <v>3</v>
      </c>
      <c r="D29" s="1" t="s">
        <v>40</v>
      </c>
      <c r="E29" s="1" t="s">
        <v>40</v>
      </c>
      <c r="F29" s="1" t="s">
        <v>40</v>
      </c>
      <c r="G29" s="1"/>
      <c r="H29" s="1"/>
      <c r="I29" s="1"/>
      <c r="J29" s="1"/>
      <c r="K29" s="1"/>
      <c r="L29" s="14">
        <v>60279.44</v>
      </c>
      <c r="M29" s="15">
        <f t="shared" si="2"/>
        <v>4</v>
      </c>
      <c r="N29" s="15">
        <f t="shared" si="6"/>
        <v>0</v>
      </c>
      <c r="O29" s="14">
        <v>60279.44</v>
      </c>
      <c r="P29" s="12">
        <f t="shared" si="7"/>
        <v>5023.2866666666669</v>
      </c>
      <c r="Q29" s="12">
        <f t="shared" si="8"/>
        <v>5023.2866666666669</v>
      </c>
    </row>
    <row r="30" spans="1:17" x14ac:dyDescent="0.3">
      <c r="A30" s="1">
        <f t="shared" si="4"/>
        <v>28</v>
      </c>
      <c r="B30" s="2" t="s">
        <v>29</v>
      </c>
      <c r="C30" s="3" t="s">
        <v>3</v>
      </c>
      <c r="D30" s="1" t="s">
        <v>40</v>
      </c>
      <c r="E30" s="1" t="s">
        <v>40</v>
      </c>
      <c r="F30" s="1"/>
      <c r="G30" s="1"/>
      <c r="H30" s="1" t="s">
        <v>40</v>
      </c>
      <c r="I30" s="1"/>
      <c r="J30" s="1"/>
      <c r="K30" s="1"/>
      <c r="L30" s="14">
        <v>42000</v>
      </c>
      <c r="M30" s="15">
        <f t="shared" si="2"/>
        <v>5</v>
      </c>
      <c r="N30" s="15">
        <f t="shared" si="6"/>
        <v>0</v>
      </c>
      <c r="O30" s="14">
        <v>42000</v>
      </c>
      <c r="P30" s="12">
        <f t="shared" si="7"/>
        <v>3500</v>
      </c>
      <c r="Q30" s="12">
        <f t="shared" si="8"/>
        <v>3500</v>
      </c>
    </row>
    <row r="31" spans="1:17" x14ac:dyDescent="0.3">
      <c r="A31" s="1">
        <f t="shared" si="4"/>
        <v>29</v>
      </c>
      <c r="B31" s="2" t="s">
        <v>30</v>
      </c>
      <c r="C31" s="3" t="s">
        <v>3</v>
      </c>
      <c r="D31" s="1" t="s">
        <v>40</v>
      </c>
      <c r="E31" s="1" t="s">
        <v>40</v>
      </c>
      <c r="F31" s="1"/>
      <c r="G31" s="1"/>
      <c r="H31" s="1" t="s">
        <v>40</v>
      </c>
      <c r="I31" s="1"/>
      <c r="J31" s="1"/>
      <c r="K31" s="1"/>
      <c r="L31" s="14">
        <v>114407</v>
      </c>
      <c r="M31" s="15">
        <f t="shared" si="2"/>
        <v>5</v>
      </c>
      <c r="N31" s="15">
        <f t="shared" si="6"/>
        <v>0</v>
      </c>
      <c r="O31" s="14">
        <v>114407</v>
      </c>
      <c r="P31" s="12">
        <f t="shared" si="7"/>
        <v>9533.9166666666661</v>
      </c>
      <c r="Q31" s="12">
        <f t="shared" si="8"/>
        <v>9533.9166666666661</v>
      </c>
    </row>
    <row r="32" spans="1:17" x14ac:dyDescent="0.3">
      <c r="A32" s="1">
        <f t="shared" si="4"/>
        <v>30</v>
      </c>
      <c r="B32" s="5" t="s">
        <v>31</v>
      </c>
      <c r="C32" s="3" t="s">
        <v>3</v>
      </c>
      <c r="D32" s="1" t="s">
        <v>40</v>
      </c>
      <c r="E32" s="1" t="s">
        <v>40</v>
      </c>
      <c r="F32" s="1"/>
      <c r="G32" s="1"/>
      <c r="H32" s="1" t="s">
        <v>40</v>
      </c>
      <c r="I32" s="1"/>
      <c r="J32" s="1"/>
      <c r="K32" s="1"/>
      <c r="L32" s="14">
        <v>44400</v>
      </c>
      <c r="M32" s="15">
        <f t="shared" si="2"/>
        <v>5</v>
      </c>
      <c r="N32" s="15">
        <f t="shared" si="6"/>
        <v>0</v>
      </c>
      <c r="O32" s="14">
        <v>44400</v>
      </c>
      <c r="P32" s="12">
        <f t="shared" si="7"/>
        <v>3700</v>
      </c>
      <c r="Q32" s="12">
        <f t="shared" si="8"/>
        <v>3700</v>
      </c>
    </row>
    <row r="33" spans="1:21" x14ac:dyDescent="0.3">
      <c r="L33" s="14">
        <f>+AVERAGE(L3:L32)</f>
        <v>102117.17892857143</v>
      </c>
      <c r="M33" s="14">
        <f>+AVERAGE(M3:M32)</f>
        <v>7.75</v>
      </c>
      <c r="N33" s="14">
        <f>+SUM(N3:N32)</f>
        <v>0</v>
      </c>
      <c r="O33" s="14">
        <f>+AVERAGE(O3:O32)</f>
        <v>82468.889259259246</v>
      </c>
      <c r="P33" s="14">
        <f>+AVERAGE(P3:P32)</f>
        <v>8509.7649107142861</v>
      </c>
      <c r="Q33" s="14">
        <f>+AVERAGE(Q3:Q32)</f>
        <v>6872.4074382716044</v>
      </c>
      <c r="R33" s="14">
        <f>30-COUNTBLANK(R3:R32)</f>
        <v>1</v>
      </c>
    </row>
    <row r="34" spans="1:21" x14ac:dyDescent="0.3">
      <c r="L34" s="14">
        <f>+STDEV(L3:L32)</f>
        <v>99923.433887426771</v>
      </c>
      <c r="M34" s="14">
        <f>+STDEV(M3:M32)</f>
        <v>5.7437566749245867</v>
      </c>
      <c r="N34" s="17"/>
      <c r="O34" s="14">
        <f>+STDEV(O3:O32)</f>
        <v>65750.791979321744</v>
      </c>
      <c r="P34" s="14">
        <f>+STDEV(P3:P32)</f>
        <v>8326.9528239522315</v>
      </c>
      <c r="Q34" s="14">
        <f>+STDEV(Q3:Q32)</f>
        <v>5479.2326649434781</v>
      </c>
    </row>
    <row r="35" spans="1:21" x14ac:dyDescent="0.3">
      <c r="I35" s="15"/>
      <c r="J35" s="15"/>
      <c r="K35" s="11" t="s">
        <v>75</v>
      </c>
      <c r="L35" s="14">
        <f>+COUNTIF(L3:L32,0)</f>
        <v>0</v>
      </c>
      <c r="M35" s="14">
        <f>+COUNT(M3:M32)</f>
        <v>28</v>
      </c>
      <c r="N35" s="17"/>
      <c r="O35" s="17"/>
      <c r="P35" s="14">
        <f>+COUNTIF(P3:P32,0)</f>
        <v>0</v>
      </c>
      <c r="Q35" s="17"/>
    </row>
    <row r="37" spans="1:21" x14ac:dyDescent="0.3">
      <c r="A37" s="1">
        <v>1</v>
      </c>
      <c r="B37" s="2" t="s">
        <v>46</v>
      </c>
      <c r="C37" s="3" t="s">
        <v>45</v>
      </c>
      <c r="D37" s="1" t="s">
        <v>40</v>
      </c>
      <c r="E37" s="1" t="s">
        <v>40</v>
      </c>
      <c r="F37" s="1"/>
      <c r="G37" s="1"/>
      <c r="H37" s="1" t="s">
        <v>40</v>
      </c>
      <c r="I37" s="1" t="s">
        <v>40</v>
      </c>
      <c r="J37" s="1"/>
      <c r="K37" s="1"/>
      <c r="L37" s="14">
        <v>1897374</v>
      </c>
      <c r="M37" s="15">
        <f>+IF(D37="X",1,0)+IF(E37="X",1,0)+IF(F37="X",2,0)+IF(G37="X",2,0)+IF(H37="X",3,IF(H37="Y",1.5,0))+IF(I37="X",5,IF(I37="Y",2.5,0))+IF(J37="X",10,IF(J37="Y",5,0))</f>
        <v>10</v>
      </c>
      <c r="N37" s="15">
        <f t="shared" ref="N37:N49" si="9">+IF(K37="X",1,0)</f>
        <v>0</v>
      </c>
      <c r="O37" s="20"/>
      <c r="P37" s="12">
        <f t="shared" ref="P37:P47" si="10">+L37/12</f>
        <v>158114.5</v>
      </c>
      <c r="Q37" s="20"/>
    </row>
    <row r="38" spans="1:21" x14ac:dyDescent="0.3">
      <c r="A38" s="1">
        <f>+A37+1</f>
        <v>2</v>
      </c>
      <c r="B38" s="2" t="s">
        <v>47</v>
      </c>
      <c r="C38" s="3" t="s">
        <v>45</v>
      </c>
      <c r="D38" s="1" t="s">
        <v>40</v>
      </c>
      <c r="E38" s="1" t="s">
        <v>40</v>
      </c>
      <c r="F38" s="1"/>
      <c r="G38" s="1"/>
      <c r="H38" s="1"/>
      <c r="I38" s="1"/>
      <c r="J38" s="1"/>
      <c r="K38" s="1"/>
      <c r="L38" s="12">
        <v>0</v>
      </c>
      <c r="M38" s="15">
        <f t="shared" ref="M38:M66" si="11">+IF(D38="X",1,0)+IF(E38="X",1,0)+IF(F38="X",2,0)+IF(G38="X",2,0)+IF(H38="X",3,IF(H38="Y",1.5,0))+IF(I38="X",5,IF(I38="Y",2.5,0))+IF(J38="X",10,IF(J38="Y",5,0))</f>
        <v>2</v>
      </c>
      <c r="N38" s="15">
        <f t="shared" si="9"/>
        <v>0</v>
      </c>
      <c r="O38" s="20"/>
      <c r="P38" s="12">
        <f t="shared" si="10"/>
        <v>0</v>
      </c>
      <c r="Q38" s="20"/>
      <c r="S38" t="s">
        <v>76</v>
      </c>
      <c r="T38" t="s">
        <v>151</v>
      </c>
    </row>
    <row r="39" spans="1:21" x14ac:dyDescent="0.3">
      <c r="A39" s="1">
        <f t="shared" ref="A39:A66" si="12">+A38+1</f>
        <v>3</v>
      </c>
      <c r="B39" s="2" t="s">
        <v>48</v>
      </c>
      <c r="C39" s="3" t="s">
        <v>45</v>
      </c>
      <c r="D39" s="1" t="s">
        <v>40</v>
      </c>
      <c r="E39" s="1" t="s">
        <v>40</v>
      </c>
      <c r="F39" s="1"/>
      <c r="G39" s="1"/>
      <c r="H39" s="1"/>
      <c r="I39" s="1"/>
      <c r="J39" s="1"/>
      <c r="K39" s="1"/>
      <c r="L39" s="12">
        <v>237928.72</v>
      </c>
      <c r="M39" s="15">
        <f t="shared" si="11"/>
        <v>2</v>
      </c>
      <c r="N39" s="15">
        <f t="shared" si="9"/>
        <v>0</v>
      </c>
      <c r="O39" s="12">
        <v>237928.72</v>
      </c>
      <c r="P39" s="12">
        <f t="shared" si="10"/>
        <v>19827.393333333333</v>
      </c>
      <c r="Q39" s="12">
        <f t="shared" ref="Q39" si="13">+O39/12</f>
        <v>19827.393333333333</v>
      </c>
      <c r="R39" t="s">
        <v>501</v>
      </c>
    </row>
    <row r="40" spans="1:21" x14ac:dyDescent="0.3">
      <c r="A40" s="1">
        <f t="shared" si="12"/>
        <v>4</v>
      </c>
      <c r="B40" s="2" t="s">
        <v>49</v>
      </c>
      <c r="C40" s="3" t="s">
        <v>45</v>
      </c>
      <c r="D40" s="1" t="s">
        <v>40</v>
      </c>
      <c r="E40" s="1" t="s">
        <v>40</v>
      </c>
      <c r="F40" s="1"/>
      <c r="G40" s="1"/>
      <c r="H40" s="1" t="s">
        <v>40</v>
      </c>
      <c r="I40" s="1"/>
      <c r="J40" s="1"/>
      <c r="K40" s="1"/>
      <c r="L40" s="12">
        <v>233142</v>
      </c>
      <c r="M40" s="15">
        <f t="shared" si="11"/>
        <v>5</v>
      </c>
      <c r="N40" s="15">
        <f t="shared" si="9"/>
        <v>0</v>
      </c>
      <c r="O40" s="12">
        <v>233142</v>
      </c>
      <c r="P40" s="12">
        <f t="shared" si="10"/>
        <v>19428.5</v>
      </c>
      <c r="Q40" s="12">
        <f t="shared" ref="Q40:Q43" si="14">+O40/12</f>
        <v>19428.5</v>
      </c>
      <c r="U40" t="s">
        <v>760</v>
      </c>
    </row>
    <row r="41" spans="1:21" x14ac:dyDescent="0.3">
      <c r="A41" s="1">
        <f t="shared" si="12"/>
        <v>5</v>
      </c>
      <c r="B41" s="2" t="s">
        <v>50</v>
      </c>
      <c r="C41" s="3" t="s">
        <v>45</v>
      </c>
      <c r="D41" s="1" t="s">
        <v>40</v>
      </c>
      <c r="E41" s="1" t="s">
        <v>40</v>
      </c>
      <c r="F41" s="1"/>
      <c r="G41" s="1"/>
      <c r="H41" s="1" t="s">
        <v>40</v>
      </c>
      <c r="I41" s="1" t="s">
        <v>40</v>
      </c>
      <c r="J41" s="1" t="s">
        <v>40</v>
      </c>
      <c r="K41" s="1" t="s">
        <v>40</v>
      </c>
      <c r="L41" s="12">
        <v>123028</v>
      </c>
      <c r="M41" s="15">
        <f t="shared" si="11"/>
        <v>20</v>
      </c>
      <c r="N41" s="15">
        <f t="shared" si="9"/>
        <v>1</v>
      </c>
      <c r="O41" s="12">
        <v>123028</v>
      </c>
      <c r="P41" s="12">
        <f t="shared" si="10"/>
        <v>10252.333333333334</v>
      </c>
      <c r="Q41" s="12">
        <f t="shared" si="14"/>
        <v>10252.333333333334</v>
      </c>
      <c r="S41" t="s">
        <v>761</v>
      </c>
      <c r="T41" t="s">
        <v>151</v>
      </c>
    </row>
    <row r="42" spans="1:21" x14ac:dyDescent="0.3">
      <c r="A42" s="1">
        <f t="shared" si="12"/>
        <v>6</v>
      </c>
      <c r="B42" s="2" t="s">
        <v>51</v>
      </c>
      <c r="C42" s="3" t="s">
        <v>45</v>
      </c>
      <c r="D42" s="1" t="s">
        <v>40</v>
      </c>
      <c r="E42" s="1" t="s">
        <v>40</v>
      </c>
      <c r="F42" s="1"/>
      <c r="G42" s="1"/>
      <c r="H42" s="1" t="s">
        <v>40</v>
      </c>
      <c r="I42" s="1"/>
      <c r="J42" s="1"/>
      <c r="K42" s="1"/>
      <c r="L42" s="12">
        <v>187200</v>
      </c>
      <c r="M42" s="15">
        <f t="shared" si="11"/>
        <v>5</v>
      </c>
      <c r="N42" s="15">
        <f t="shared" si="9"/>
        <v>0</v>
      </c>
      <c r="O42" s="12">
        <v>187200</v>
      </c>
      <c r="P42" s="12">
        <f t="shared" si="10"/>
        <v>15600</v>
      </c>
      <c r="Q42" s="12">
        <f t="shared" si="14"/>
        <v>15600</v>
      </c>
      <c r="R42" t="s">
        <v>501</v>
      </c>
    </row>
    <row r="43" spans="1:21" x14ac:dyDescent="0.3">
      <c r="A43" s="1">
        <f t="shared" si="12"/>
        <v>7</v>
      </c>
      <c r="B43" s="2" t="s">
        <v>52</v>
      </c>
      <c r="C43" s="3" t="s">
        <v>45</v>
      </c>
      <c r="D43" s="1" t="s">
        <v>40</v>
      </c>
      <c r="E43" s="1" t="s">
        <v>40</v>
      </c>
      <c r="F43" s="1"/>
      <c r="G43" s="1"/>
      <c r="H43" s="1" t="s">
        <v>40</v>
      </c>
      <c r="I43" s="1"/>
      <c r="J43" s="1"/>
      <c r="K43" s="1" t="s">
        <v>40</v>
      </c>
      <c r="L43" s="12">
        <v>366000</v>
      </c>
      <c r="M43" s="15">
        <f t="shared" si="11"/>
        <v>5</v>
      </c>
      <c r="N43" s="15">
        <f t="shared" si="9"/>
        <v>1</v>
      </c>
      <c r="O43" s="12">
        <v>366000</v>
      </c>
      <c r="P43" s="12">
        <f t="shared" si="10"/>
        <v>30500</v>
      </c>
      <c r="Q43" s="12">
        <f t="shared" si="14"/>
        <v>30500</v>
      </c>
    </row>
    <row r="44" spans="1:21" x14ac:dyDescent="0.3">
      <c r="A44" s="1">
        <f t="shared" si="12"/>
        <v>8</v>
      </c>
      <c r="B44" s="2" t="s">
        <v>53</v>
      </c>
      <c r="C44" s="3" t="s">
        <v>45</v>
      </c>
      <c r="D44" s="1" t="s">
        <v>40</v>
      </c>
      <c r="E44" s="1" t="s">
        <v>40</v>
      </c>
      <c r="F44" s="1"/>
      <c r="G44" s="1"/>
      <c r="H44" s="1" t="s">
        <v>40</v>
      </c>
      <c r="I44" s="1"/>
      <c r="J44" s="1"/>
      <c r="K44" s="1"/>
      <c r="L44" s="12">
        <v>0</v>
      </c>
      <c r="M44" s="15">
        <f t="shared" si="11"/>
        <v>5</v>
      </c>
      <c r="N44" s="15">
        <f t="shared" si="9"/>
        <v>0</v>
      </c>
      <c r="O44" s="20"/>
      <c r="P44" s="12">
        <f t="shared" si="10"/>
        <v>0</v>
      </c>
      <c r="Q44" s="20"/>
    </row>
    <row r="45" spans="1:21" x14ac:dyDescent="0.3">
      <c r="A45" s="1">
        <f t="shared" si="12"/>
        <v>9</v>
      </c>
      <c r="B45" s="2" t="s">
        <v>54</v>
      </c>
      <c r="C45" s="3" t="s">
        <v>45</v>
      </c>
      <c r="D45" s="1" t="s">
        <v>40</v>
      </c>
      <c r="E45" s="1" t="s">
        <v>40</v>
      </c>
      <c r="F45" s="1"/>
      <c r="G45" s="1"/>
      <c r="H45" s="1" t="s">
        <v>40</v>
      </c>
      <c r="I45" s="1" t="s">
        <v>40</v>
      </c>
      <c r="J45" s="1" t="s">
        <v>40</v>
      </c>
      <c r="K45" s="1" t="s">
        <v>40</v>
      </c>
      <c r="L45" s="12">
        <v>155267.66</v>
      </c>
      <c r="M45" s="15">
        <f t="shared" si="11"/>
        <v>20</v>
      </c>
      <c r="N45" s="15">
        <f t="shared" si="9"/>
        <v>1</v>
      </c>
      <c r="O45" s="12">
        <v>155267.66</v>
      </c>
      <c r="P45" s="12">
        <f t="shared" si="10"/>
        <v>12938.971666666666</v>
      </c>
      <c r="Q45" s="12">
        <f t="shared" ref="Q45:Q49" si="15">+O45/12</f>
        <v>12938.971666666666</v>
      </c>
    </row>
    <row r="46" spans="1:21" x14ac:dyDescent="0.3">
      <c r="A46" s="1">
        <f t="shared" si="12"/>
        <v>10</v>
      </c>
      <c r="B46" s="2" t="s">
        <v>55</v>
      </c>
      <c r="C46" s="3" t="s">
        <v>45</v>
      </c>
      <c r="D46" s="1" t="s">
        <v>40</v>
      </c>
      <c r="E46" s="1" t="s">
        <v>40</v>
      </c>
      <c r="F46" s="1"/>
      <c r="G46" s="1"/>
      <c r="H46" s="1"/>
      <c r="I46" s="1"/>
      <c r="J46" s="1"/>
      <c r="K46" s="1"/>
      <c r="L46" s="12">
        <v>240000</v>
      </c>
      <c r="M46" s="15">
        <f t="shared" si="11"/>
        <v>2</v>
      </c>
      <c r="N46" s="15">
        <f t="shared" si="9"/>
        <v>0</v>
      </c>
      <c r="O46" s="12">
        <v>240000</v>
      </c>
      <c r="P46" s="12">
        <f t="shared" si="10"/>
        <v>20000</v>
      </c>
      <c r="Q46" s="12">
        <f t="shared" si="15"/>
        <v>20000</v>
      </c>
    </row>
    <row r="47" spans="1:21" x14ac:dyDescent="0.3">
      <c r="A47" s="1">
        <f t="shared" si="12"/>
        <v>11</v>
      </c>
      <c r="B47" s="2" t="s">
        <v>56</v>
      </c>
      <c r="C47" s="3" t="s">
        <v>45</v>
      </c>
      <c r="D47" s="1" t="s">
        <v>40</v>
      </c>
      <c r="E47" s="1" t="s">
        <v>40</v>
      </c>
      <c r="F47" s="1"/>
      <c r="G47" s="1"/>
      <c r="H47" s="1" t="s">
        <v>40</v>
      </c>
      <c r="I47" s="1"/>
      <c r="J47" s="1"/>
      <c r="K47" s="1"/>
      <c r="L47" s="12">
        <v>150000</v>
      </c>
      <c r="M47" s="15">
        <f t="shared" si="11"/>
        <v>5</v>
      </c>
      <c r="N47" s="15">
        <f t="shared" si="9"/>
        <v>0</v>
      </c>
      <c r="O47" s="12">
        <v>150000</v>
      </c>
      <c r="P47" s="12">
        <f t="shared" si="10"/>
        <v>12500</v>
      </c>
      <c r="Q47" s="12">
        <f t="shared" si="15"/>
        <v>12500</v>
      </c>
    </row>
    <row r="48" spans="1:21" x14ac:dyDescent="0.3">
      <c r="A48" s="1">
        <f t="shared" si="12"/>
        <v>12</v>
      </c>
      <c r="B48" s="2" t="s">
        <v>57</v>
      </c>
      <c r="C48" s="3" t="s">
        <v>45</v>
      </c>
      <c r="D48" s="1" t="s">
        <v>40</v>
      </c>
      <c r="E48" s="1" t="s">
        <v>40</v>
      </c>
      <c r="F48" s="1" t="s">
        <v>40</v>
      </c>
      <c r="G48" s="1"/>
      <c r="H48" s="1" t="s">
        <v>40</v>
      </c>
      <c r="I48" s="1"/>
      <c r="J48" s="1"/>
      <c r="K48" s="1"/>
      <c r="L48" s="14">
        <v>7105.6</v>
      </c>
      <c r="M48" s="15">
        <f t="shared" si="11"/>
        <v>7</v>
      </c>
      <c r="N48" s="15">
        <f t="shared" si="9"/>
        <v>0</v>
      </c>
      <c r="O48" s="14">
        <v>7105.6</v>
      </c>
      <c r="P48" s="12">
        <f t="shared" ref="P48:P49" si="16">+L48/12</f>
        <v>592.13333333333333</v>
      </c>
      <c r="Q48" s="12">
        <f t="shared" si="15"/>
        <v>592.13333333333333</v>
      </c>
    </row>
    <row r="49" spans="1:17" x14ac:dyDescent="0.3">
      <c r="A49" s="1">
        <f t="shared" si="12"/>
        <v>13</v>
      </c>
      <c r="B49" s="2" t="s">
        <v>58</v>
      </c>
      <c r="C49" s="3" t="s">
        <v>45</v>
      </c>
      <c r="D49" s="1" t="s">
        <v>40</v>
      </c>
      <c r="E49" s="1" t="s">
        <v>40</v>
      </c>
      <c r="F49" s="1" t="s">
        <v>40</v>
      </c>
      <c r="G49" s="1"/>
      <c r="H49" s="1"/>
      <c r="I49" s="1"/>
      <c r="J49" s="1"/>
      <c r="K49" s="1"/>
      <c r="L49" s="14">
        <v>125000</v>
      </c>
      <c r="M49" s="15">
        <f t="shared" si="11"/>
        <v>4</v>
      </c>
      <c r="N49" s="15">
        <f t="shared" si="9"/>
        <v>0</v>
      </c>
      <c r="O49" s="14">
        <v>125000</v>
      </c>
      <c r="P49" s="12">
        <f t="shared" si="16"/>
        <v>10416.666666666666</v>
      </c>
      <c r="Q49" s="12">
        <f t="shared" si="15"/>
        <v>10416.666666666666</v>
      </c>
    </row>
    <row r="50" spans="1:17" x14ac:dyDescent="0.3">
      <c r="A50" s="1">
        <f t="shared" si="12"/>
        <v>14</v>
      </c>
      <c r="B50" s="10"/>
      <c r="C50" s="9"/>
      <c r="D50" s="7"/>
      <c r="E50" s="7"/>
      <c r="F50" s="7"/>
      <c r="G50" s="7"/>
      <c r="H50" s="7"/>
      <c r="I50" s="7"/>
      <c r="J50" s="7"/>
      <c r="K50" s="7"/>
      <c r="L50" s="13"/>
      <c r="M50" s="13"/>
      <c r="N50" s="16"/>
      <c r="O50" s="13"/>
      <c r="P50" s="13"/>
      <c r="Q50" s="13"/>
    </row>
    <row r="51" spans="1:17" x14ac:dyDescent="0.3">
      <c r="A51" s="1">
        <f t="shared" si="12"/>
        <v>15</v>
      </c>
      <c r="B51" s="2" t="s">
        <v>59</v>
      </c>
      <c r="C51" s="3" t="s">
        <v>45</v>
      </c>
      <c r="D51" s="1" t="s">
        <v>40</v>
      </c>
      <c r="E51" s="1" t="s">
        <v>40</v>
      </c>
      <c r="F51" s="1"/>
      <c r="G51" s="1"/>
      <c r="H51" s="1"/>
      <c r="I51" s="1"/>
      <c r="J51" s="1"/>
      <c r="K51" s="1"/>
      <c r="L51" s="14">
        <v>215013</v>
      </c>
      <c r="M51" s="15">
        <f t="shared" si="11"/>
        <v>2</v>
      </c>
      <c r="N51" s="15">
        <f t="shared" ref="N51:N66" si="17">+IF(K51="X",1,0)</f>
        <v>0</v>
      </c>
      <c r="O51" s="14">
        <v>215013</v>
      </c>
      <c r="P51" s="12">
        <f t="shared" ref="P51:P62" si="18">+L51/12</f>
        <v>17917.75</v>
      </c>
      <c r="Q51" s="12">
        <f t="shared" ref="Q51:Q53" si="19">+O51/12</f>
        <v>17917.75</v>
      </c>
    </row>
    <row r="52" spans="1:17" x14ac:dyDescent="0.3">
      <c r="A52" s="1">
        <f t="shared" si="12"/>
        <v>16</v>
      </c>
      <c r="B52" s="2" t="s">
        <v>60</v>
      </c>
      <c r="C52" s="3" t="s">
        <v>45</v>
      </c>
      <c r="D52" s="1" t="s">
        <v>40</v>
      </c>
      <c r="E52" s="1" t="s">
        <v>40</v>
      </c>
      <c r="F52" s="1" t="s">
        <v>40</v>
      </c>
      <c r="G52" s="1"/>
      <c r="H52" s="1" t="s">
        <v>40</v>
      </c>
      <c r="I52" s="1"/>
      <c r="J52" s="1"/>
      <c r="K52" s="1"/>
      <c r="L52" s="14">
        <v>80000</v>
      </c>
      <c r="M52" s="15">
        <f t="shared" si="11"/>
        <v>7</v>
      </c>
      <c r="N52" s="15">
        <f t="shared" si="17"/>
        <v>0</v>
      </c>
      <c r="O52" s="14">
        <v>80000</v>
      </c>
      <c r="P52" s="12">
        <f t="shared" si="18"/>
        <v>6666.666666666667</v>
      </c>
      <c r="Q52" s="12">
        <f t="shared" si="19"/>
        <v>6666.666666666667</v>
      </c>
    </row>
    <row r="53" spans="1:17" x14ac:dyDescent="0.3">
      <c r="A53" s="1">
        <f t="shared" si="12"/>
        <v>17</v>
      </c>
      <c r="B53" s="2" t="s">
        <v>61</v>
      </c>
      <c r="C53" s="3" t="s">
        <v>45</v>
      </c>
      <c r="D53" s="1" t="s">
        <v>40</v>
      </c>
      <c r="E53" s="1" t="s">
        <v>40</v>
      </c>
      <c r="F53" s="1" t="s">
        <v>40</v>
      </c>
      <c r="G53" s="1"/>
      <c r="H53" s="1"/>
      <c r="I53" s="1"/>
      <c r="J53" s="1"/>
      <c r="K53" s="1" t="s">
        <v>40</v>
      </c>
      <c r="L53" s="14">
        <v>142571</v>
      </c>
      <c r="M53" s="15">
        <f t="shared" si="11"/>
        <v>4</v>
      </c>
      <c r="N53" s="15">
        <f t="shared" si="17"/>
        <v>1</v>
      </c>
      <c r="O53" s="14">
        <v>142571</v>
      </c>
      <c r="P53" s="12">
        <f t="shared" si="18"/>
        <v>11880.916666666666</v>
      </c>
      <c r="Q53" s="12">
        <f t="shared" si="19"/>
        <v>11880.916666666666</v>
      </c>
    </row>
    <row r="54" spans="1:17" x14ac:dyDescent="0.3">
      <c r="A54" s="1">
        <f t="shared" si="12"/>
        <v>18</v>
      </c>
      <c r="B54" s="2" t="s">
        <v>62</v>
      </c>
      <c r="C54" s="3" t="s">
        <v>45</v>
      </c>
      <c r="D54" s="1" t="s">
        <v>40</v>
      </c>
      <c r="E54" s="1" t="s">
        <v>40</v>
      </c>
      <c r="F54" s="1"/>
      <c r="G54" s="1"/>
      <c r="H54" s="1" t="s">
        <v>40</v>
      </c>
      <c r="I54" s="1"/>
      <c r="J54" s="1"/>
      <c r="K54" s="1"/>
      <c r="L54" s="14">
        <v>0</v>
      </c>
      <c r="M54" s="15">
        <f t="shared" si="11"/>
        <v>5</v>
      </c>
      <c r="N54" s="15">
        <f t="shared" si="17"/>
        <v>0</v>
      </c>
      <c r="O54" s="20"/>
      <c r="P54" s="12">
        <f t="shared" si="18"/>
        <v>0</v>
      </c>
      <c r="Q54" s="20"/>
    </row>
    <row r="55" spans="1:17" x14ac:dyDescent="0.3">
      <c r="A55" s="1">
        <f t="shared" si="12"/>
        <v>19</v>
      </c>
      <c r="B55" s="2" t="s">
        <v>63</v>
      </c>
      <c r="C55" s="3" t="s">
        <v>45</v>
      </c>
      <c r="D55" s="1" t="s">
        <v>40</v>
      </c>
      <c r="E55" s="1" t="s">
        <v>40</v>
      </c>
      <c r="F55" s="1" t="s">
        <v>40</v>
      </c>
      <c r="G55" s="1"/>
      <c r="H55" s="1"/>
      <c r="I55" s="1"/>
      <c r="J55" s="1"/>
      <c r="K55" s="1"/>
      <c r="L55" s="14">
        <v>64200</v>
      </c>
      <c r="M55" s="15">
        <f t="shared" si="11"/>
        <v>4</v>
      </c>
      <c r="N55" s="15">
        <f t="shared" si="17"/>
        <v>0</v>
      </c>
      <c r="O55" s="14">
        <v>64200</v>
      </c>
      <c r="P55" s="12">
        <f t="shared" si="18"/>
        <v>5350</v>
      </c>
      <c r="Q55" s="12">
        <f t="shared" ref="Q55:Q56" si="20">+O55/12</f>
        <v>5350</v>
      </c>
    </row>
    <row r="56" spans="1:17" x14ac:dyDescent="0.3">
      <c r="A56" s="1">
        <f t="shared" si="12"/>
        <v>20</v>
      </c>
      <c r="B56" s="2" t="s">
        <v>64</v>
      </c>
      <c r="C56" s="3" t="s">
        <v>45</v>
      </c>
      <c r="D56" s="1" t="s">
        <v>40</v>
      </c>
      <c r="E56" s="1" t="s">
        <v>40</v>
      </c>
      <c r="F56" s="1"/>
      <c r="G56" s="1" t="s">
        <v>40</v>
      </c>
      <c r="H56" s="1" t="s">
        <v>40</v>
      </c>
      <c r="I56" s="1" t="s">
        <v>40</v>
      </c>
      <c r="J56" s="1"/>
      <c r="K56" s="1"/>
      <c r="L56" s="14">
        <v>474293.53</v>
      </c>
      <c r="M56" s="15">
        <f t="shared" si="11"/>
        <v>12</v>
      </c>
      <c r="N56" s="15">
        <f t="shared" si="17"/>
        <v>0</v>
      </c>
      <c r="O56" s="14">
        <v>474293.53</v>
      </c>
      <c r="P56" s="12">
        <f t="shared" si="18"/>
        <v>39524.460833333338</v>
      </c>
      <c r="Q56" s="12">
        <f t="shared" si="20"/>
        <v>39524.460833333338</v>
      </c>
    </row>
    <row r="57" spans="1:17" x14ac:dyDescent="0.3">
      <c r="A57" s="1">
        <f t="shared" si="12"/>
        <v>21</v>
      </c>
      <c r="B57" s="2" t="s">
        <v>65</v>
      </c>
      <c r="C57" s="3" t="s">
        <v>45</v>
      </c>
      <c r="D57" s="1" t="s">
        <v>40</v>
      </c>
      <c r="E57" s="1" t="s">
        <v>40</v>
      </c>
      <c r="F57" s="1"/>
      <c r="G57" s="1"/>
      <c r="H57" s="1" t="s">
        <v>40</v>
      </c>
      <c r="I57" s="1" t="s">
        <v>40</v>
      </c>
      <c r="J57" s="1"/>
      <c r="K57" s="1"/>
      <c r="L57" s="14">
        <v>0</v>
      </c>
      <c r="M57" s="15">
        <f t="shared" si="11"/>
        <v>10</v>
      </c>
      <c r="N57" s="15">
        <f t="shared" si="17"/>
        <v>0</v>
      </c>
      <c r="O57" s="20"/>
      <c r="P57" s="12">
        <f t="shared" si="18"/>
        <v>0</v>
      </c>
      <c r="Q57" s="20"/>
    </row>
    <row r="58" spans="1:17" x14ac:dyDescent="0.3">
      <c r="A58" s="1">
        <f t="shared" si="12"/>
        <v>22</v>
      </c>
      <c r="B58" s="2" t="s">
        <v>66</v>
      </c>
      <c r="C58" s="3" t="s">
        <v>45</v>
      </c>
      <c r="D58" s="1" t="s">
        <v>40</v>
      </c>
      <c r="E58" s="1" t="s">
        <v>40</v>
      </c>
      <c r="F58" s="1"/>
      <c r="G58" s="1"/>
      <c r="H58" s="1"/>
      <c r="I58" s="1"/>
      <c r="J58" s="1"/>
      <c r="K58" s="1"/>
      <c r="L58" s="14">
        <v>0</v>
      </c>
      <c r="M58" s="15">
        <f t="shared" si="11"/>
        <v>2</v>
      </c>
      <c r="N58" s="15">
        <f t="shared" si="17"/>
        <v>0</v>
      </c>
      <c r="O58" s="20"/>
      <c r="P58" s="12">
        <f t="shared" si="18"/>
        <v>0</v>
      </c>
      <c r="Q58" s="20"/>
    </row>
    <row r="59" spans="1:17" x14ac:dyDescent="0.3">
      <c r="A59" s="1">
        <f t="shared" si="12"/>
        <v>23</v>
      </c>
      <c r="B59" s="2" t="s">
        <v>67</v>
      </c>
      <c r="C59" s="3" t="s">
        <v>45</v>
      </c>
      <c r="D59" s="1" t="s">
        <v>40</v>
      </c>
      <c r="E59" s="1" t="s">
        <v>40</v>
      </c>
      <c r="F59" s="1"/>
      <c r="G59" s="1"/>
      <c r="H59" s="1" t="s">
        <v>40</v>
      </c>
      <c r="I59" s="1" t="s">
        <v>40</v>
      </c>
      <c r="J59" s="1"/>
      <c r="K59" s="1"/>
      <c r="L59" s="14">
        <v>390142.24</v>
      </c>
      <c r="M59" s="15">
        <f t="shared" si="11"/>
        <v>10</v>
      </c>
      <c r="N59" s="15">
        <f t="shared" si="17"/>
        <v>0</v>
      </c>
      <c r="O59" s="14">
        <v>390142.24</v>
      </c>
      <c r="P59" s="12">
        <f t="shared" si="18"/>
        <v>32511.853333333333</v>
      </c>
      <c r="Q59" s="12">
        <f t="shared" ref="Q59" si="21">+O59/12</f>
        <v>32511.853333333333</v>
      </c>
    </row>
    <row r="60" spans="1:17" x14ac:dyDescent="0.3">
      <c r="A60" s="1">
        <f t="shared" si="12"/>
        <v>24</v>
      </c>
      <c r="B60" s="2" t="s">
        <v>68</v>
      </c>
      <c r="C60" s="3" t="s">
        <v>45</v>
      </c>
      <c r="D60" s="1" t="s">
        <v>40</v>
      </c>
      <c r="E60" s="1" t="s">
        <v>40</v>
      </c>
      <c r="F60" s="1"/>
      <c r="G60" s="1"/>
      <c r="H60" s="1"/>
      <c r="I60" s="1"/>
      <c r="J60" s="1"/>
      <c r="K60" s="1"/>
      <c r="L60" s="14">
        <v>0</v>
      </c>
      <c r="M60" s="15">
        <f t="shared" si="11"/>
        <v>2</v>
      </c>
      <c r="N60" s="15">
        <f t="shared" si="17"/>
        <v>0</v>
      </c>
      <c r="O60" s="20"/>
      <c r="P60" s="12">
        <f t="shared" si="18"/>
        <v>0</v>
      </c>
      <c r="Q60" s="20"/>
    </row>
    <row r="61" spans="1:17" x14ac:dyDescent="0.3">
      <c r="A61" s="1">
        <f t="shared" si="12"/>
        <v>25</v>
      </c>
      <c r="B61" s="2" t="s">
        <v>69</v>
      </c>
      <c r="C61" s="3" t="s">
        <v>45</v>
      </c>
      <c r="D61" s="1" t="s">
        <v>40</v>
      </c>
      <c r="E61" s="1" t="s">
        <v>40</v>
      </c>
      <c r="F61" s="1" t="s">
        <v>40</v>
      </c>
      <c r="G61" s="1"/>
      <c r="H61" s="1" t="s">
        <v>40</v>
      </c>
      <c r="I61" s="1"/>
      <c r="J61" s="1"/>
      <c r="K61" s="1"/>
      <c r="L61" s="14">
        <v>52500</v>
      </c>
      <c r="M61" s="15">
        <f t="shared" si="11"/>
        <v>7</v>
      </c>
      <c r="N61" s="15">
        <f t="shared" si="17"/>
        <v>0</v>
      </c>
      <c r="O61" s="14">
        <v>52500</v>
      </c>
      <c r="P61" s="12">
        <f t="shared" si="18"/>
        <v>4375</v>
      </c>
      <c r="Q61" s="12">
        <f t="shared" ref="Q61" si="22">+O61/12</f>
        <v>4375</v>
      </c>
    </row>
    <row r="62" spans="1:17" x14ac:dyDescent="0.3">
      <c r="A62" s="1">
        <f t="shared" si="12"/>
        <v>26</v>
      </c>
      <c r="B62" s="2" t="s">
        <v>70</v>
      </c>
      <c r="C62" s="3" t="s">
        <v>45</v>
      </c>
      <c r="D62" s="1" t="s">
        <v>40</v>
      </c>
      <c r="E62" s="1" t="s">
        <v>40</v>
      </c>
      <c r="F62" s="1"/>
      <c r="G62" s="1"/>
      <c r="H62" s="1"/>
      <c r="I62" s="1"/>
      <c r="J62" s="1"/>
      <c r="K62" s="1"/>
      <c r="L62" s="14">
        <v>0</v>
      </c>
      <c r="M62" s="15">
        <f t="shared" si="11"/>
        <v>2</v>
      </c>
      <c r="N62" s="15">
        <f t="shared" si="17"/>
        <v>0</v>
      </c>
      <c r="O62" s="20"/>
      <c r="P62" s="12">
        <f t="shared" si="18"/>
        <v>0</v>
      </c>
      <c r="Q62" s="20"/>
    </row>
    <row r="63" spans="1:17" x14ac:dyDescent="0.3">
      <c r="A63" s="1">
        <f t="shared" si="12"/>
        <v>27</v>
      </c>
      <c r="B63" s="2" t="s">
        <v>71</v>
      </c>
      <c r="C63" s="3" t="s">
        <v>45</v>
      </c>
      <c r="D63" s="1" t="s">
        <v>40</v>
      </c>
      <c r="E63" s="1" t="s">
        <v>40</v>
      </c>
      <c r="F63" s="1"/>
      <c r="G63" s="1"/>
      <c r="H63" s="1"/>
      <c r="I63" s="1"/>
      <c r="J63" s="1"/>
      <c r="K63" s="1" t="s">
        <v>40</v>
      </c>
      <c r="L63" s="14">
        <v>1208</v>
      </c>
      <c r="M63" s="15">
        <f t="shared" si="11"/>
        <v>2</v>
      </c>
      <c r="N63" s="15">
        <f t="shared" si="17"/>
        <v>1</v>
      </c>
      <c r="O63" s="14">
        <v>1208</v>
      </c>
      <c r="P63" s="12">
        <f t="shared" ref="P63:P66" si="23">+L63/12</f>
        <v>100.66666666666667</v>
      </c>
      <c r="Q63" s="12">
        <f t="shared" ref="Q63:Q66" si="24">+O63/12</f>
        <v>100.66666666666667</v>
      </c>
    </row>
    <row r="64" spans="1:17" x14ac:dyDescent="0.3">
      <c r="A64" s="1">
        <f t="shared" si="12"/>
        <v>28</v>
      </c>
      <c r="B64" s="2" t="s">
        <v>72</v>
      </c>
      <c r="C64" s="3" t="s">
        <v>45</v>
      </c>
      <c r="D64" s="1" t="s">
        <v>40</v>
      </c>
      <c r="E64" s="1" t="s">
        <v>40</v>
      </c>
      <c r="F64" s="1" t="s">
        <v>40</v>
      </c>
      <c r="G64" s="1" t="s">
        <v>40</v>
      </c>
      <c r="H64" s="1"/>
      <c r="I64" s="1"/>
      <c r="J64" s="1"/>
      <c r="K64" s="1"/>
      <c r="L64" s="14">
        <v>55200</v>
      </c>
      <c r="M64" s="15">
        <f t="shared" si="11"/>
        <v>6</v>
      </c>
      <c r="N64" s="15">
        <f t="shared" si="17"/>
        <v>0</v>
      </c>
      <c r="O64" s="14">
        <v>55200</v>
      </c>
      <c r="P64" s="12">
        <f t="shared" si="23"/>
        <v>4600</v>
      </c>
      <c r="Q64" s="12">
        <f t="shared" si="24"/>
        <v>4600</v>
      </c>
    </row>
    <row r="65" spans="1:18" x14ac:dyDescent="0.3">
      <c r="A65" s="1">
        <f t="shared" si="12"/>
        <v>29</v>
      </c>
      <c r="B65" s="2" t="s">
        <v>73</v>
      </c>
      <c r="C65" s="3" t="s">
        <v>45</v>
      </c>
      <c r="D65" s="1" t="s">
        <v>40</v>
      </c>
      <c r="E65" s="1" t="s">
        <v>40</v>
      </c>
      <c r="F65" s="1"/>
      <c r="G65" s="1"/>
      <c r="H65" s="1" t="s">
        <v>40</v>
      </c>
      <c r="I65" s="1" t="s">
        <v>40</v>
      </c>
      <c r="J65" s="1"/>
      <c r="K65" s="1"/>
      <c r="L65" s="14">
        <v>107000</v>
      </c>
      <c r="M65" s="15">
        <f t="shared" si="11"/>
        <v>10</v>
      </c>
      <c r="N65" s="15">
        <f t="shared" si="17"/>
        <v>0</v>
      </c>
      <c r="O65" s="14">
        <v>107000</v>
      </c>
      <c r="P65" s="12">
        <f t="shared" si="23"/>
        <v>8916.6666666666661</v>
      </c>
      <c r="Q65" s="12">
        <f t="shared" si="24"/>
        <v>8916.6666666666661</v>
      </c>
    </row>
    <row r="66" spans="1:18" x14ac:dyDescent="0.3">
      <c r="A66" s="1">
        <f t="shared" si="12"/>
        <v>30</v>
      </c>
      <c r="B66" s="2" t="s">
        <v>74</v>
      </c>
      <c r="C66" s="3" t="s">
        <v>45</v>
      </c>
      <c r="D66" s="1" t="s">
        <v>40</v>
      </c>
      <c r="E66" s="1" t="s">
        <v>40</v>
      </c>
      <c r="F66" s="1" t="s">
        <v>40</v>
      </c>
      <c r="G66" s="1"/>
      <c r="H66" s="1"/>
      <c r="I66" s="1"/>
      <c r="J66" s="1"/>
      <c r="K66" s="1"/>
      <c r="L66" s="14">
        <v>24000</v>
      </c>
      <c r="M66" s="15">
        <f t="shared" si="11"/>
        <v>4</v>
      </c>
      <c r="N66" s="15">
        <f t="shared" si="17"/>
        <v>0</v>
      </c>
      <c r="O66" s="14">
        <v>24000</v>
      </c>
      <c r="P66" s="12">
        <f t="shared" si="23"/>
        <v>2000</v>
      </c>
      <c r="Q66" s="12">
        <f t="shared" si="24"/>
        <v>2000</v>
      </c>
    </row>
    <row r="67" spans="1:18" x14ac:dyDescent="0.3">
      <c r="L67" s="14">
        <f>+AVERAGE(L37:L66)</f>
        <v>183730.12931034487</v>
      </c>
      <c r="M67" s="14">
        <f>+AVERAGE(M37:M66)</f>
        <v>6.2413793103448274</v>
      </c>
      <c r="N67" s="14">
        <f>+SUM(N37:N66)</f>
        <v>5</v>
      </c>
      <c r="O67" s="14">
        <f>+AVERAGE(O37:O66)</f>
        <v>163371.41666666666</v>
      </c>
      <c r="P67" s="14">
        <f>+AVERAGE(P37:P66)</f>
        <v>15310.844109195406</v>
      </c>
      <c r="Q67" s="14">
        <f>+AVERAGE(Q37:Q66)</f>
        <v>13614.284722222223</v>
      </c>
      <c r="R67" s="14">
        <f>30-COUNTBLANK(R37:R66)</f>
        <v>2</v>
      </c>
    </row>
    <row r="68" spans="1:18" x14ac:dyDescent="0.3">
      <c r="L68" s="14">
        <f>+STDEV(L37:L66)</f>
        <v>353964.30236923345</v>
      </c>
      <c r="M68" s="14">
        <f>+STDEV(M37:M66)</f>
        <v>4.7932629239514997</v>
      </c>
      <c r="N68" s="17"/>
      <c r="O68" s="14">
        <f>+STDEV(O37:O66)</f>
        <v>127781.78794159336</v>
      </c>
      <c r="P68" s="14">
        <f>+STDEV(P37:P66)</f>
        <v>29497.025197436116</v>
      </c>
      <c r="Q68" s="14">
        <f>+STDEV(Q37:Q66)</f>
        <v>10648.482328466114</v>
      </c>
    </row>
    <row r="69" spans="1:18" x14ac:dyDescent="0.3">
      <c r="I69" s="15"/>
      <c r="J69" s="15"/>
      <c r="K69" s="11" t="s">
        <v>75</v>
      </c>
      <c r="L69" s="14">
        <f>+COUNTIF(L37:L66,0)</f>
        <v>7</v>
      </c>
      <c r="M69" s="14">
        <f>+COUNT(M37:M66)</f>
        <v>29</v>
      </c>
      <c r="P69" s="14">
        <f>+COUNTIF(P37:P66,0)</f>
        <v>7</v>
      </c>
    </row>
    <row r="71" spans="1:18" x14ac:dyDescent="0.3">
      <c r="A71" s="1">
        <v>1</v>
      </c>
      <c r="B71" s="2" t="s">
        <v>77</v>
      </c>
      <c r="C71" s="3" t="s">
        <v>76</v>
      </c>
      <c r="D71" s="1" t="s">
        <v>40</v>
      </c>
      <c r="E71" s="1" t="s">
        <v>40</v>
      </c>
      <c r="F71" s="1"/>
      <c r="G71" s="1"/>
      <c r="H71" s="1" t="s">
        <v>40</v>
      </c>
      <c r="I71" s="1" t="s">
        <v>40</v>
      </c>
      <c r="J71" s="1"/>
      <c r="K71" s="1"/>
      <c r="L71" s="14">
        <v>613593.87</v>
      </c>
      <c r="M71" s="15">
        <f>+IF(D71="X",1,0)+IF(E71="X",1,0)+IF(F71="X",2,0)+IF(G71="X",2,0)+IF(H71="X",3,IF(H71="Y",1.5,0))+IF(I71="X",5,IF(I71="Y",2.5,0))+IF(J71="X",10,IF(J71="Y",5,0))</f>
        <v>10</v>
      </c>
      <c r="N71" s="15">
        <f t="shared" ref="N71:N100" si="25">+IF(K71="X",1,0)</f>
        <v>0</v>
      </c>
      <c r="O71" s="12">
        <v>336950</v>
      </c>
      <c r="P71" s="12">
        <f t="shared" ref="P71" si="26">+L71/12</f>
        <v>51132.822500000002</v>
      </c>
      <c r="Q71" s="12">
        <f t="shared" ref="Q71" si="27">+O71/12</f>
        <v>28079.166666666668</v>
      </c>
    </row>
    <row r="72" spans="1:18" x14ac:dyDescent="0.3">
      <c r="A72" s="1">
        <f>+A71+1</f>
        <v>2</v>
      </c>
      <c r="B72" s="2" t="s">
        <v>78</v>
      </c>
      <c r="C72" s="3" t="s">
        <v>76</v>
      </c>
      <c r="D72" s="1" t="s">
        <v>40</v>
      </c>
      <c r="E72" s="1" t="s">
        <v>40</v>
      </c>
      <c r="F72" s="1"/>
      <c r="G72" s="1"/>
      <c r="H72" s="1" t="s">
        <v>40</v>
      </c>
      <c r="I72" s="1"/>
      <c r="J72" s="1"/>
      <c r="K72" s="1"/>
      <c r="L72" s="12">
        <v>336950</v>
      </c>
      <c r="M72" s="15">
        <f t="shared" ref="M72:M100" si="28">+IF(D72="X",1,0)+IF(E72="X",1,0)+IF(F72="X",2,0)+IF(G72="X",2,0)+IF(H72="X",3,IF(H72="Y",1.5,0))+IF(I72="X",5,IF(I72="Y",2.5,0))+IF(J72="X",10,IF(J72="Y",5,0))</f>
        <v>5</v>
      </c>
      <c r="N72" s="15">
        <f t="shared" si="25"/>
        <v>0</v>
      </c>
      <c r="O72" s="12">
        <v>336950</v>
      </c>
      <c r="P72" s="12">
        <f t="shared" ref="P72:P100" si="29">+L72/12</f>
        <v>28079.166666666668</v>
      </c>
      <c r="Q72" s="12">
        <f t="shared" ref="Q72:Q83" si="30">+O72/12</f>
        <v>28079.166666666668</v>
      </c>
    </row>
    <row r="73" spans="1:18" ht="14.4" customHeight="1" x14ac:dyDescent="0.3">
      <c r="A73" s="1">
        <f t="shared" ref="A73:A100" si="31">+A72+1</f>
        <v>3</v>
      </c>
      <c r="B73" s="18" t="s">
        <v>79</v>
      </c>
      <c r="C73" s="3" t="s">
        <v>76</v>
      </c>
      <c r="D73" s="1" t="s">
        <v>40</v>
      </c>
      <c r="E73" s="1" t="s">
        <v>40</v>
      </c>
      <c r="F73" s="1"/>
      <c r="G73" s="1"/>
      <c r="H73" s="1" t="s">
        <v>40</v>
      </c>
      <c r="I73" s="1"/>
      <c r="J73" s="1"/>
      <c r="K73" s="1"/>
      <c r="L73" s="12">
        <v>387825</v>
      </c>
      <c r="M73" s="15">
        <f t="shared" si="28"/>
        <v>5</v>
      </c>
      <c r="N73" s="15">
        <f t="shared" si="25"/>
        <v>0</v>
      </c>
      <c r="O73" s="12">
        <v>387825</v>
      </c>
      <c r="P73" s="12">
        <f t="shared" si="29"/>
        <v>32318.75</v>
      </c>
      <c r="Q73" s="12">
        <f t="shared" si="30"/>
        <v>32318.75</v>
      </c>
      <c r="R73" t="s">
        <v>905</v>
      </c>
    </row>
    <row r="74" spans="1:18" x14ac:dyDescent="0.3">
      <c r="A74" s="1">
        <f t="shared" si="31"/>
        <v>4</v>
      </c>
      <c r="B74" s="2" t="s">
        <v>80</v>
      </c>
      <c r="C74" s="3" t="s">
        <v>76</v>
      </c>
      <c r="D74" s="1" t="s">
        <v>40</v>
      </c>
      <c r="E74" s="1" t="s">
        <v>40</v>
      </c>
      <c r="F74" s="1"/>
      <c r="G74" s="1"/>
      <c r="H74" s="1" t="s">
        <v>40</v>
      </c>
      <c r="I74" s="1"/>
      <c r="J74" s="1"/>
      <c r="K74" s="1"/>
      <c r="L74" s="12">
        <v>256708</v>
      </c>
      <c r="M74" s="15">
        <f t="shared" si="28"/>
        <v>5</v>
      </c>
      <c r="N74" s="15">
        <f t="shared" si="25"/>
        <v>0</v>
      </c>
      <c r="O74" s="12">
        <v>256708</v>
      </c>
      <c r="P74" s="12">
        <f t="shared" si="29"/>
        <v>21392.333333333332</v>
      </c>
      <c r="Q74" s="12">
        <f t="shared" si="30"/>
        <v>21392.333333333332</v>
      </c>
      <c r="R74" t="s">
        <v>905</v>
      </c>
    </row>
    <row r="75" spans="1:18" x14ac:dyDescent="0.3">
      <c r="A75" s="1">
        <f t="shared" si="31"/>
        <v>5</v>
      </c>
      <c r="B75" s="2" t="s">
        <v>81</v>
      </c>
      <c r="C75" s="3" t="s">
        <v>76</v>
      </c>
      <c r="D75" s="1" t="s">
        <v>40</v>
      </c>
      <c r="E75" s="1" t="s">
        <v>40</v>
      </c>
      <c r="F75" s="1"/>
      <c r="G75" s="1"/>
      <c r="H75" s="1" t="s">
        <v>40</v>
      </c>
      <c r="I75" s="1" t="s">
        <v>40</v>
      </c>
      <c r="J75" s="1" t="s">
        <v>40</v>
      </c>
      <c r="K75" s="1"/>
      <c r="L75" s="12">
        <v>174626</v>
      </c>
      <c r="M75" s="15">
        <f t="shared" si="28"/>
        <v>20</v>
      </c>
      <c r="N75" s="15">
        <f t="shared" si="25"/>
        <v>0</v>
      </c>
      <c r="O75" s="12">
        <v>174626</v>
      </c>
      <c r="P75" s="12">
        <f t="shared" si="29"/>
        <v>14552.166666666666</v>
      </c>
      <c r="Q75" s="12">
        <f t="shared" si="30"/>
        <v>14552.166666666666</v>
      </c>
    </row>
    <row r="76" spans="1:18" x14ac:dyDescent="0.3">
      <c r="A76" s="1">
        <f t="shared" si="31"/>
        <v>6</v>
      </c>
      <c r="B76" s="2" t="s">
        <v>82</v>
      </c>
      <c r="C76" s="3" t="s">
        <v>76</v>
      </c>
      <c r="D76" s="1" t="s">
        <v>40</v>
      </c>
      <c r="E76" s="1" t="s">
        <v>40</v>
      </c>
      <c r="F76" s="1"/>
      <c r="G76" s="1"/>
      <c r="H76" s="1" t="s">
        <v>43</v>
      </c>
      <c r="I76" s="1"/>
      <c r="J76" s="1"/>
      <c r="K76" s="1"/>
      <c r="L76" s="12">
        <v>220688</v>
      </c>
      <c r="M76" s="15">
        <f t="shared" si="28"/>
        <v>3.5</v>
      </c>
      <c r="N76" s="15">
        <f t="shared" si="25"/>
        <v>0</v>
      </c>
      <c r="O76" s="12">
        <v>220688</v>
      </c>
      <c r="P76" s="12">
        <f t="shared" si="29"/>
        <v>18390.666666666668</v>
      </c>
      <c r="Q76" s="12">
        <f t="shared" si="30"/>
        <v>18390.666666666668</v>
      </c>
      <c r="R76" t="s">
        <v>905</v>
      </c>
    </row>
    <row r="77" spans="1:18" x14ac:dyDescent="0.3">
      <c r="A77" s="1">
        <f t="shared" si="31"/>
        <v>7</v>
      </c>
      <c r="B77" s="2" t="s">
        <v>83</v>
      </c>
      <c r="C77" s="3" t="s">
        <v>76</v>
      </c>
      <c r="D77" s="1" t="s">
        <v>40</v>
      </c>
      <c r="E77" s="1" t="s">
        <v>40</v>
      </c>
      <c r="F77" s="1"/>
      <c r="G77" s="1"/>
      <c r="H77" s="1" t="s">
        <v>40</v>
      </c>
      <c r="I77" s="1"/>
      <c r="J77" s="1"/>
      <c r="K77" s="1"/>
      <c r="L77" s="12">
        <v>291205</v>
      </c>
      <c r="M77" s="15">
        <f t="shared" si="28"/>
        <v>5</v>
      </c>
      <c r="N77" s="15">
        <f t="shared" si="25"/>
        <v>0</v>
      </c>
      <c r="O77" s="12">
        <v>291205</v>
      </c>
      <c r="P77" s="12">
        <f t="shared" si="29"/>
        <v>24267.083333333332</v>
      </c>
      <c r="Q77" s="12">
        <f t="shared" si="30"/>
        <v>24267.083333333332</v>
      </c>
    </row>
    <row r="78" spans="1:18" x14ac:dyDescent="0.3">
      <c r="A78" s="1">
        <f t="shared" si="31"/>
        <v>8</v>
      </c>
      <c r="B78" s="2" t="s">
        <v>84</v>
      </c>
      <c r="C78" s="3" t="s">
        <v>76</v>
      </c>
      <c r="D78" s="1" t="s">
        <v>40</v>
      </c>
      <c r="E78" s="1" t="s">
        <v>40</v>
      </c>
      <c r="F78" s="1"/>
      <c r="G78" s="1"/>
      <c r="H78" s="1" t="s">
        <v>40</v>
      </c>
      <c r="I78" s="1"/>
      <c r="J78" s="1"/>
      <c r="K78" s="1"/>
      <c r="L78" s="12">
        <v>309287.19</v>
      </c>
      <c r="M78" s="15">
        <f t="shared" si="28"/>
        <v>5</v>
      </c>
      <c r="N78" s="15">
        <f t="shared" si="25"/>
        <v>0</v>
      </c>
      <c r="O78" s="12">
        <v>309287.19</v>
      </c>
      <c r="P78" s="12">
        <f t="shared" si="29"/>
        <v>25773.932499999999</v>
      </c>
      <c r="Q78" s="12">
        <f t="shared" si="30"/>
        <v>25773.932499999999</v>
      </c>
    </row>
    <row r="79" spans="1:18" x14ac:dyDescent="0.3">
      <c r="A79" s="1">
        <f t="shared" si="31"/>
        <v>9</v>
      </c>
      <c r="B79" s="18" t="s">
        <v>85</v>
      </c>
      <c r="C79" s="3" t="s">
        <v>76</v>
      </c>
      <c r="D79" s="1" t="s">
        <v>40</v>
      </c>
      <c r="E79" s="1" t="s">
        <v>40</v>
      </c>
      <c r="F79" s="1"/>
      <c r="G79" s="1"/>
      <c r="H79" s="1" t="s">
        <v>40</v>
      </c>
      <c r="I79" s="1" t="s">
        <v>40</v>
      </c>
      <c r="J79" s="1" t="s">
        <v>40</v>
      </c>
      <c r="K79" s="1" t="s">
        <v>40</v>
      </c>
      <c r="L79" s="12">
        <v>647829.76000000001</v>
      </c>
      <c r="M79" s="15">
        <f t="shared" si="28"/>
        <v>20</v>
      </c>
      <c r="N79" s="15">
        <f t="shared" si="25"/>
        <v>1</v>
      </c>
      <c r="O79" s="20"/>
      <c r="P79" s="12">
        <f t="shared" si="29"/>
        <v>53985.813333333332</v>
      </c>
      <c r="Q79" s="20"/>
    </row>
    <row r="80" spans="1:18" x14ac:dyDescent="0.3">
      <c r="A80" s="1">
        <f t="shared" si="31"/>
        <v>10</v>
      </c>
      <c r="B80" s="2" t="s">
        <v>86</v>
      </c>
      <c r="C80" s="3" t="s">
        <v>76</v>
      </c>
      <c r="D80" s="1" t="s">
        <v>40</v>
      </c>
      <c r="E80" s="1" t="s">
        <v>40</v>
      </c>
      <c r="F80" s="1"/>
      <c r="G80" s="1"/>
      <c r="H80" s="1" t="s">
        <v>40</v>
      </c>
      <c r="I80" s="1"/>
      <c r="J80" s="1"/>
      <c r="K80" s="1"/>
      <c r="L80" s="12">
        <v>96000</v>
      </c>
      <c r="M80" s="15">
        <f t="shared" si="28"/>
        <v>5</v>
      </c>
      <c r="N80" s="15">
        <f t="shared" si="25"/>
        <v>0</v>
      </c>
      <c r="O80" s="12">
        <v>96000</v>
      </c>
      <c r="P80" s="12">
        <f t="shared" si="29"/>
        <v>8000</v>
      </c>
      <c r="Q80" s="12">
        <f t="shared" si="30"/>
        <v>8000</v>
      </c>
    </row>
    <row r="81" spans="1:18" x14ac:dyDescent="0.3">
      <c r="A81" s="1">
        <f t="shared" si="31"/>
        <v>11</v>
      </c>
      <c r="B81" s="2" t="s">
        <v>87</v>
      </c>
      <c r="C81" s="3" t="s">
        <v>76</v>
      </c>
      <c r="D81" s="1" t="s">
        <v>40</v>
      </c>
      <c r="E81" s="1" t="s">
        <v>40</v>
      </c>
      <c r="F81" s="1"/>
      <c r="G81" s="1"/>
      <c r="H81" s="1" t="s">
        <v>40</v>
      </c>
      <c r="I81" s="1" t="s">
        <v>40</v>
      </c>
      <c r="J81" s="1"/>
      <c r="K81" s="1"/>
      <c r="L81" s="12">
        <v>30000</v>
      </c>
      <c r="M81" s="15">
        <f t="shared" si="28"/>
        <v>10</v>
      </c>
      <c r="N81" s="15">
        <f t="shared" si="25"/>
        <v>0</v>
      </c>
      <c r="O81" s="12">
        <v>30000</v>
      </c>
      <c r="P81" s="12">
        <f t="shared" si="29"/>
        <v>2500</v>
      </c>
      <c r="Q81" s="12">
        <f t="shared" si="30"/>
        <v>2500</v>
      </c>
    </row>
    <row r="82" spans="1:18" x14ac:dyDescent="0.3">
      <c r="A82" s="1">
        <f t="shared" si="31"/>
        <v>12</v>
      </c>
      <c r="B82" s="2" t="s">
        <v>88</v>
      </c>
      <c r="C82" s="3" t="s">
        <v>76</v>
      </c>
      <c r="D82" s="1" t="s">
        <v>40</v>
      </c>
      <c r="E82" s="1" t="s">
        <v>40</v>
      </c>
      <c r="F82" s="1"/>
      <c r="G82" s="1"/>
      <c r="H82" s="1" t="s">
        <v>40</v>
      </c>
      <c r="I82" s="1"/>
      <c r="J82" s="1"/>
      <c r="K82" s="1"/>
      <c r="L82" s="14">
        <v>49656</v>
      </c>
      <c r="M82" s="15">
        <f t="shared" si="28"/>
        <v>5</v>
      </c>
      <c r="N82" s="15">
        <f t="shared" si="25"/>
        <v>0</v>
      </c>
      <c r="O82" s="14">
        <v>49656</v>
      </c>
      <c r="P82" s="12">
        <f t="shared" si="29"/>
        <v>4138</v>
      </c>
      <c r="Q82" s="12">
        <f t="shared" si="30"/>
        <v>4138</v>
      </c>
    </row>
    <row r="83" spans="1:18" x14ac:dyDescent="0.3">
      <c r="A83" s="1">
        <f t="shared" si="31"/>
        <v>13</v>
      </c>
      <c r="B83" s="2" t="s">
        <v>89</v>
      </c>
      <c r="C83" s="3" t="s">
        <v>76</v>
      </c>
      <c r="D83" s="1" t="s">
        <v>40</v>
      </c>
      <c r="E83" s="1" t="s">
        <v>40</v>
      </c>
      <c r="F83" s="1"/>
      <c r="G83" s="1"/>
      <c r="H83" s="1" t="s">
        <v>40</v>
      </c>
      <c r="I83" s="1" t="s">
        <v>40</v>
      </c>
      <c r="J83" s="1"/>
      <c r="K83" s="1"/>
      <c r="L83" s="14">
        <v>93864</v>
      </c>
      <c r="M83" s="15">
        <f t="shared" si="28"/>
        <v>10</v>
      </c>
      <c r="N83" s="15">
        <f t="shared" si="25"/>
        <v>0</v>
      </c>
      <c r="O83" s="14">
        <v>93864</v>
      </c>
      <c r="P83" s="12">
        <f t="shared" si="29"/>
        <v>7822</v>
      </c>
      <c r="Q83" s="12">
        <f t="shared" si="30"/>
        <v>7822</v>
      </c>
    </row>
    <row r="84" spans="1:18" x14ac:dyDescent="0.3">
      <c r="A84" s="1">
        <f t="shared" si="31"/>
        <v>14</v>
      </c>
      <c r="B84" s="2" t="s">
        <v>90</v>
      </c>
      <c r="C84" s="3" t="s">
        <v>76</v>
      </c>
      <c r="D84" s="1" t="s">
        <v>40</v>
      </c>
      <c r="E84" s="1" t="s">
        <v>40</v>
      </c>
      <c r="F84" s="1"/>
      <c r="G84" s="1" t="s">
        <v>40</v>
      </c>
      <c r="H84" s="1" t="s">
        <v>40</v>
      </c>
      <c r="I84" s="1"/>
      <c r="J84" s="1"/>
      <c r="K84" s="1" t="s">
        <v>40</v>
      </c>
      <c r="L84" s="14">
        <v>1</v>
      </c>
      <c r="M84" s="15">
        <f t="shared" si="28"/>
        <v>7</v>
      </c>
      <c r="N84" s="15">
        <f t="shared" si="25"/>
        <v>1</v>
      </c>
      <c r="O84" s="20"/>
      <c r="P84" s="12">
        <f t="shared" si="29"/>
        <v>8.3333333333333329E-2</v>
      </c>
      <c r="Q84" s="20"/>
    </row>
    <row r="85" spans="1:18" x14ac:dyDescent="0.3">
      <c r="A85" s="1">
        <f t="shared" si="31"/>
        <v>15</v>
      </c>
      <c r="B85" s="2" t="s">
        <v>91</v>
      </c>
      <c r="C85" s="3" t="s">
        <v>76</v>
      </c>
      <c r="D85" s="1" t="s">
        <v>40</v>
      </c>
      <c r="E85" s="1" t="s">
        <v>40</v>
      </c>
      <c r="F85" s="1"/>
      <c r="G85" s="1"/>
      <c r="H85" s="1" t="s">
        <v>40</v>
      </c>
      <c r="I85" s="1"/>
      <c r="J85" s="1"/>
      <c r="K85" s="1"/>
      <c r="L85" s="14">
        <v>158400</v>
      </c>
      <c r="M85" s="15">
        <f t="shared" si="28"/>
        <v>5</v>
      </c>
      <c r="N85" s="15">
        <f t="shared" si="25"/>
        <v>0</v>
      </c>
      <c r="O85" s="14">
        <v>158400</v>
      </c>
      <c r="P85" s="12">
        <f t="shared" si="29"/>
        <v>13200</v>
      </c>
      <c r="Q85" s="12">
        <f t="shared" ref="Q85:Q99" si="32">+O85/12</f>
        <v>13200</v>
      </c>
    </row>
    <row r="86" spans="1:18" x14ac:dyDescent="0.3">
      <c r="A86" s="1">
        <f t="shared" si="31"/>
        <v>16</v>
      </c>
      <c r="B86" s="2" t="s">
        <v>92</v>
      </c>
      <c r="C86" s="3" t="s">
        <v>76</v>
      </c>
      <c r="D86" s="1" t="s">
        <v>40</v>
      </c>
      <c r="E86" s="1" t="s">
        <v>40</v>
      </c>
      <c r="F86" s="1"/>
      <c r="G86" s="1"/>
      <c r="H86" s="1"/>
      <c r="I86" s="1"/>
      <c r="J86" s="1"/>
      <c r="K86" s="1"/>
      <c r="L86" s="14">
        <v>450476.5</v>
      </c>
      <c r="M86" s="15">
        <f t="shared" si="28"/>
        <v>2</v>
      </c>
      <c r="N86" s="15">
        <f t="shared" si="25"/>
        <v>0</v>
      </c>
      <c r="O86" s="14">
        <v>450476.5</v>
      </c>
      <c r="P86" s="12">
        <f t="shared" si="29"/>
        <v>37539.708333333336</v>
      </c>
      <c r="Q86" s="12">
        <f t="shared" si="32"/>
        <v>37539.708333333336</v>
      </c>
      <c r="R86" t="s">
        <v>905</v>
      </c>
    </row>
    <row r="87" spans="1:18" x14ac:dyDescent="0.3">
      <c r="A87" s="1">
        <f t="shared" si="31"/>
        <v>17</v>
      </c>
      <c r="B87" s="2" t="s">
        <v>93</v>
      </c>
      <c r="C87" s="3" t="s">
        <v>76</v>
      </c>
      <c r="D87" s="1" t="s">
        <v>40</v>
      </c>
      <c r="E87" s="1" t="s">
        <v>40</v>
      </c>
      <c r="F87" s="1"/>
      <c r="G87" s="1"/>
      <c r="H87" s="1" t="s">
        <v>40</v>
      </c>
      <c r="I87" s="1" t="s">
        <v>40</v>
      </c>
      <c r="J87" s="1"/>
      <c r="K87" s="1" t="s">
        <v>40</v>
      </c>
      <c r="L87" s="14">
        <v>417122.56</v>
      </c>
      <c r="M87" s="15">
        <f t="shared" si="28"/>
        <v>10</v>
      </c>
      <c r="N87" s="15">
        <f t="shared" si="25"/>
        <v>1</v>
      </c>
      <c r="O87" s="14">
        <v>417122.56</v>
      </c>
      <c r="P87" s="12">
        <f t="shared" si="29"/>
        <v>34760.213333333333</v>
      </c>
      <c r="Q87" s="12">
        <f t="shared" si="32"/>
        <v>34760.213333333333</v>
      </c>
      <c r="R87" t="s">
        <v>905</v>
      </c>
    </row>
    <row r="88" spans="1:18" x14ac:dyDescent="0.3">
      <c r="A88" s="1">
        <f t="shared" si="31"/>
        <v>18</v>
      </c>
      <c r="B88" s="2" t="s">
        <v>94</v>
      </c>
      <c r="C88" s="3" t="s">
        <v>76</v>
      </c>
      <c r="D88" s="1" t="s">
        <v>40</v>
      </c>
      <c r="E88" s="1" t="s">
        <v>40</v>
      </c>
      <c r="F88" s="1"/>
      <c r="G88" s="1"/>
      <c r="H88" s="1"/>
      <c r="I88" s="1"/>
      <c r="J88" s="1"/>
      <c r="K88" s="1"/>
      <c r="L88" s="14">
        <v>15000</v>
      </c>
      <c r="M88" s="15">
        <f t="shared" si="28"/>
        <v>2</v>
      </c>
      <c r="N88" s="15">
        <f t="shared" si="25"/>
        <v>0</v>
      </c>
      <c r="O88" s="14">
        <v>15000</v>
      </c>
      <c r="P88" s="12">
        <f t="shared" si="29"/>
        <v>1250</v>
      </c>
      <c r="Q88" s="12">
        <f t="shared" si="32"/>
        <v>1250</v>
      </c>
    </row>
    <row r="89" spans="1:18" x14ac:dyDescent="0.3">
      <c r="A89" s="1">
        <f t="shared" si="31"/>
        <v>19</v>
      </c>
      <c r="B89" s="2" t="s">
        <v>95</v>
      </c>
      <c r="C89" s="3" t="s">
        <v>76</v>
      </c>
      <c r="D89" s="1" t="s">
        <v>40</v>
      </c>
      <c r="E89" s="1" t="s">
        <v>40</v>
      </c>
      <c r="F89" s="1"/>
      <c r="G89" s="1"/>
      <c r="H89" s="1" t="s">
        <v>40</v>
      </c>
      <c r="I89" s="1" t="s">
        <v>40</v>
      </c>
      <c r="J89" s="1" t="s">
        <v>40</v>
      </c>
      <c r="K89" s="1" t="s">
        <v>40</v>
      </c>
      <c r="L89" s="14">
        <v>226000</v>
      </c>
      <c r="M89" s="15">
        <f t="shared" si="28"/>
        <v>20</v>
      </c>
      <c r="N89" s="15">
        <f t="shared" si="25"/>
        <v>1</v>
      </c>
      <c r="O89" s="14">
        <v>226000</v>
      </c>
      <c r="P89" s="12">
        <f t="shared" si="29"/>
        <v>18833.333333333332</v>
      </c>
      <c r="Q89" s="12">
        <f t="shared" si="32"/>
        <v>18833.333333333332</v>
      </c>
    </row>
    <row r="90" spans="1:18" x14ac:dyDescent="0.3">
      <c r="A90" s="1">
        <f t="shared" si="31"/>
        <v>20</v>
      </c>
      <c r="B90" s="2" t="s">
        <v>96</v>
      </c>
      <c r="C90" s="3" t="s">
        <v>76</v>
      </c>
      <c r="D90" s="1" t="s">
        <v>40</v>
      </c>
      <c r="E90" s="1" t="s">
        <v>40</v>
      </c>
      <c r="F90" s="1" t="s">
        <v>40</v>
      </c>
      <c r="G90" s="1"/>
      <c r="H90" s="1"/>
      <c r="I90" s="1"/>
      <c r="J90" s="1"/>
      <c r="K90" s="1"/>
      <c r="L90" s="14">
        <v>98392</v>
      </c>
      <c r="M90" s="15">
        <f t="shared" si="28"/>
        <v>4</v>
      </c>
      <c r="N90" s="15">
        <f t="shared" si="25"/>
        <v>0</v>
      </c>
      <c r="O90" s="14">
        <v>98392</v>
      </c>
      <c r="P90" s="12">
        <f t="shared" si="29"/>
        <v>8199.3333333333339</v>
      </c>
      <c r="Q90" s="12">
        <f t="shared" si="32"/>
        <v>8199.3333333333339</v>
      </c>
    </row>
    <row r="91" spans="1:18" x14ac:dyDescent="0.3">
      <c r="A91" s="1">
        <f t="shared" si="31"/>
        <v>21</v>
      </c>
      <c r="B91" s="2" t="s">
        <v>97</v>
      </c>
      <c r="C91" s="3" t="s">
        <v>76</v>
      </c>
      <c r="D91" s="1" t="s">
        <v>40</v>
      </c>
      <c r="E91" s="1" t="s">
        <v>40</v>
      </c>
      <c r="F91" s="1"/>
      <c r="G91" s="1"/>
      <c r="H91" s="1" t="s">
        <v>40</v>
      </c>
      <c r="I91" s="1"/>
      <c r="J91" s="1"/>
      <c r="K91" s="1"/>
      <c r="L91" s="14">
        <v>51470</v>
      </c>
      <c r="M91" s="15">
        <f t="shared" si="28"/>
        <v>5</v>
      </c>
      <c r="N91" s="15">
        <f t="shared" si="25"/>
        <v>0</v>
      </c>
      <c r="O91" s="14">
        <v>51470</v>
      </c>
      <c r="P91" s="12">
        <f t="shared" si="29"/>
        <v>4289.166666666667</v>
      </c>
      <c r="Q91" s="12">
        <f t="shared" si="32"/>
        <v>4289.166666666667</v>
      </c>
    </row>
    <row r="92" spans="1:18" x14ac:dyDescent="0.3">
      <c r="A92" s="1">
        <f t="shared" si="31"/>
        <v>22</v>
      </c>
      <c r="B92" s="2" t="s">
        <v>98</v>
      </c>
      <c r="C92" s="3" t="s">
        <v>76</v>
      </c>
      <c r="D92" s="1" t="s">
        <v>40</v>
      </c>
      <c r="E92" s="1" t="s">
        <v>40</v>
      </c>
      <c r="F92" s="1" t="s">
        <v>40</v>
      </c>
      <c r="G92" s="1"/>
      <c r="H92" s="1" t="s">
        <v>40</v>
      </c>
      <c r="I92" s="1"/>
      <c r="J92" s="1"/>
      <c r="K92" s="1"/>
      <c r="L92" s="14">
        <v>93600</v>
      </c>
      <c r="M92" s="15">
        <f t="shared" si="28"/>
        <v>7</v>
      </c>
      <c r="N92" s="15">
        <f t="shared" si="25"/>
        <v>0</v>
      </c>
      <c r="O92" s="14">
        <v>93600</v>
      </c>
      <c r="P92" s="12">
        <f t="shared" si="29"/>
        <v>7800</v>
      </c>
      <c r="Q92" s="12">
        <f t="shared" si="32"/>
        <v>7800</v>
      </c>
    </row>
    <row r="93" spans="1:18" x14ac:dyDescent="0.3">
      <c r="A93" s="1">
        <f t="shared" si="31"/>
        <v>23</v>
      </c>
      <c r="B93" s="2" t="s">
        <v>99</v>
      </c>
      <c r="C93" s="3" t="s">
        <v>76</v>
      </c>
      <c r="D93" s="1" t="s">
        <v>40</v>
      </c>
      <c r="E93" s="1" t="s">
        <v>40</v>
      </c>
      <c r="F93" s="1"/>
      <c r="G93" s="1"/>
      <c r="H93" s="1" t="s">
        <v>40</v>
      </c>
      <c r="I93" s="1"/>
      <c r="J93" s="1"/>
      <c r="K93" s="1" t="s">
        <v>40</v>
      </c>
      <c r="L93" s="14">
        <v>145442.03</v>
      </c>
      <c r="M93" s="15">
        <f t="shared" si="28"/>
        <v>5</v>
      </c>
      <c r="N93" s="15">
        <f t="shared" si="25"/>
        <v>1</v>
      </c>
      <c r="O93" s="14">
        <v>145442.03</v>
      </c>
      <c r="P93" s="12">
        <f t="shared" si="29"/>
        <v>12120.169166666667</v>
      </c>
      <c r="Q93" s="12">
        <f t="shared" si="32"/>
        <v>12120.169166666667</v>
      </c>
    </row>
    <row r="94" spans="1:18" x14ac:dyDescent="0.3">
      <c r="A94" s="1">
        <f t="shared" si="31"/>
        <v>24</v>
      </c>
      <c r="B94" s="2" t="s">
        <v>100</v>
      </c>
      <c r="C94" s="3" t="s">
        <v>76</v>
      </c>
      <c r="D94" s="1" t="s">
        <v>40</v>
      </c>
      <c r="E94" s="1" t="s">
        <v>40</v>
      </c>
      <c r="F94" s="1"/>
      <c r="G94" s="1"/>
      <c r="H94" s="1" t="s">
        <v>40</v>
      </c>
      <c r="I94" s="1" t="s">
        <v>40</v>
      </c>
      <c r="J94" s="1"/>
      <c r="K94" s="1" t="s">
        <v>40</v>
      </c>
      <c r="L94" s="14">
        <v>72600</v>
      </c>
      <c r="M94" s="15">
        <f t="shared" si="28"/>
        <v>10</v>
      </c>
      <c r="N94" s="15">
        <f t="shared" si="25"/>
        <v>1</v>
      </c>
      <c r="O94" s="14">
        <v>72600</v>
      </c>
      <c r="P94" s="12">
        <f t="shared" si="29"/>
        <v>6050</v>
      </c>
      <c r="Q94" s="12">
        <f t="shared" si="32"/>
        <v>6050</v>
      </c>
    </row>
    <row r="95" spans="1:18" x14ac:dyDescent="0.3">
      <c r="A95" s="1">
        <f t="shared" si="31"/>
        <v>25</v>
      </c>
      <c r="B95" s="2" t="s">
        <v>101</v>
      </c>
      <c r="C95" s="3" t="s">
        <v>76</v>
      </c>
      <c r="D95" s="1" t="s">
        <v>40</v>
      </c>
      <c r="E95" s="1" t="s">
        <v>40</v>
      </c>
      <c r="F95" s="1"/>
      <c r="G95" s="1"/>
      <c r="H95" s="1" t="s">
        <v>40</v>
      </c>
      <c r="I95" s="1" t="s">
        <v>40</v>
      </c>
      <c r="J95" s="1"/>
      <c r="K95" s="1"/>
      <c r="L95" s="14">
        <v>157000</v>
      </c>
      <c r="M95" s="15">
        <f t="shared" si="28"/>
        <v>10</v>
      </c>
      <c r="N95" s="15">
        <f t="shared" si="25"/>
        <v>0</v>
      </c>
      <c r="O95" s="14">
        <v>157000</v>
      </c>
      <c r="P95" s="12">
        <f t="shared" si="29"/>
        <v>13083.333333333334</v>
      </c>
      <c r="Q95" s="12">
        <f t="shared" si="32"/>
        <v>13083.333333333334</v>
      </c>
    </row>
    <row r="96" spans="1:18" x14ac:dyDescent="0.3">
      <c r="A96" s="1">
        <f t="shared" si="31"/>
        <v>26</v>
      </c>
      <c r="B96" s="2" t="s">
        <v>102</v>
      </c>
      <c r="C96" s="3" t="s">
        <v>76</v>
      </c>
      <c r="D96" s="1" t="s">
        <v>40</v>
      </c>
      <c r="E96" s="1" t="s">
        <v>40</v>
      </c>
      <c r="F96" s="1"/>
      <c r="G96" s="1"/>
      <c r="H96" s="1"/>
      <c r="I96" s="1"/>
      <c r="J96" s="1"/>
      <c r="K96" s="1"/>
      <c r="L96" s="14">
        <v>9360</v>
      </c>
      <c r="M96" s="15">
        <f t="shared" si="28"/>
        <v>2</v>
      </c>
      <c r="N96" s="15">
        <f t="shared" si="25"/>
        <v>0</v>
      </c>
      <c r="O96" s="14">
        <v>9360</v>
      </c>
      <c r="P96" s="12">
        <f t="shared" si="29"/>
        <v>780</v>
      </c>
      <c r="Q96" s="12">
        <f t="shared" si="32"/>
        <v>780</v>
      </c>
    </row>
    <row r="97" spans="1:18" x14ac:dyDescent="0.3">
      <c r="A97" s="1">
        <f t="shared" si="31"/>
        <v>27</v>
      </c>
      <c r="B97" s="2" t="s">
        <v>103</v>
      </c>
      <c r="C97" s="3" t="s">
        <v>76</v>
      </c>
      <c r="D97" s="1" t="s">
        <v>40</v>
      </c>
      <c r="E97" s="1" t="s">
        <v>40</v>
      </c>
      <c r="F97" s="1"/>
      <c r="G97" s="1"/>
      <c r="H97" s="1" t="s">
        <v>40</v>
      </c>
      <c r="I97" s="1"/>
      <c r="J97" s="1"/>
      <c r="K97" s="1"/>
      <c r="L97" s="14">
        <v>102330</v>
      </c>
      <c r="M97" s="15">
        <f t="shared" si="28"/>
        <v>5</v>
      </c>
      <c r="N97" s="15">
        <f t="shared" si="25"/>
        <v>0</v>
      </c>
      <c r="O97" s="14">
        <v>102330</v>
      </c>
      <c r="P97" s="12">
        <f t="shared" si="29"/>
        <v>8527.5</v>
      </c>
      <c r="Q97" s="12">
        <f t="shared" si="32"/>
        <v>8527.5</v>
      </c>
    </row>
    <row r="98" spans="1:18" x14ac:dyDescent="0.3">
      <c r="A98" s="1">
        <f t="shared" si="31"/>
        <v>28</v>
      </c>
      <c r="B98" s="2" t="s">
        <v>104</v>
      </c>
      <c r="C98" s="3" t="s">
        <v>76</v>
      </c>
      <c r="D98" s="1" t="s">
        <v>40</v>
      </c>
      <c r="E98" s="1" t="s">
        <v>40</v>
      </c>
      <c r="F98" s="1" t="s">
        <v>40</v>
      </c>
      <c r="G98" s="1" t="s">
        <v>40</v>
      </c>
      <c r="H98" s="1" t="s">
        <v>40</v>
      </c>
      <c r="I98" s="1"/>
      <c r="J98" s="1"/>
      <c r="K98" s="1"/>
      <c r="L98" s="14">
        <v>121194</v>
      </c>
      <c r="M98" s="15">
        <f t="shared" si="28"/>
        <v>9</v>
      </c>
      <c r="N98" s="15">
        <f t="shared" si="25"/>
        <v>0</v>
      </c>
      <c r="O98" s="14">
        <v>121194</v>
      </c>
      <c r="P98" s="12">
        <f t="shared" si="29"/>
        <v>10099.5</v>
      </c>
      <c r="Q98" s="12">
        <f t="shared" si="32"/>
        <v>10099.5</v>
      </c>
    </row>
    <row r="99" spans="1:18" x14ac:dyDescent="0.3">
      <c r="A99" s="1">
        <f t="shared" si="31"/>
        <v>29</v>
      </c>
      <c r="B99" s="2" t="s">
        <v>105</v>
      </c>
      <c r="C99" s="3" t="s">
        <v>76</v>
      </c>
      <c r="D99" s="1" t="s">
        <v>40</v>
      </c>
      <c r="E99" s="1" t="s">
        <v>40</v>
      </c>
      <c r="F99" s="1"/>
      <c r="G99" s="1"/>
      <c r="H99" s="1" t="s">
        <v>40</v>
      </c>
      <c r="I99" s="1"/>
      <c r="J99" s="1"/>
      <c r="K99" s="1"/>
      <c r="L99" s="14">
        <v>203837.6</v>
      </c>
      <c r="M99" s="15">
        <f t="shared" si="28"/>
        <v>5</v>
      </c>
      <c r="N99" s="15">
        <f t="shared" si="25"/>
        <v>0</v>
      </c>
      <c r="O99" s="14">
        <v>203837.6</v>
      </c>
      <c r="P99" s="12">
        <f t="shared" si="29"/>
        <v>16986.466666666667</v>
      </c>
      <c r="Q99" s="12">
        <f t="shared" si="32"/>
        <v>16986.466666666667</v>
      </c>
    </row>
    <row r="100" spans="1:18" x14ac:dyDescent="0.3">
      <c r="A100" s="1">
        <f t="shared" si="31"/>
        <v>30</v>
      </c>
      <c r="B100" s="2" t="s">
        <v>106</v>
      </c>
      <c r="C100" s="3" t="s">
        <v>76</v>
      </c>
      <c r="D100" s="1" t="s">
        <v>40</v>
      </c>
      <c r="E100" s="1" t="s">
        <v>40</v>
      </c>
      <c r="F100" s="1"/>
      <c r="G100" s="1"/>
      <c r="H100" s="1"/>
      <c r="I100" s="1"/>
      <c r="J100" s="1"/>
      <c r="K100" s="1"/>
      <c r="L100" s="14">
        <v>0</v>
      </c>
      <c r="M100" s="15">
        <f t="shared" si="28"/>
        <v>2</v>
      </c>
      <c r="N100" s="15">
        <f t="shared" si="25"/>
        <v>0</v>
      </c>
      <c r="O100" s="20"/>
      <c r="P100" s="12">
        <f t="shared" si="29"/>
        <v>0</v>
      </c>
      <c r="Q100" s="20"/>
    </row>
    <row r="101" spans="1:18" x14ac:dyDescent="0.3">
      <c r="L101" s="14">
        <f>+AVERAGE(L71:L100)</f>
        <v>194348.617</v>
      </c>
      <c r="M101" s="14">
        <f>+AVERAGE(M71:M100)</f>
        <v>7.2833333333333332</v>
      </c>
      <c r="N101" s="14">
        <f>+SUM(N71:N100)</f>
        <v>6</v>
      </c>
      <c r="O101" s="14">
        <f>+AVERAGE(O71:O100)</f>
        <v>181703.10666666666</v>
      </c>
      <c r="P101" s="14">
        <f>+AVERAGE(P71:P100)</f>
        <v>16195.718083333331</v>
      </c>
      <c r="Q101" s="14">
        <f>+AVERAGE(Q71:Q100)</f>
        <v>15141.925555555556</v>
      </c>
      <c r="R101" s="14">
        <f>30-COUNTBLANK(R71:R100)</f>
        <v>5</v>
      </c>
    </row>
    <row r="102" spans="1:18" x14ac:dyDescent="0.3">
      <c r="L102" s="14">
        <f>+STDEV(L71:L100)</f>
        <v>172826.72673972248</v>
      </c>
      <c r="M102" s="14">
        <f>+STDEV(M71:M100)</f>
        <v>5.0235365570711128</v>
      </c>
      <c r="N102" s="17"/>
      <c r="O102" s="14">
        <f>+STDEV(O71:O100)</f>
        <v>127892.19463898758</v>
      </c>
      <c r="P102" s="14">
        <f>+STDEV(P71:P100)</f>
        <v>14402.227228310208</v>
      </c>
      <c r="Q102" s="14">
        <f>+STDEV(Q71:Q100)</f>
        <v>10657.682886582295</v>
      </c>
    </row>
    <row r="103" spans="1:18" x14ac:dyDescent="0.3">
      <c r="I103" s="15"/>
      <c r="J103" s="15"/>
      <c r="K103" s="11" t="s">
        <v>75</v>
      </c>
      <c r="L103" s="14">
        <f>+COUNTIF(L71:L100,0)</f>
        <v>1</v>
      </c>
      <c r="M103" s="14">
        <f>+COUNT(M71:M100)</f>
        <v>30</v>
      </c>
      <c r="P103" s="14">
        <f>+COUNTIF(P71:P100,0)</f>
        <v>1</v>
      </c>
    </row>
    <row r="105" spans="1:18" x14ac:dyDescent="0.3">
      <c r="A105" s="1">
        <v>1</v>
      </c>
      <c r="B105" s="2" t="s">
        <v>108</v>
      </c>
      <c r="C105" s="3" t="s">
        <v>107</v>
      </c>
      <c r="D105" s="1" t="s">
        <v>40</v>
      </c>
      <c r="E105" s="1" t="s">
        <v>40</v>
      </c>
      <c r="F105" s="1"/>
      <c r="G105" s="1"/>
      <c r="H105" s="1" t="s">
        <v>40</v>
      </c>
      <c r="I105" s="1" t="s">
        <v>40</v>
      </c>
      <c r="J105" s="1" t="s">
        <v>40</v>
      </c>
      <c r="K105" s="1" t="s">
        <v>40</v>
      </c>
      <c r="L105" s="14">
        <v>9836766</v>
      </c>
      <c r="M105" s="15">
        <f>+IF(D105="X",1,0)+IF(E105="X",1,0)+IF(F105="X",2,0)+IF(G105="X",2,0)+IF(H105="X",3,IF(H105="Y",1.5,0))+IF(I105="X",5,IF(I105="Y",2.5,0))+IF(J105="X",10,IF(J105="Y",5,0))</f>
        <v>20</v>
      </c>
      <c r="N105" s="15">
        <f t="shared" ref="N105:N117" si="33">+IF(K105="X",1,0)</f>
        <v>1</v>
      </c>
      <c r="O105" s="20"/>
      <c r="P105" s="12">
        <f t="shared" ref="P105:P117" si="34">+L105/12</f>
        <v>819730.5</v>
      </c>
      <c r="Q105" s="20"/>
    </row>
    <row r="106" spans="1:18" x14ac:dyDescent="0.3">
      <c r="A106" s="1">
        <f>+A105+1</f>
        <v>2</v>
      </c>
      <c r="B106" s="2" t="s">
        <v>109</v>
      </c>
      <c r="C106" s="3" t="s">
        <v>107</v>
      </c>
      <c r="D106" s="1" t="s">
        <v>40</v>
      </c>
      <c r="E106" s="1" t="s">
        <v>40</v>
      </c>
      <c r="F106" s="1"/>
      <c r="G106" s="1"/>
      <c r="H106" s="1" t="s">
        <v>40</v>
      </c>
      <c r="I106" s="1" t="s">
        <v>40</v>
      </c>
      <c r="J106" s="1"/>
      <c r="K106" s="1"/>
      <c r="L106" s="12">
        <v>285335.53999999998</v>
      </c>
      <c r="M106" s="15">
        <f t="shared" ref="M106:M134" si="35">+IF(D106="X",1,0)+IF(E106="X",1,0)+IF(F106="X",2,0)+IF(G106="X",2,0)+IF(H106="X",3,IF(H106="Y",1.5,0))+IF(I106="X",5,IF(I106="Y",2.5,0))+IF(J106="X",10,IF(J106="Y",5,0))</f>
        <v>10</v>
      </c>
      <c r="N106" s="15">
        <f t="shared" si="33"/>
        <v>0</v>
      </c>
      <c r="O106" s="12">
        <v>285335.53999999998</v>
      </c>
      <c r="P106" s="12">
        <f t="shared" si="34"/>
        <v>23777.961666666666</v>
      </c>
      <c r="Q106" s="12">
        <f t="shared" ref="Q106:Q110" si="36">+O106/12</f>
        <v>23777.961666666666</v>
      </c>
    </row>
    <row r="107" spans="1:18" x14ac:dyDescent="0.3">
      <c r="A107" s="1">
        <f t="shared" ref="A107:A134" si="37">+A106+1</f>
        <v>3</v>
      </c>
      <c r="B107" s="18" t="s">
        <v>110</v>
      </c>
      <c r="C107" s="3" t="s">
        <v>107</v>
      </c>
      <c r="D107" s="1" t="s">
        <v>40</v>
      </c>
      <c r="E107" s="1" t="s">
        <v>40</v>
      </c>
      <c r="F107" s="1"/>
      <c r="G107" s="1"/>
      <c r="H107" s="1" t="s">
        <v>40</v>
      </c>
      <c r="I107" s="1" t="s">
        <v>40</v>
      </c>
      <c r="J107" s="1"/>
      <c r="K107" s="1"/>
      <c r="L107" s="12">
        <v>438000</v>
      </c>
      <c r="M107" s="15">
        <f t="shared" si="35"/>
        <v>10</v>
      </c>
      <c r="N107" s="15">
        <f t="shared" si="33"/>
        <v>0</v>
      </c>
      <c r="O107" s="12">
        <v>438000</v>
      </c>
      <c r="P107" s="12">
        <f t="shared" si="34"/>
        <v>36500</v>
      </c>
      <c r="Q107" s="12">
        <f t="shared" si="36"/>
        <v>36500</v>
      </c>
    </row>
    <row r="108" spans="1:18" x14ac:dyDescent="0.3">
      <c r="A108" s="1">
        <f t="shared" si="37"/>
        <v>4</v>
      </c>
      <c r="B108" s="2" t="s">
        <v>111</v>
      </c>
      <c r="C108" s="3" t="s">
        <v>107</v>
      </c>
      <c r="D108" s="1" t="s">
        <v>40</v>
      </c>
      <c r="E108" s="1" t="s">
        <v>40</v>
      </c>
      <c r="F108" s="1"/>
      <c r="G108" s="1"/>
      <c r="H108" s="1" t="s">
        <v>40</v>
      </c>
      <c r="I108" s="1"/>
      <c r="J108" s="1"/>
      <c r="K108" s="1"/>
      <c r="L108" s="12">
        <v>425280</v>
      </c>
      <c r="M108" s="15">
        <f t="shared" si="35"/>
        <v>5</v>
      </c>
      <c r="N108" s="15">
        <f t="shared" si="33"/>
        <v>0</v>
      </c>
      <c r="O108" s="12">
        <v>425280</v>
      </c>
      <c r="P108" s="12">
        <f t="shared" si="34"/>
        <v>35440</v>
      </c>
      <c r="Q108" s="12">
        <f t="shared" si="36"/>
        <v>35440</v>
      </c>
      <c r="R108" t="s">
        <v>906</v>
      </c>
    </row>
    <row r="109" spans="1:18" x14ac:dyDescent="0.3">
      <c r="A109" s="1">
        <f t="shared" si="37"/>
        <v>5</v>
      </c>
      <c r="B109" s="2" t="s">
        <v>112</v>
      </c>
      <c r="C109" s="3" t="s">
        <v>107</v>
      </c>
      <c r="D109" s="1" t="s">
        <v>40</v>
      </c>
      <c r="E109" s="1" t="s">
        <v>40</v>
      </c>
      <c r="F109" s="1"/>
      <c r="G109" s="1"/>
      <c r="H109" s="1" t="s">
        <v>40</v>
      </c>
      <c r="I109" s="1" t="s">
        <v>40</v>
      </c>
      <c r="J109" s="1"/>
      <c r="K109" s="1"/>
      <c r="L109" s="12">
        <v>301051.39</v>
      </c>
      <c r="M109" s="15">
        <f t="shared" si="35"/>
        <v>10</v>
      </c>
      <c r="N109" s="15">
        <f t="shared" si="33"/>
        <v>0</v>
      </c>
      <c r="O109" s="12">
        <v>301051.39</v>
      </c>
      <c r="P109" s="12">
        <f t="shared" si="34"/>
        <v>25087.615833333333</v>
      </c>
      <c r="Q109" s="12">
        <f t="shared" si="36"/>
        <v>25087.615833333333</v>
      </c>
    </row>
    <row r="110" spans="1:18" x14ac:dyDescent="0.3">
      <c r="A110" s="1">
        <f t="shared" si="37"/>
        <v>6</v>
      </c>
      <c r="B110" s="2" t="s">
        <v>113</v>
      </c>
      <c r="C110" s="3" t="s">
        <v>107</v>
      </c>
      <c r="D110" s="1" t="s">
        <v>40</v>
      </c>
      <c r="E110" s="1" t="s">
        <v>40</v>
      </c>
      <c r="F110" s="1"/>
      <c r="G110" s="1"/>
      <c r="H110" s="1" t="s">
        <v>40</v>
      </c>
      <c r="I110" s="1" t="s">
        <v>40</v>
      </c>
      <c r="J110" s="1" t="s">
        <v>43</v>
      </c>
      <c r="K110" s="1"/>
      <c r="L110" s="12">
        <v>284758</v>
      </c>
      <c r="M110" s="15">
        <f t="shared" si="35"/>
        <v>15</v>
      </c>
      <c r="N110" s="15">
        <f t="shared" si="33"/>
        <v>0</v>
      </c>
      <c r="O110" s="12">
        <v>284758</v>
      </c>
      <c r="P110" s="12">
        <f t="shared" si="34"/>
        <v>23729.833333333332</v>
      </c>
      <c r="Q110" s="12">
        <f t="shared" si="36"/>
        <v>23729.833333333332</v>
      </c>
    </row>
    <row r="111" spans="1:18" x14ac:dyDescent="0.3">
      <c r="A111" s="1">
        <f t="shared" si="37"/>
        <v>7</v>
      </c>
      <c r="B111" s="2" t="s">
        <v>114</v>
      </c>
      <c r="C111" s="3" t="s">
        <v>107</v>
      </c>
      <c r="D111" s="1" t="s">
        <v>40</v>
      </c>
      <c r="E111" s="1" t="s">
        <v>40</v>
      </c>
      <c r="F111" s="1"/>
      <c r="G111" s="1"/>
      <c r="H111" s="1"/>
      <c r="I111" s="1"/>
      <c r="J111" s="1"/>
      <c r="K111" s="1"/>
      <c r="L111" s="12">
        <v>0</v>
      </c>
      <c r="M111" s="15">
        <f t="shared" si="35"/>
        <v>2</v>
      </c>
      <c r="N111" s="15">
        <f t="shared" si="33"/>
        <v>0</v>
      </c>
      <c r="O111" s="20"/>
      <c r="P111" s="12">
        <f t="shared" si="34"/>
        <v>0</v>
      </c>
      <c r="Q111" s="20"/>
    </row>
    <row r="112" spans="1:18" x14ac:dyDescent="0.3">
      <c r="A112" s="1">
        <f t="shared" si="37"/>
        <v>8</v>
      </c>
      <c r="B112" s="2" t="s">
        <v>115</v>
      </c>
      <c r="C112" s="3" t="s">
        <v>107</v>
      </c>
      <c r="D112" s="1" t="s">
        <v>40</v>
      </c>
      <c r="E112" s="1" t="s">
        <v>40</v>
      </c>
      <c r="F112" s="1"/>
      <c r="G112" s="1"/>
      <c r="H112" s="1" t="s">
        <v>40</v>
      </c>
      <c r="I112" s="1" t="s">
        <v>40</v>
      </c>
      <c r="J112" s="1"/>
      <c r="K112" s="1"/>
      <c r="L112" s="12">
        <v>410705</v>
      </c>
      <c r="M112" s="15">
        <f t="shared" si="35"/>
        <v>10</v>
      </c>
      <c r="N112" s="15">
        <f t="shared" si="33"/>
        <v>0</v>
      </c>
      <c r="O112" s="12">
        <v>410705</v>
      </c>
      <c r="P112" s="12">
        <f t="shared" si="34"/>
        <v>34225.416666666664</v>
      </c>
      <c r="Q112" s="12">
        <f t="shared" ref="Q112:Q113" si="38">+O112/12</f>
        <v>34225.416666666664</v>
      </c>
      <c r="R112" t="s">
        <v>906</v>
      </c>
    </row>
    <row r="113" spans="1:18" x14ac:dyDescent="0.3">
      <c r="A113" s="1">
        <f t="shared" si="37"/>
        <v>9</v>
      </c>
      <c r="B113" s="18" t="s">
        <v>116</v>
      </c>
      <c r="C113" s="3" t="s">
        <v>107</v>
      </c>
      <c r="D113" s="1" t="s">
        <v>40</v>
      </c>
      <c r="E113" s="1" t="s">
        <v>40</v>
      </c>
      <c r="F113" s="1"/>
      <c r="G113" s="1"/>
      <c r="H113" s="1"/>
      <c r="I113" s="1"/>
      <c r="J113" s="1"/>
      <c r="K113" s="1" t="s">
        <v>40</v>
      </c>
      <c r="L113" s="12">
        <v>170489</v>
      </c>
      <c r="M113" s="15">
        <f t="shared" si="35"/>
        <v>2</v>
      </c>
      <c r="N113" s="15">
        <f t="shared" si="33"/>
        <v>1</v>
      </c>
      <c r="O113" s="12">
        <v>170489</v>
      </c>
      <c r="P113" s="12">
        <f t="shared" si="34"/>
        <v>14207.416666666666</v>
      </c>
      <c r="Q113" s="12">
        <f t="shared" si="38"/>
        <v>14207.416666666666</v>
      </c>
    </row>
    <row r="114" spans="1:18" x14ac:dyDescent="0.3">
      <c r="A114" s="1">
        <f t="shared" si="37"/>
        <v>10</v>
      </c>
      <c r="B114" s="2" t="s">
        <v>117</v>
      </c>
      <c r="C114" s="3" t="s">
        <v>107</v>
      </c>
      <c r="D114" s="1" t="s">
        <v>40</v>
      </c>
      <c r="E114" s="1" t="s">
        <v>40</v>
      </c>
      <c r="F114" s="1"/>
      <c r="G114" s="1"/>
      <c r="H114" s="1" t="s">
        <v>40</v>
      </c>
      <c r="I114" s="1"/>
      <c r="J114" s="1"/>
      <c r="K114" s="1"/>
      <c r="L114" s="12">
        <v>0</v>
      </c>
      <c r="M114" s="15">
        <f t="shared" si="35"/>
        <v>5</v>
      </c>
      <c r="N114" s="15">
        <f t="shared" si="33"/>
        <v>0</v>
      </c>
      <c r="O114" s="20"/>
      <c r="P114" s="12">
        <f t="shared" si="34"/>
        <v>0</v>
      </c>
      <c r="Q114" s="20"/>
    </row>
    <row r="115" spans="1:18" x14ac:dyDescent="0.3">
      <c r="A115" s="1">
        <f t="shared" si="37"/>
        <v>11</v>
      </c>
      <c r="B115" s="2" t="s">
        <v>118</v>
      </c>
      <c r="C115" s="3" t="s">
        <v>107</v>
      </c>
      <c r="D115" s="1" t="s">
        <v>40</v>
      </c>
      <c r="E115" s="1" t="s">
        <v>40</v>
      </c>
      <c r="F115" s="1"/>
      <c r="G115" s="1"/>
      <c r="H115" s="1" t="s">
        <v>43</v>
      </c>
      <c r="I115" s="1" t="s">
        <v>43</v>
      </c>
      <c r="J115" s="1" t="s">
        <v>43</v>
      </c>
      <c r="K115" s="1" t="s">
        <v>40</v>
      </c>
      <c r="L115" s="12">
        <v>411649.6</v>
      </c>
      <c r="M115" s="15">
        <f t="shared" si="35"/>
        <v>11</v>
      </c>
      <c r="N115" s="15">
        <f t="shared" si="33"/>
        <v>1</v>
      </c>
      <c r="O115" s="12">
        <v>411649.6</v>
      </c>
      <c r="P115" s="12">
        <f t="shared" si="34"/>
        <v>34304.133333333331</v>
      </c>
      <c r="Q115" s="12">
        <f t="shared" ref="Q115:Q117" si="39">+O115/12</f>
        <v>34304.133333333331</v>
      </c>
      <c r="R115" t="s">
        <v>907</v>
      </c>
    </row>
    <row r="116" spans="1:18" x14ac:dyDescent="0.3">
      <c r="A116" s="1">
        <f t="shared" si="37"/>
        <v>12</v>
      </c>
      <c r="B116" s="2" t="s">
        <v>119</v>
      </c>
      <c r="C116" s="3" t="s">
        <v>107</v>
      </c>
      <c r="D116" s="1" t="s">
        <v>40</v>
      </c>
      <c r="E116" s="1" t="s">
        <v>40</v>
      </c>
      <c r="F116" s="1" t="s">
        <v>40</v>
      </c>
      <c r="G116" s="1" t="s">
        <v>40</v>
      </c>
      <c r="H116" s="1" t="s">
        <v>40</v>
      </c>
      <c r="I116" s="1" t="s">
        <v>40</v>
      </c>
      <c r="J116" s="1" t="s">
        <v>40</v>
      </c>
      <c r="K116" s="1"/>
      <c r="L116" s="14">
        <v>211302</v>
      </c>
      <c r="M116" s="15">
        <f t="shared" si="35"/>
        <v>24</v>
      </c>
      <c r="N116" s="15">
        <f t="shared" si="33"/>
        <v>0</v>
      </c>
      <c r="O116" s="14">
        <v>211302</v>
      </c>
      <c r="P116" s="12">
        <f t="shared" si="34"/>
        <v>17608.5</v>
      </c>
      <c r="Q116" s="12">
        <f t="shared" si="39"/>
        <v>17608.5</v>
      </c>
    </row>
    <row r="117" spans="1:18" x14ac:dyDescent="0.3">
      <c r="A117" s="1">
        <f t="shared" si="37"/>
        <v>13</v>
      </c>
      <c r="B117" s="2" t="s">
        <v>120</v>
      </c>
      <c r="C117" s="3" t="s">
        <v>107</v>
      </c>
      <c r="D117" s="1" t="s">
        <v>40</v>
      </c>
      <c r="E117" s="1" t="s">
        <v>40</v>
      </c>
      <c r="F117" s="1"/>
      <c r="G117" s="1"/>
      <c r="H117" s="1" t="s">
        <v>40</v>
      </c>
      <c r="I117" s="1" t="s">
        <v>40</v>
      </c>
      <c r="J117" s="1"/>
      <c r="K117" s="1" t="s">
        <v>40</v>
      </c>
      <c r="L117" s="14">
        <v>411650</v>
      </c>
      <c r="M117" s="15">
        <f t="shared" si="35"/>
        <v>10</v>
      </c>
      <c r="N117" s="15">
        <f t="shared" si="33"/>
        <v>1</v>
      </c>
      <c r="O117" s="14">
        <v>411650</v>
      </c>
      <c r="P117" s="12">
        <f t="shared" si="34"/>
        <v>34304.166666666664</v>
      </c>
      <c r="Q117" s="12">
        <f t="shared" si="39"/>
        <v>34304.166666666664</v>
      </c>
      <c r="R117" t="s">
        <v>907</v>
      </c>
    </row>
    <row r="118" spans="1:18" x14ac:dyDescent="0.3">
      <c r="A118" s="1">
        <f t="shared" si="37"/>
        <v>14</v>
      </c>
      <c r="B118" s="19"/>
      <c r="C118" s="9"/>
      <c r="D118" s="7"/>
      <c r="E118" s="7"/>
      <c r="F118" s="7"/>
      <c r="G118" s="7"/>
      <c r="H118" s="7"/>
      <c r="I118" s="7"/>
      <c r="J118" s="7"/>
      <c r="K118" s="7"/>
      <c r="L118" s="13"/>
      <c r="M118" s="16"/>
      <c r="N118" s="16"/>
      <c r="O118" s="13"/>
      <c r="P118" s="13"/>
      <c r="Q118" s="13"/>
    </row>
    <row r="119" spans="1:18" x14ac:dyDescent="0.3">
      <c r="A119" s="1">
        <f t="shared" si="37"/>
        <v>15</v>
      </c>
      <c r="B119" s="18" t="s">
        <v>121</v>
      </c>
      <c r="C119" s="3" t="s">
        <v>107</v>
      </c>
      <c r="D119" s="1" t="s">
        <v>40</v>
      </c>
      <c r="E119" s="1" t="s">
        <v>40</v>
      </c>
      <c r="F119" s="1" t="s">
        <v>40</v>
      </c>
      <c r="G119" s="1"/>
      <c r="H119" s="1" t="s">
        <v>40</v>
      </c>
      <c r="I119" s="1" t="s">
        <v>40</v>
      </c>
      <c r="J119" s="1" t="s">
        <v>40</v>
      </c>
      <c r="K119" s="1"/>
      <c r="L119" s="14">
        <v>27400</v>
      </c>
      <c r="M119" s="15">
        <f t="shared" si="35"/>
        <v>22</v>
      </c>
      <c r="N119" s="15">
        <f t="shared" ref="N119:N134" si="40">+IF(K119="X",1,0)</f>
        <v>0</v>
      </c>
      <c r="O119" s="14">
        <v>27400</v>
      </c>
      <c r="P119" s="12">
        <f t="shared" ref="P119:P134" si="41">+L119/12</f>
        <v>2283.3333333333335</v>
      </c>
      <c r="Q119" s="12">
        <f t="shared" ref="Q119:Q125" si="42">+O119/12</f>
        <v>2283.3333333333335</v>
      </c>
    </row>
    <row r="120" spans="1:18" x14ac:dyDescent="0.3">
      <c r="A120" s="1">
        <f t="shared" si="37"/>
        <v>16</v>
      </c>
      <c r="B120" s="2" t="s">
        <v>122</v>
      </c>
      <c r="C120" s="3" t="s">
        <v>107</v>
      </c>
      <c r="D120" s="1" t="s">
        <v>40</v>
      </c>
      <c r="E120" s="1" t="s">
        <v>40</v>
      </c>
      <c r="F120" s="1" t="s">
        <v>40</v>
      </c>
      <c r="G120" s="1"/>
      <c r="H120" s="1" t="s">
        <v>40</v>
      </c>
      <c r="I120" s="1"/>
      <c r="J120" s="1"/>
      <c r="K120" s="1"/>
      <c r="L120" s="14">
        <v>99820</v>
      </c>
      <c r="M120" s="15">
        <f t="shared" si="35"/>
        <v>7</v>
      </c>
      <c r="N120" s="15">
        <f t="shared" si="40"/>
        <v>0</v>
      </c>
      <c r="O120" s="14">
        <v>99820</v>
      </c>
      <c r="P120" s="12">
        <f t="shared" si="41"/>
        <v>8318.3333333333339</v>
      </c>
      <c r="Q120" s="12">
        <f t="shared" si="42"/>
        <v>8318.3333333333339</v>
      </c>
    </row>
    <row r="121" spans="1:18" x14ac:dyDescent="0.3">
      <c r="A121" s="1">
        <f t="shared" si="37"/>
        <v>17</v>
      </c>
      <c r="B121" s="2" t="s">
        <v>123</v>
      </c>
      <c r="C121" s="3" t="s">
        <v>107</v>
      </c>
      <c r="D121" s="1" t="s">
        <v>40</v>
      </c>
      <c r="E121" s="1" t="s">
        <v>40</v>
      </c>
      <c r="F121" s="1"/>
      <c r="G121" s="1"/>
      <c r="H121" s="1" t="s">
        <v>40</v>
      </c>
      <c r="I121" s="1"/>
      <c r="J121" s="1"/>
      <c r="K121" s="1" t="s">
        <v>40</v>
      </c>
      <c r="L121" s="14">
        <v>67970</v>
      </c>
      <c r="M121" s="15">
        <f t="shared" si="35"/>
        <v>5</v>
      </c>
      <c r="N121" s="15">
        <f t="shared" si="40"/>
        <v>1</v>
      </c>
      <c r="O121" s="14">
        <v>67970</v>
      </c>
      <c r="P121" s="12">
        <f t="shared" si="41"/>
        <v>5664.166666666667</v>
      </c>
      <c r="Q121" s="12">
        <f t="shared" si="42"/>
        <v>5664.166666666667</v>
      </c>
    </row>
    <row r="122" spans="1:18" x14ac:dyDescent="0.3">
      <c r="A122" s="1">
        <f t="shared" si="37"/>
        <v>18</v>
      </c>
      <c r="B122" s="2" t="s">
        <v>124</v>
      </c>
      <c r="C122" s="3" t="s">
        <v>107</v>
      </c>
      <c r="D122" s="1" t="s">
        <v>40</v>
      </c>
      <c r="E122" s="1" t="s">
        <v>40</v>
      </c>
      <c r="F122" s="1" t="s">
        <v>40</v>
      </c>
      <c r="G122" s="1"/>
      <c r="H122" s="1" t="s">
        <v>40</v>
      </c>
      <c r="I122" s="1"/>
      <c r="J122" s="1"/>
      <c r="K122" s="1"/>
      <c r="L122" s="14">
        <v>46370</v>
      </c>
      <c r="M122" s="15">
        <f t="shared" si="35"/>
        <v>7</v>
      </c>
      <c r="N122" s="15">
        <f t="shared" si="40"/>
        <v>0</v>
      </c>
      <c r="O122" s="14">
        <v>46370</v>
      </c>
      <c r="P122" s="12">
        <f t="shared" si="41"/>
        <v>3864.1666666666665</v>
      </c>
      <c r="Q122" s="12">
        <f t="shared" si="42"/>
        <v>3864.1666666666665</v>
      </c>
    </row>
    <row r="123" spans="1:18" x14ac:dyDescent="0.3">
      <c r="A123" s="1">
        <f t="shared" si="37"/>
        <v>19</v>
      </c>
      <c r="B123" s="2" t="s">
        <v>125</v>
      </c>
      <c r="C123" s="3" t="s">
        <v>107</v>
      </c>
      <c r="D123" s="1" t="s">
        <v>40</v>
      </c>
      <c r="E123" s="1" t="s">
        <v>40</v>
      </c>
      <c r="F123" s="1"/>
      <c r="G123" s="1"/>
      <c r="H123" s="1" t="s">
        <v>40</v>
      </c>
      <c r="I123" s="1" t="s">
        <v>40</v>
      </c>
      <c r="J123" s="1"/>
      <c r="K123" s="1"/>
      <c r="L123" s="14">
        <v>259452</v>
      </c>
      <c r="M123" s="15">
        <f t="shared" si="35"/>
        <v>10</v>
      </c>
      <c r="N123" s="15">
        <f t="shared" si="40"/>
        <v>0</v>
      </c>
      <c r="O123" s="14">
        <v>259452</v>
      </c>
      <c r="P123" s="12">
        <f t="shared" si="41"/>
        <v>21621</v>
      </c>
      <c r="Q123" s="12">
        <f t="shared" si="42"/>
        <v>21621</v>
      </c>
    </row>
    <row r="124" spans="1:18" x14ac:dyDescent="0.3">
      <c r="A124" s="1">
        <f t="shared" si="37"/>
        <v>20</v>
      </c>
      <c r="B124" s="2" t="s">
        <v>126</v>
      </c>
      <c r="C124" s="3" t="s">
        <v>107</v>
      </c>
      <c r="D124" s="1" t="s">
        <v>40</v>
      </c>
      <c r="E124" s="1" t="s">
        <v>40</v>
      </c>
      <c r="F124" s="1"/>
      <c r="G124" s="1"/>
      <c r="H124" s="1" t="s">
        <v>43</v>
      </c>
      <c r="I124" s="1"/>
      <c r="J124" s="1"/>
      <c r="K124" s="1"/>
      <c r="L124" s="14">
        <v>52768</v>
      </c>
      <c r="M124" s="15">
        <f t="shared" si="35"/>
        <v>3.5</v>
      </c>
      <c r="N124" s="15">
        <f t="shared" si="40"/>
        <v>0</v>
      </c>
      <c r="O124" s="14">
        <v>52768</v>
      </c>
      <c r="P124" s="12">
        <f t="shared" si="41"/>
        <v>4397.333333333333</v>
      </c>
      <c r="Q124" s="12">
        <f t="shared" si="42"/>
        <v>4397.333333333333</v>
      </c>
    </row>
    <row r="125" spans="1:18" x14ac:dyDescent="0.3">
      <c r="A125" s="1">
        <f t="shared" si="37"/>
        <v>21</v>
      </c>
      <c r="B125" s="2" t="s">
        <v>127</v>
      </c>
      <c r="C125" s="3" t="s">
        <v>107</v>
      </c>
      <c r="D125" s="1" t="s">
        <v>40</v>
      </c>
      <c r="E125" s="1" t="s">
        <v>40</v>
      </c>
      <c r="F125" s="1" t="s">
        <v>40</v>
      </c>
      <c r="G125" s="1"/>
      <c r="H125" s="1"/>
      <c r="I125" s="1"/>
      <c r="J125" s="1"/>
      <c r="K125" s="1"/>
      <c r="L125" s="14">
        <v>337076.1</v>
      </c>
      <c r="M125" s="15">
        <f t="shared" si="35"/>
        <v>4</v>
      </c>
      <c r="N125" s="15">
        <f t="shared" si="40"/>
        <v>0</v>
      </c>
      <c r="O125" s="14">
        <v>337076.1</v>
      </c>
      <c r="P125" s="12">
        <f t="shared" si="41"/>
        <v>28089.674999999999</v>
      </c>
      <c r="Q125" s="12">
        <f t="shared" si="42"/>
        <v>28089.674999999999</v>
      </c>
    </row>
    <row r="126" spans="1:18" x14ac:dyDescent="0.3">
      <c r="A126" s="1">
        <f t="shared" si="37"/>
        <v>22</v>
      </c>
      <c r="B126" s="2" t="s">
        <v>128</v>
      </c>
      <c r="C126" s="3" t="s">
        <v>107</v>
      </c>
      <c r="D126" s="1" t="s">
        <v>40</v>
      </c>
      <c r="E126" s="1" t="s">
        <v>40</v>
      </c>
      <c r="F126" s="1"/>
      <c r="G126" s="1"/>
      <c r="H126" s="1" t="s">
        <v>40</v>
      </c>
      <c r="I126" s="1"/>
      <c r="J126" s="1"/>
      <c r="K126" s="1"/>
      <c r="L126" s="14">
        <v>0</v>
      </c>
      <c r="M126" s="15">
        <f t="shared" si="35"/>
        <v>5</v>
      </c>
      <c r="N126" s="15">
        <f t="shared" si="40"/>
        <v>0</v>
      </c>
      <c r="O126" s="20"/>
      <c r="P126" s="12">
        <f t="shared" si="41"/>
        <v>0</v>
      </c>
      <c r="Q126" s="20"/>
    </row>
    <row r="127" spans="1:18" x14ac:dyDescent="0.3">
      <c r="A127" s="1">
        <f t="shared" si="37"/>
        <v>23</v>
      </c>
      <c r="B127" s="2" t="s">
        <v>129</v>
      </c>
      <c r="C127" s="3" t="s">
        <v>107</v>
      </c>
      <c r="D127" s="1" t="s">
        <v>40</v>
      </c>
      <c r="E127" s="1" t="s">
        <v>40</v>
      </c>
      <c r="F127" s="1"/>
      <c r="G127" s="1"/>
      <c r="H127" s="1" t="s">
        <v>40</v>
      </c>
      <c r="I127" s="1"/>
      <c r="J127" s="1"/>
      <c r="K127" s="1" t="s">
        <v>40</v>
      </c>
      <c r="L127" s="14">
        <v>85132</v>
      </c>
      <c r="M127" s="15">
        <f t="shared" si="35"/>
        <v>5</v>
      </c>
      <c r="N127" s="15">
        <f t="shared" si="40"/>
        <v>1</v>
      </c>
      <c r="O127" s="14">
        <v>85132</v>
      </c>
      <c r="P127" s="12">
        <f t="shared" si="41"/>
        <v>7094.333333333333</v>
      </c>
      <c r="Q127" s="12">
        <f t="shared" ref="Q127:Q134" si="43">+O127/12</f>
        <v>7094.333333333333</v>
      </c>
    </row>
    <row r="128" spans="1:18" x14ac:dyDescent="0.3">
      <c r="A128" s="1">
        <f t="shared" si="37"/>
        <v>24</v>
      </c>
      <c r="B128" s="2" t="s">
        <v>130</v>
      </c>
      <c r="C128" s="3" t="s">
        <v>107</v>
      </c>
      <c r="D128" s="1" t="s">
        <v>40</v>
      </c>
      <c r="E128" s="1" t="s">
        <v>40</v>
      </c>
      <c r="F128" s="1"/>
      <c r="G128" s="1"/>
      <c r="H128" s="1"/>
      <c r="I128" s="1"/>
      <c r="J128" s="1"/>
      <c r="K128" s="1"/>
      <c r="L128" s="14">
        <v>11520</v>
      </c>
      <c r="M128" s="15">
        <f t="shared" si="35"/>
        <v>2</v>
      </c>
      <c r="N128" s="15">
        <f t="shared" si="40"/>
        <v>0</v>
      </c>
      <c r="O128" s="14">
        <v>11520</v>
      </c>
      <c r="P128" s="12">
        <f t="shared" si="41"/>
        <v>960</v>
      </c>
      <c r="Q128" s="12">
        <f t="shared" si="43"/>
        <v>960</v>
      </c>
    </row>
    <row r="129" spans="1:20" x14ac:dyDescent="0.3">
      <c r="A129" s="1">
        <f t="shared" si="37"/>
        <v>25</v>
      </c>
      <c r="B129" s="2" t="s">
        <v>131</v>
      </c>
      <c r="C129" s="3" t="s">
        <v>107</v>
      </c>
      <c r="D129" s="1" t="s">
        <v>40</v>
      </c>
      <c r="E129" s="1" t="s">
        <v>40</v>
      </c>
      <c r="F129" s="1" t="s">
        <v>40</v>
      </c>
      <c r="G129" s="1"/>
      <c r="H129" s="1"/>
      <c r="I129" s="1"/>
      <c r="J129" s="1"/>
      <c r="K129" s="1"/>
      <c r="L129" s="14">
        <v>34237</v>
      </c>
      <c r="M129" s="15">
        <f t="shared" si="35"/>
        <v>4</v>
      </c>
      <c r="N129" s="15">
        <f t="shared" si="40"/>
        <v>0</v>
      </c>
      <c r="O129" s="14">
        <v>34237</v>
      </c>
      <c r="P129" s="12">
        <f t="shared" si="41"/>
        <v>2853.0833333333335</v>
      </c>
      <c r="Q129" s="12">
        <f t="shared" si="43"/>
        <v>2853.0833333333335</v>
      </c>
    </row>
    <row r="130" spans="1:20" x14ac:dyDescent="0.3">
      <c r="A130" s="1">
        <f t="shared" si="37"/>
        <v>26</v>
      </c>
      <c r="B130" s="2" t="s">
        <v>132</v>
      </c>
      <c r="C130" s="3" t="s">
        <v>107</v>
      </c>
      <c r="D130" s="1" t="s">
        <v>40</v>
      </c>
      <c r="E130" s="1" t="s">
        <v>40</v>
      </c>
      <c r="F130" s="1"/>
      <c r="G130" s="1"/>
      <c r="H130" s="1" t="s">
        <v>40</v>
      </c>
      <c r="I130" s="1" t="s">
        <v>43</v>
      </c>
      <c r="J130" s="1" t="s">
        <v>43</v>
      </c>
      <c r="K130" s="1"/>
      <c r="L130" s="14">
        <v>88775</v>
      </c>
      <c r="M130" s="15">
        <f t="shared" si="35"/>
        <v>12.5</v>
      </c>
      <c r="N130" s="15">
        <f t="shared" si="40"/>
        <v>0</v>
      </c>
      <c r="O130" s="14">
        <v>88775</v>
      </c>
      <c r="P130" s="12">
        <f t="shared" si="41"/>
        <v>7397.916666666667</v>
      </c>
      <c r="Q130" s="12">
        <f t="shared" si="43"/>
        <v>7397.916666666667</v>
      </c>
    </row>
    <row r="131" spans="1:20" x14ac:dyDescent="0.3">
      <c r="A131" s="1">
        <f t="shared" si="37"/>
        <v>27</v>
      </c>
      <c r="B131" s="2" t="s">
        <v>133</v>
      </c>
      <c r="C131" s="3" t="s">
        <v>107</v>
      </c>
      <c r="D131" s="1" t="s">
        <v>40</v>
      </c>
      <c r="E131" s="1" t="s">
        <v>40</v>
      </c>
      <c r="F131" s="1"/>
      <c r="G131" s="1"/>
      <c r="H131" s="1" t="s">
        <v>40</v>
      </c>
      <c r="I131" s="1" t="s">
        <v>43</v>
      </c>
      <c r="J131" s="1" t="s">
        <v>43</v>
      </c>
      <c r="K131" s="1" t="s">
        <v>40</v>
      </c>
      <c r="L131" s="14">
        <v>33320</v>
      </c>
      <c r="M131" s="15">
        <f t="shared" si="35"/>
        <v>12.5</v>
      </c>
      <c r="N131" s="15">
        <f t="shared" si="40"/>
        <v>1</v>
      </c>
      <c r="O131" s="14">
        <v>33320</v>
      </c>
      <c r="P131" s="12">
        <f t="shared" si="41"/>
        <v>2776.6666666666665</v>
      </c>
      <c r="Q131" s="12">
        <f t="shared" si="43"/>
        <v>2776.6666666666665</v>
      </c>
    </row>
    <row r="132" spans="1:20" x14ac:dyDescent="0.3">
      <c r="A132" s="1">
        <f t="shared" si="37"/>
        <v>28</v>
      </c>
      <c r="B132" s="2" t="s">
        <v>134</v>
      </c>
      <c r="C132" s="3" t="s">
        <v>107</v>
      </c>
      <c r="D132" s="1" t="s">
        <v>40</v>
      </c>
      <c r="E132" s="1" t="s">
        <v>40</v>
      </c>
      <c r="F132" s="1"/>
      <c r="G132" s="1" t="s">
        <v>40</v>
      </c>
      <c r="H132" s="1"/>
      <c r="I132" s="1"/>
      <c r="J132" s="1"/>
      <c r="K132" s="1"/>
      <c r="L132" s="14">
        <v>24000</v>
      </c>
      <c r="M132" s="15">
        <f t="shared" si="35"/>
        <v>4</v>
      </c>
      <c r="N132" s="15">
        <f t="shared" si="40"/>
        <v>0</v>
      </c>
      <c r="O132" s="14">
        <v>24000</v>
      </c>
      <c r="P132" s="12">
        <f t="shared" si="41"/>
        <v>2000</v>
      </c>
      <c r="Q132" s="12">
        <f t="shared" si="43"/>
        <v>2000</v>
      </c>
    </row>
    <row r="133" spans="1:20" x14ac:dyDescent="0.3">
      <c r="A133" s="1">
        <f t="shared" si="37"/>
        <v>29</v>
      </c>
      <c r="B133" s="2" t="s">
        <v>135</v>
      </c>
      <c r="C133" s="3" t="s">
        <v>107</v>
      </c>
      <c r="D133" s="1" t="s">
        <v>40</v>
      </c>
      <c r="E133" s="1" t="s">
        <v>40</v>
      </c>
      <c r="F133" s="1"/>
      <c r="G133" s="1" t="s">
        <v>40</v>
      </c>
      <c r="H133" s="1" t="s">
        <v>40</v>
      </c>
      <c r="I133" s="1"/>
      <c r="J133" s="1"/>
      <c r="K133" s="1"/>
      <c r="L133" s="14">
        <v>259571</v>
      </c>
      <c r="M133" s="15">
        <f t="shared" si="35"/>
        <v>7</v>
      </c>
      <c r="N133" s="15">
        <f t="shared" si="40"/>
        <v>0</v>
      </c>
      <c r="O133" s="14">
        <v>259571</v>
      </c>
      <c r="P133" s="12">
        <f t="shared" si="41"/>
        <v>21630.916666666668</v>
      </c>
      <c r="Q133" s="12">
        <f t="shared" si="43"/>
        <v>21630.916666666668</v>
      </c>
    </row>
    <row r="134" spans="1:20" x14ac:dyDescent="0.3">
      <c r="A134" s="1">
        <f t="shared" si="37"/>
        <v>30</v>
      </c>
      <c r="B134" s="2" t="s">
        <v>136</v>
      </c>
      <c r="C134" s="3" t="s">
        <v>107</v>
      </c>
      <c r="D134" s="1" t="s">
        <v>40</v>
      </c>
      <c r="E134" s="1" t="s">
        <v>40</v>
      </c>
      <c r="F134" s="1" t="s">
        <v>40</v>
      </c>
      <c r="G134" s="1"/>
      <c r="H134" s="1" t="s">
        <v>40</v>
      </c>
      <c r="I134" s="1"/>
      <c r="J134" s="1"/>
      <c r="K134" s="1"/>
      <c r="L134" s="14">
        <v>140478.67000000001</v>
      </c>
      <c r="M134" s="15">
        <f t="shared" si="35"/>
        <v>7</v>
      </c>
      <c r="N134" s="15">
        <f t="shared" si="40"/>
        <v>0</v>
      </c>
      <c r="O134" s="14">
        <v>140478.67000000001</v>
      </c>
      <c r="P134" s="12">
        <f t="shared" si="41"/>
        <v>11706.555833333334</v>
      </c>
      <c r="Q134" s="12">
        <f t="shared" si="43"/>
        <v>11706.555833333334</v>
      </c>
    </row>
    <row r="135" spans="1:20" x14ac:dyDescent="0.3">
      <c r="L135" s="14">
        <f>+AVERAGE(L105:L134)</f>
        <v>508788.83793103445</v>
      </c>
      <c r="M135" s="14">
        <f>+AVERAGE(M105:M134)</f>
        <v>8.6724137931034484</v>
      </c>
      <c r="N135" s="14">
        <f>+SUM(N105:N134)</f>
        <v>7</v>
      </c>
      <c r="O135" s="14">
        <f>+AVERAGE(O105:O134)</f>
        <v>196724.41199999998</v>
      </c>
      <c r="P135" s="14">
        <f>+AVERAGE(P105:P134)</f>
        <v>42399.069827586209</v>
      </c>
      <c r="Q135" s="14">
        <f>+AVERAGE(Q105:Q134)</f>
        <v>16393.700999999997</v>
      </c>
      <c r="R135" s="14">
        <f>30-COUNTBLANK(R105:R134)</f>
        <v>4</v>
      </c>
    </row>
    <row r="136" spans="1:20" x14ac:dyDescent="0.3">
      <c r="L136" s="14">
        <f>+STDEV(L105:L134)</f>
        <v>1800480.413462793</v>
      </c>
      <c r="M136" s="14">
        <f>+STDEV(M105:M134)</f>
        <v>5.7651599254068611</v>
      </c>
      <c r="N136" s="17"/>
      <c r="O136" s="14">
        <f>+STDEV(O105:O134)</f>
        <v>150840.81153469914</v>
      </c>
      <c r="P136" s="14">
        <f>+STDEV(P105:P134)</f>
        <v>150040.03445523279</v>
      </c>
      <c r="Q136" s="14">
        <f>+STDEV(Q105:Q134)</f>
        <v>12570.0676278916</v>
      </c>
    </row>
    <row r="137" spans="1:20" x14ac:dyDescent="0.3">
      <c r="I137" s="15"/>
      <c r="J137" s="15"/>
      <c r="K137" s="11" t="s">
        <v>75</v>
      </c>
      <c r="L137" s="14">
        <f>+COUNTIF(L105:L134,0)</f>
        <v>3</v>
      </c>
      <c r="M137" s="14">
        <f>+COUNT(M105:M134)</f>
        <v>29</v>
      </c>
      <c r="P137" s="14">
        <f>+COUNTIF(P105:P134,0)</f>
        <v>3</v>
      </c>
    </row>
    <row r="139" spans="1:20" x14ac:dyDescent="0.3">
      <c r="A139" s="1">
        <v>1</v>
      </c>
      <c r="B139" s="2" t="s">
        <v>137</v>
      </c>
      <c r="C139" s="3" t="s">
        <v>138</v>
      </c>
      <c r="D139" s="1" t="s">
        <v>40</v>
      </c>
      <c r="E139" s="1" t="s">
        <v>40</v>
      </c>
      <c r="F139" s="1"/>
      <c r="G139" s="1"/>
      <c r="H139" s="1"/>
      <c r="I139" s="1"/>
      <c r="J139" s="1"/>
      <c r="K139" s="1"/>
      <c r="L139" s="14">
        <v>27000</v>
      </c>
      <c r="M139" s="15">
        <f>+IF(D139="X",1,0)+IF(E139="X",1,0)+IF(F139="X",2,0)+IF(G139="X",2,0)+IF(H139="X",3,IF(H139="Y",1.5,0))+IF(I139="X",5,IF(I139="Y",2.5,0))+IF(J139="X",10,IF(J139="Y",5,0))</f>
        <v>2</v>
      </c>
      <c r="N139" s="15">
        <f t="shared" ref="N139:N168" si="44">+IF(K139="X",1,0)</f>
        <v>0</v>
      </c>
      <c r="O139" s="14">
        <v>27000</v>
      </c>
      <c r="P139" s="12">
        <f t="shared" ref="P139:P168" si="45">+L139/12</f>
        <v>2250</v>
      </c>
      <c r="Q139" s="12">
        <f t="shared" ref="Q139:Q168" si="46">+O139/12</f>
        <v>2250</v>
      </c>
    </row>
    <row r="140" spans="1:20" x14ac:dyDescent="0.3">
      <c r="A140" s="1">
        <f>+A139+1</f>
        <v>2</v>
      </c>
      <c r="B140" s="2" t="s">
        <v>139</v>
      </c>
      <c r="C140" s="3" t="s">
        <v>138</v>
      </c>
      <c r="D140" s="1" t="s">
        <v>40</v>
      </c>
      <c r="E140" s="1" t="s">
        <v>40</v>
      </c>
      <c r="F140" s="1" t="s">
        <v>40</v>
      </c>
      <c r="G140" s="1"/>
      <c r="H140" s="1" t="s">
        <v>40</v>
      </c>
      <c r="I140" s="1" t="s">
        <v>40</v>
      </c>
      <c r="J140" s="1"/>
      <c r="K140" s="1"/>
      <c r="L140" s="12">
        <v>437413.31</v>
      </c>
      <c r="M140" s="15">
        <f t="shared" ref="M140:M150" si="47">+IF(D140="X",1,0)+IF(E140="X",1,0)+IF(F140="X",2,0)+IF(G140="X",2,0)+IF(H140="X",3,IF(H140="Y",1.5,0))+IF(I140="X",5,IF(I140="Y",2.5,0))+IF(J140="X",10,IF(J140="Y",5,0))</f>
        <v>12</v>
      </c>
      <c r="N140" s="15">
        <f t="shared" si="44"/>
        <v>0</v>
      </c>
      <c r="O140" s="12">
        <v>437413.31</v>
      </c>
      <c r="P140" s="12">
        <f t="shared" si="45"/>
        <v>36451.109166666669</v>
      </c>
      <c r="Q140" s="12">
        <f t="shared" si="46"/>
        <v>36451.109166666669</v>
      </c>
      <c r="R140" t="s">
        <v>140</v>
      </c>
    </row>
    <row r="141" spans="1:20" x14ac:dyDescent="0.3">
      <c r="A141" s="1">
        <f t="shared" ref="A141:A168" si="48">+A140+1</f>
        <v>3</v>
      </c>
      <c r="B141" s="2">
        <v>21487528</v>
      </c>
      <c r="C141" s="3" t="s">
        <v>138</v>
      </c>
      <c r="D141" s="1" t="s">
        <v>40</v>
      </c>
      <c r="E141" s="1" t="s">
        <v>40</v>
      </c>
      <c r="F141" s="1"/>
      <c r="G141" s="1"/>
      <c r="H141" s="1" t="s">
        <v>40</v>
      </c>
      <c r="I141" s="1"/>
      <c r="J141" s="1"/>
      <c r="K141" s="1"/>
      <c r="L141" s="12">
        <v>18000</v>
      </c>
      <c r="M141" s="15">
        <f t="shared" si="47"/>
        <v>5</v>
      </c>
      <c r="N141" s="15">
        <f t="shared" si="44"/>
        <v>0</v>
      </c>
      <c r="O141" s="12">
        <v>18000</v>
      </c>
      <c r="P141" s="12">
        <f t="shared" si="45"/>
        <v>1500</v>
      </c>
      <c r="Q141" s="12">
        <f t="shared" si="46"/>
        <v>1500</v>
      </c>
    </row>
    <row r="142" spans="1:20" x14ac:dyDescent="0.3">
      <c r="A142" s="1">
        <f t="shared" si="48"/>
        <v>4</v>
      </c>
      <c r="B142" s="2" t="s">
        <v>141</v>
      </c>
      <c r="C142" s="3" t="s">
        <v>138</v>
      </c>
      <c r="D142" s="1" t="s">
        <v>40</v>
      </c>
      <c r="E142" s="1" t="s">
        <v>40</v>
      </c>
      <c r="F142" s="1"/>
      <c r="G142" s="1"/>
      <c r="H142" s="1" t="s">
        <v>40</v>
      </c>
      <c r="I142" s="1" t="s">
        <v>40</v>
      </c>
      <c r="J142" s="1" t="s">
        <v>40</v>
      </c>
      <c r="K142" s="1"/>
      <c r="L142" s="12">
        <v>37892</v>
      </c>
      <c r="M142" s="15">
        <f t="shared" si="47"/>
        <v>20</v>
      </c>
      <c r="N142" s="15">
        <f t="shared" si="44"/>
        <v>0</v>
      </c>
      <c r="O142" s="12">
        <v>37892</v>
      </c>
      <c r="P142" s="12">
        <f t="shared" si="45"/>
        <v>3157.6666666666665</v>
      </c>
      <c r="Q142" s="12">
        <f t="shared" si="46"/>
        <v>3157.6666666666665</v>
      </c>
      <c r="S142" t="s">
        <v>140</v>
      </c>
      <c r="T142" t="s">
        <v>142</v>
      </c>
    </row>
    <row r="143" spans="1:20" x14ac:dyDescent="0.3">
      <c r="A143" s="1">
        <f t="shared" si="48"/>
        <v>5</v>
      </c>
      <c r="B143" s="2" t="s">
        <v>143</v>
      </c>
      <c r="C143" s="3" t="s">
        <v>138</v>
      </c>
      <c r="D143" s="1" t="s">
        <v>40</v>
      </c>
      <c r="E143" s="1" t="s">
        <v>40</v>
      </c>
      <c r="F143" s="1"/>
      <c r="G143" s="1"/>
      <c r="H143" s="1" t="s">
        <v>40</v>
      </c>
      <c r="I143" s="1"/>
      <c r="J143" s="1"/>
      <c r="K143" s="1"/>
      <c r="L143" s="12">
        <v>24000</v>
      </c>
      <c r="M143" s="15">
        <f t="shared" si="47"/>
        <v>5</v>
      </c>
      <c r="N143" s="15">
        <f t="shared" si="44"/>
        <v>0</v>
      </c>
      <c r="O143" s="12">
        <v>24000</v>
      </c>
      <c r="P143" s="12">
        <f t="shared" si="45"/>
        <v>2000</v>
      </c>
      <c r="Q143" s="12">
        <f t="shared" si="46"/>
        <v>2000</v>
      </c>
    </row>
    <row r="144" spans="1:20" x14ac:dyDescent="0.3">
      <c r="A144" s="1">
        <f t="shared" si="48"/>
        <v>6</v>
      </c>
      <c r="B144" s="2" t="s">
        <v>144</v>
      </c>
      <c r="C144" s="3" t="s">
        <v>138</v>
      </c>
      <c r="D144" s="1" t="s">
        <v>40</v>
      </c>
      <c r="E144" s="1" t="s">
        <v>40</v>
      </c>
      <c r="F144" s="1"/>
      <c r="G144" s="1"/>
      <c r="H144" s="1" t="s">
        <v>40</v>
      </c>
      <c r="I144" s="1"/>
      <c r="J144" s="1"/>
      <c r="K144" s="1"/>
      <c r="L144" s="12">
        <v>36000</v>
      </c>
      <c r="M144" s="15">
        <f t="shared" si="47"/>
        <v>5</v>
      </c>
      <c r="N144" s="15">
        <f t="shared" si="44"/>
        <v>0</v>
      </c>
      <c r="O144" s="12">
        <v>36000</v>
      </c>
      <c r="P144" s="12">
        <f t="shared" si="45"/>
        <v>3000</v>
      </c>
      <c r="Q144" s="12">
        <f t="shared" si="46"/>
        <v>3000</v>
      </c>
    </row>
    <row r="145" spans="1:21" x14ac:dyDescent="0.3">
      <c r="A145" s="1">
        <f t="shared" si="48"/>
        <v>7</v>
      </c>
      <c r="B145" s="2" t="s">
        <v>145</v>
      </c>
      <c r="C145" s="3" t="s">
        <v>138</v>
      </c>
      <c r="D145" s="1" t="s">
        <v>40</v>
      </c>
      <c r="E145" s="1" t="s">
        <v>40</v>
      </c>
      <c r="F145" s="1"/>
      <c r="G145" s="1"/>
      <c r="H145" s="1" t="s">
        <v>40</v>
      </c>
      <c r="I145" s="1"/>
      <c r="J145" s="1"/>
      <c r="K145" s="1"/>
      <c r="L145" s="12">
        <v>427206.27</v>
      </c>
      <c r="M145" s="15">
        <f t="shared" si="47"/>
        <v>5</v>
      </c>
      <c r="N145" s="15">
        <f t="shared" si="44"/>
        <v>0</v>
      </c>
      <c r="O145" s="12">
        <v>427206.27</v>
      </c>
      <c r="P145" s="12">
        <f t="shared" si="45"/>
        <v>35600.522499999999</v>
      </c>
      <c r="Q145" s="12">
        <f t="shared" si="46"/>
        <v>35600.522499999999</v>
      </c>
      <c r="R145" t="s">
        <v>140</v>
      </c>
    </row>
    <row r="146" spans="1:21" x14ac:dyDescent="0.3">
      <c r="A146" s="1">
        <f t="shared" si="48"/>
        <v>8</v>
      </c>
      <c r="B146" s="2" t="s">
        <v>146</v>
      </c>
      <c r="C146" s="3" t="s">
        <v>138</v>
      </c>
      <c r="D146" s="1" t="s">
        <v>40</v>
      </c>
      <c r="E146" s="1" t="s">
        <v>40</v>
      </c>
      <c r="F146" s="1"/>
      <c r="G146" s="1"/>
      <c r="H146" s="1" t="s">
        <v>40</v>
      </c>
      <c r="I146" s="1"/>
      <c r="J146" s="1"/>
      <c r="K146" s="1"/>
      <c r="L146" s="12">
        <v>949312</v>
      </c>
      <c r="M146" s="15">
        <f t="shared" si="47"/>
        <v>5</v>
      </c>
      <c r="N146" s="15">
        <f t="shared" si="44"/>
        <v>0</v>
      </c>
      <c r="O146" s="20"/>
      <c r="P146" s="12">
        <f t="shared" si="45"/>
        <v>79109.333333333328</v>
      </c>
      <c r="Q146" s="20"/>
      <c r="R146" t="s">
        <v>140</v>
      </c>
    </row>
    <row r="147" spans="1:21" x14ac:dyDescent="0.3">
      <c r="A147" s="1">
        <f t="shared" si="48"/>
        <v>9</v>
      </c>
      <c r="B147" s="2" t="s">
        <v>147</v>
      </c>
      <c r="C147" s="3" t="s">
        <v>138</v>
      </c>
      <c r="D147" s="1" t="s">
        <v>40</v>
      </c>
      <c r="E147" s="1" t="s">
        <v>40</v>
      </c>
      <c r="F147" s="1"/>
      <c r="G147" s="1"/>
      <c r="H147" s="1" t="s">
        <v>40</v>
      </c>
      <c r="I147" s="1" t="s">
        <v>40</v>
      </c>
      <c r="J147" s="1"/>
      <c r="K147" s="1"/>
      <c r="L147" s="12">
        <v>100000</v>
      </c>
      <c r="M147" s="15">
        <f t="shared" si="47"/>
        <v>10</v>
      </c>
      <c r="N147" s="15">
        <f t="shared" si="44"/>
        <v>0</v>
      </c>
      <c r="O147" s="12">
        <v>100000</v>
      </c>
      <c r="P147" s="12">
        <f t="shared" si="45"/>
        <v>8333.3333333333339</v>
      </c>
      <c r="Q147" s="12">
        <f t="shared" si="46"/>
        <v>8333.3333333333339</v>
      </c>
    </row>
    <row r="148" spans="1:21" x14ac:dyDescent="0.3">
      <c r="A148" s="1">
        <f t="shared" si="48"/>
        <v>10</v>
      </c>
      <c r="B148" s="2" t="s">
        <v>148</v>
      </c>
      <c r="C148" s="3" t="s">
        <v>138</v>
      </c>
      <c r="D148" s="1" t="s">
        <v>40</v>
      </c>
      <c r="E148" s="1" t="s">
        <v>40</v>
      </c>
      <c r="F148" s="1" t="s">
        <v>40</v>
      </c>
      <c r="G148" s="1" t="s">
        <v>40</v>
      </c>
      <c r="H148" s="1"/>
      <c r="I148" s="1"/>
      <c r="J148" s="1"/>
      <c r="K148" s="1"/>
      <c r="L148" s="12">
        <v>0</v>
      </c>
      <c r="M148" s="15">
        <f t="shared" si="47"/>
        <v>6</v>
      </c>
      <c r="N148" s="15">
        <f t="shared" si="44"/>
        <v>0</v>
      </c>
      <c r="O148" s="20"/>
      <c r="P148" s="12">
        <f t="shared" si="45"/>
        <v>0</v>
      </c>
      <c r="Q148" s="20"/>
    </row>
    <row r="149" spans="1:21" x14ac:dyDescent="0.3">
      <c r="A149" s="1">
        <f t="shared" si="48"/>
        <v>11</v>
      </c>
      <c r="B149" s="2" t="s">
        <v>149</v>
      </c>
      <c r="C149" s="3" t="s">
        <v>138</v>
      </c>
      <c r="D149" s="1" t="s">
        <v>40</v>
      </c>
      <c r="E149" s="1" t="s">
        <v>40</v>
      </c>
      <c r="F149" s="1"/>
      <c r="G149" s="1"/>
      <c r="H149" s="1" t="s">
        <v>40</v>
      </c>
      <c r="I149" s="1"/>
      <c r="J149" s="1"/>
      <c r="K149" s="1"/>
      <c r="L149" s="12">
        <v>140000</v>
      </c>
      <c r="M149" s="15">
        <f t="shared" si="47"/>
        <v>5</v>
      </c>
      <c r="N149" s="15">
        <f t="shared" si="44"/>
        <v>0</v>
      </c>
      <c r="O149" s="12">
        <v>140000</v>
      </c>
      <c r="P149" s="12">
        <f t="shared" si="45"/>
        <v>11666.666666666666</v>
      </c>
      <c r="Q149" s="12">
        <f t="shared" si="46"/>
        <v>11666.666666666666</v>
      </c>
      <c r="S149" t="s">
        <v>150</v>
      </c>
      <c r="T149" t="s">
        <v>151</v>
      </c>
    </row>
    <row r="150" spans="1:21" x14ac:dyDescent="0.3">
      <c r="A150" s="1">
        <f t="shared" si="48"/>
        <v>12</v>
      </c>
      <c r="B150" s="2" t="s">
        <v>152</v>
      </c>
      <c r="C150" s="3" t="s">
        <v>138</v>
      </c>
      <c r="D150" s="1" t="s">
        <v>40</v>
      </c>
      <c r="E150" s="1" t="s">
        <v>40</v>
      </c>
      <c r="F150" s="1"/>
      <c r="G150" s="1"/>
      <c r="H150" s="1"/>
      <c r="I150" s="1"/>
      <c r="J150" s="1"/>
      <c r="K150" s="1"/>
      <c r="L150" s="14">
        <v>19200</v>
      </c>
      <c r="M150" s="15">
        <f t="shared" si="47"/>
        <v>2</v>
      </c>
      <c r="N150" s="15">
        <f t="shared" si="44"/>
        <v>0</v>
      </c>
      <c r="O150" s="14">
        <v>19200</v>
      </c>
      <c r="P150" s="12">
        <f t="shared" si="45"/>
        <v>1600</v>
      </c>
      <c r="Q150" s="12">
        <f t="shared" si="46"/>
        <v>1600</v>
      </c>
    </row>
    <row r="151" spans="1:21" x14ac:dyDescent="0.3">
      <c r="A151" s="1">
        <f t="shared" si="48"/>
        <v>13</v>
      </c>
      <c r="B151" s="2" t="s">
        <v>153</v>
      </c>
      <c r="C151" s="3" t="s">
        <v>138</v>
      </c>
      <c r="D151" s="1" t="s">
        <v>40</v>
      </c>
      <c r="E151" s="1" t="s">
        <v>40</v>
      </c>
      <c r="F151" s="1"/>
      <c r="G151" s="1"/>
      <c r="H151" s="1" t="s">
        <v>40</v>
      </c>
      <c r="I151" s="1"/>
      <c r="J151" s="1"/>
      <c r="K151" s="1"/>
      <c r="L151" s="14">
        <v>0</v>
      </c>
      <c r="M151" s="15">
        <f t="shared" ref="M151:M153" si="49">+IF(D151="X",1,0)+IF(E151="X",1,0)+IF(F151="X",2,0)+IF(G151="X",2,0)+IF(H151="X",3,IF(H151="Y",1.5,0))+IF(I151="X",5,IF(I151="Y",2.5,0))+IF(J151="X",10,IF(J151="Y",5,0))</f>
        <v>5</v>
      </c>
      <c r="N151" s="15">
        <f t="shared" si="44"/>
        <v>0</v>
      </c>
      <c r="O151" s="20"/>
      <c r="P151" s="12">
        <f t="shared" si="45"/>
        <v>0</v>
      </c>
      <c r="Q151" s="20"/>
    </row>
    <row r="152" spans="1:21" x14ac:dyDescent="0.3">
      <c r="A152" s="1">
        <f t="shared" si="48"/>
        <v>14</v>
      </c>
      <c r="B152" s="2" t="s">
        <v>154</v>
      </c>
      <c r="C152" s="3" t="s">
        <v>138</v>
      </c>
      <c r="D152" s="1" t="s">
        <v>40</v>
      </c>
      <c r="E152" s="1" t="s">
        <v>40</v>
      </c>
      <c r="F152" s="1"/>
      <c r="G152" s="1"/>
      <c r="H152" s="1"/>
      <c r="I152" s="1"/>
      <c r="J152" s="1"/>
      <c r="K152" s="1"/>
      <c r="L152" s="14">
        <v>0</v>
      </c>
      <c r="M152" s="15">
        <f t="shared" si="49"/>
        <v>2</v>
      </c>
      <c r="N152" s="15">
        <f t="shared" si="44"/>
        <v>0</v>
      </c>
      <c r="O152" s="20"/>
      <c r="P152" s="12">
        <f t="shared" si="45"/>
        <v>0</v>
      </c>
      <c r="Q152" s="20"/>
    </row>
    <row r="153" spans="1:21" x14ac:dyDescent="0.3">
      <c r="A153" s="1">
        <f t="shared" si="48"/>
        <v>15</v>
      </c>
      <c r="B153" s="2" t="s">
        <v>155</v>
      </c>
      <c r="C153" s="3" t="s">
        <v>138</v>
      </c>
      <c r="D153" s="1" t="s">
        <v>40</v>
      </c>
      <c r="E153" s="1" t="s">
        <v>40</v>
      </c>
      <c r="F153" s="1"/>
      <c r="G153" s="1"/>
      <c r="H153" s="1" t="s">
        <v>40</v>
      </c>
      <c r="I153" s="1"/>
      <c r="J153" s="1"/>
      <c r="K153" s="1"/>
      <c r="L153" s="14">
        <v>218400</v>
      </c>
      <c r="M153" s="15">
        <f t="shared" si="49"/>
        <v>5</v>
      </c>
      <c r="N153" s="15">
        <f t="shared" si="44"/>
        <v>0</v>
      </c>
      <c r="O153" s="14">
        <v>218400</v>
      </c>
      <c r="P153" s="12">
        <f t="shared" si="45"/>
        <v>18200</v>
      </c>
      <c r="Q153" s="12">
        <f t="shared" si="46"/>
        <v>18200</v>
      </c>
      <c r="R153" t="s">
        <v>140</v>
      </c>
    </row>
    <row r="154" spans="1:21" x14ac:dyDescent="0.3">
      <c r="A154" s="1">
        <f t="shared" si="48"/>
        <v>16</v>
      </c>
      <c r="B154" s="2" t="s">
        <v>156</v>
      </c>
      <c r="C154" s="3" t="s">
        <v>138</v>
      </c>
      <c r="D154" s="1" t="s">
        <v>40</v>
      </c>
      <c r="E154" s="1" t="s">
        <v>40</v>
      </c>
      <c r="F154" s="1"/>
      <c r="G154" s="1"/>
      <c r="H154" s="1"/>
      <c r="I154" s="1"/>
      <c r="J154" s="1"/>
      <c r="K154" s="1"/>
      <c r="L154" s="14">
        <v>0</v>
      </c>
      <c r="M154" s="15">
        <f t="shared" ref="M154:M168" si="50">+IF(D154="X",1,0)+IF(E154="X",1,0)+IF(F154="X",2,0)+IF(G154="X",2,0)+IF(H154="X",3,IF(H154="Y",1.5,0))+IF(I154="X",5,IF(I154="Y",2.5,0))+IF(J154="X",10,IF(J154="Y",5,0))</f>
        <v>2</v>
      </c>
      <c r="N154" s="15">
        <f t="shared" si="44"/>
        <v>0</v>
      </c>
      <c r="O154" s="20"/>
      <c r="P154" s="12">
        <f t="shared" si="45"/>
        <v>0</v>
      </c>
      <c r="Q154" s="20"/>
    </row>
    <row r="155" spans="1:21" x14ac:dyDescent="0.3">
      <c r="A155" s="1">
        <f t="shared" si="48"/>
        <v>17</v>
      </c>
      <c r="B155" s="2" t="s">
        <v>157</v>
      </c>
      <c r="C155" s="3" t="s">
        <v>138</v>
      </c>
      <c r="D155" s="1" t="s">
        <v>40</v>
      </c>
      <c r="E155" s="1" t="s">
        <v>40</v>
      </c>
      <c r="F155" s="1"/>
      <c r="G155" s="1"/>
      <c r="H155" s="1"/>
      <c r="I155" s="1"/>
      <c r="J155" s="1"/>
      <c r="K155" s="1" t="s">
        <v>40</v>
      </c>
      <c r="L155" s="14">
        <v>18000</v>
      </c>
      <c r="M155" s="15">
        <f t="shared" si="50"/>
        <v>2</v>
      </c>
      <c r="N155" s="15">
        <f t="shared" si="44"/>
        <v>1</v>
      </c>
      <c r="O155" s="14">
        <v>18000</v>
      </c>
      <c r="P155" s="12">
        <f t="shared" si="45"/>
        <v>1500</v>
      </c>
      <c r="Q155" s="12">
        <f t="shared" si="46"/>
        <v>1500</v>
      </c>
      <c r="U155" t="s">
        <v>158</v>
      </c>
    </row>
    <row r="156" spans="1:21" x14ac:dyDescent="0.3">
      <c r="A156" s="1">
        <f t="shared" si="48"/>
        <v>18</v>
      </c>
      <c r="B156" s="2" t="s">
        <v>159</v>
      </c>
      <c r="C156" s="3" t="s">
        <v>138</v>
      </c>
      <c r="D156" s="1" t="s">
        <v>40</v>
      </c>
      <c r="E156" s="1" t="s">
        <v>40</v>
      </c>
      <c r="F156" s="1"/>
      <c r="G156" s="1"/>
      <c r="H156" s="1"/>
      <c r="I156" s="1"/>
      <c r="J156" s="1"/>
      <c r="K156" s="1"/>
      <c r="L156" s="14">
        <v>0</v>
      </c>
      <c r="M156" s="15">
        <f t="shared" si="50"/>
        <v>2</v>
      </c>
      <c r="N156" s="15">
        <f t="shared" si="44"/>
        <v>0</v>
      </c>
      <c r="O156" s="20"/>
      <c r="P156" s="12">
        <f t="shared" si="45"/>
        <v>0</v>
      </c>
      <c r="Q156" s="20"/>
    </row>
    <row r="157" spans="1:21" x14ac:dyDescent="0.3">
      <c r="A157" s="1">
        <f t="shared" si="48"/>
        <v>19</v>
      </c>
      <c r="B157" s="2" t="s">
        <v>160</v>
      </c>
      <c r="C157" s="3" t="s">
        <v>138</v>
      </c>
      <c r="D157" s="1" t="s">
        <v>40</v>
      </c>
      <c r="E157" s="1" t="s">
        <v>40</v>
      </c>
      <c r="F157" s="1"/>
      <c r="G157" s="1"/>
      <c r="H157" s="1"/>
      <c r="I157" s="1"/>
      <c r="J157" s="1"/>
      <c r="K157" s="1" t="s">
        <v>40</v>
      </c>
      <c r="L157" s="14">
        <v>238954.94</v>
      </c>
      <c r="M157" s="15">
        <f t="shared" si="50"/>
        <v>2</v>
      </c>
      <c r="N157" s="15">
        <f t="shared" si="44"/>
        <v>1</v>
      </c>
      <c r="O157" s="14">
        <v>238954.94</v>
      </c>
      <c r="P157" s="12">
        <f t="shared" si="45"/>
        <v>19912.911666666667</v>
      </c>
      <c r="Q157" s="12">
        <f t="shared" si="46"/>
        <v>19912.911666666667</v>
      </c>
    </row>
    <row r="158" spans="1:21" x14ac:dyDescent="0.3">
      <c r="A158" s="1">
        <f t="shared" si="48"/>
        <v>20</v>
      </c>
      <c r="B158" s="2" t="s">
        <v>161</v>
      </c>
      <c r="C158" s="3" t="s">
        <v>138</v>
      </c>
      <c r="D158" s="1" t="s">
        <v>40</v>
      </c>
      <c r="E158" s="1" t="s">
        <v>40</v>
      </c>
      <c r="F158" s="1"/>
      <c r="G158" s="1"/>
      <c r="H158" s="1"/>
      <c r="I158" s="1"/>
      <c r="J158" s="1"/>
      <c r="K158" s="1"/>
      <c r="L158" s="14">
        <v>18000</v>
      </c>
      <c r="M158" s="15">
        <f t="shared" si="50"/>
        <v>2</v>
      </c>
      <c r="N158" s="15">
        <f t="shared" si="44"/>
        <v>0</v>
      </c>
      <c r="O158" s="14">
        <v>18000</v>
      </c>
      <c r="P158" s="12">
        <f t="shared" si="45"/>
        <v>1500</v>
      </c>
      <c r="Q158" s="12">
        <f t="shared" si="46"/>
        <v>1500</v>
      </c>
    </row>
    <row r="159" spans="1:21" x14ac:dyDescent="0.3">
      <c r="A159" s="1">
        <f t="shared" si="48"/>
        <v>21</v>
      </c>
      <c r="B159" s="2" t="s">
        <v>162</v>
      </c>
      <c r="C159" s="3" t="s">
        <v>138</v>
      </c>
      <c r="D159" s="1" t="s">
        <v>40</v>
      </c>
      <c r="E159" s="1" t="s">
        <v>40</v>
      </c>
      <c r="F159" s="1"/>
      <c r="G159" s="1"/>
      <c r="H159" s="1" t="s">
        <v>40</v>
      </c>
      <c r="I159" s="1" t="s">
        <v>40</v>
      </c>
      <c r="J159" s="1"/>
      <c r="K159" s="1"/>
      <c r="L159" s="14">
        <v>24000</v>
      </c>
      <c r="M159" s="15">
        <f t="shared" si="50"/>
        <v>10</v>
      </c>
      <c r="N159" s="15">
        <f t="shared" si="44"/>
        <v>0</v>
      </c>
      <c r="O159" s="14">
        <v>24000</v>
      </c>
      <c r="P159" s="12">
        <f t="shared" si="45"/>
        <v>2000</v>
      </c>
      <c r="Q159" s="12">
        <f t="shared" si="46"/>
        <v>2000</v>
      </c>
    </row>
    <row r="160" spans="1:21" x14ac:dyDescent="0.3">
      <c r="A160" s="1">
        <f t="shared" si="48"/>
        <v>22</v>
      </c>
      <c r="B160" s="2" t="s">
        <v>163</v>
      </c>
      <c r="C160" s="3" t="s">
        <v>138</v>
      </c>
      <c r="D160" s="1" t="s">
        <v>40</v>
      </c>
      <c r="E160" s="1" t="s">
        <v>40</v>
      </c>
      <c r="F160" s="1" t="s">
        <v>40</v>
      </c>
      <c r="G160" s="1"/>
      <c r="H160" s="1"/>
      <c r="I160" s="1"/>
      <c r="J160" s="1"/>
      <c r="K160" s="1"/>
      <c r="L160" s="14">
        <v>4000</v>
      </c>
      <c r="M160" s="15">
        <f t="shared" si="50"/>
        <v>4</v>
      </c>
      <c r="N160" s="15">
        <f t="shared" si="44"/>
        <v>0</v>
      </c>
      <c r="O160" s="14">
        <v>4000</v>
      </c>
      <c r="P160" s="12">
        <f t="shared" si="45"/>
        <v>333.33333333333331</v>
      </c>
      <c r="Q160" s="12">
        <f t="shared" si="46"/>
        <v>333.33333333333331</v>
      </c>
    </row>
    <row r="161" spans="1:21" x14ac:dyDescent="0.3">
      <c r="A161" s="1">
        <f t="shared" si="48"/>
        <v>23</v>
      </c>
      <c r="B161" s="2" t="s">
        <v>164</v>
      </c>
      <c r="C161" s="3" t="s">
        <v>138</v>
      </c>
      <c r="D161" s="1" t="s">
        <v>40</v>
      </c>
      <c r="E161" s="1" t="s">
        <v>40</v>
      </c>
      <c r="F161" s="1"/>
      <c r="G161" s="1"/>
      <c r="H161" s="1" t="s">
        <v>40</v>
      </c>
      <c r="I161" s="1"/>
      <c r="J161" s="1"/>
      <c r="K161" s="1"/>
      <c r="L161" s="14">
        <v>60000</v>
      </c>
      <c r="M161" s="15">
        <f t="shared" si="50"/>
        <v>5</v>
      </c>
      <c r="N161" s="15">
        <f t="shared" si="44"/>
        <v>0</v>
      </c>
      <c r="O161" s="14">
        <v>60000</v>
      </c>
      <c r="P161" s="12">
        <f t="shared" si="45"/>
        <v>5000</v>
      </c>
      <c r="Q161" s="12">
        <f t="shared" si="46"/>
        <v>5000</v>
      </c>
      <c r="U161" t="s">
        <v>165</v>
      </c>
    </row>
    <row r="162" spans="1:21" x14ac:dyDescent="0.3">
      <c r="A162" s="1">
        <f t="shared" si="48"/>
        <v>24</v>
      </c>
      <c r="B162" s="2" t="s">
        <v>166</v>
      </c>
      <c r="C162" s="3" t="s">
        <v>138</v>
      </c>
      <c r="D162" s="1" t="s">
        <v>40</v>
      </c>
      <c r="E162" s="1" t="s">
        <v>40</v>
      </c>
      <c r="F162" s="1"/>
      <c r="G162" s="1"/>
      <c r="H162" s="1"/>
      <c r="I162" s="1"/>
      <c r="J162" s="1"/>
      <c r="K162" s="1"/>
      <c r="L162" s="14">
        <v>0</v>
      </c>
      <c r="M162" s="15">
        <f t="shared" si="50"/>
        <v>2</v>
      </c>
      <c r="N162" s="15">
        <f t="shared" si="44"/>
        <v>0</v>
      </c>
      <c r="O162" s="20"/>
      <c r="P162" s="12">
        <f t="shared" si="45"/>
        <v>0</v>
      </c>
      <c r="Q162" s="20"/>
    </row>
    <row r="163" spans="1:21" x14ac:dyDescent="0.3">
      <c r="A163" s="1">
        <f t="shared" si="48"/>
        <v>25</v>
      </c>
      <c r="B163" s="2" t="s">
        <v>167</v>
      </c>
      <c r="C163" s="3" t="s">
        <v>138</v>
      </c>
      <c r="D163" s="1" t="s">
        <v>40</v>
      </c>
      <c r="E163" s="1" t="s">
        <v>40</v>
      </c>
      <c r="F163" s="1" t="s">
        <v>40</v>
      </c>
      <c r="G163" s="1"/>
      <c r="H163" s="1" t="s">
        <v>40</v>
      </c>
      <c r="I163" s="1"/>
      <c r="J163" s="1"/>
      <c r="K163" s="1"/>
      <c r="L163" s="14">
        <v>96000</v>
      </c>
      <c r="M163" s="15">
        <f t="shared" si="50"/>
        <v>7</v>
      </c>
      <c r="N163" s="15">
        <f t="shared" si="44"/>
        <v>0</v>
      </c>
      <c r="O163" s="14">
        <v>96000</v>
      </c>
      <c r="P163" s="12">
        <f t="shared" si="45"/>
        <v>8000</v>
      </c>
      <c r="Q163" s="12">
        <f t="shared" si="46"/>
        <v>8000</v>
      </c>
      <c r="U163" t="s">
        <v>165</v>
      </c>
    </row>
    <row r="164" spans="1:21" x14ac:dyDescent="0.3">
      <c r="A164" s="1">
        <f t="shared" si="48"/>
        <v>26</v>
      </c>
      <c r="B164" s="18" t="s">
        <v>168</v>
      </c>
      <c r="C164" s="3" t="s">
        <v>138</v>
      </c>
      <c r="D164" s="1" t="s">
        <v>40</v>
      </c>
      <c r="E164" s="1" t="s">
        <v>40</v>
      </c>
      <c r="F164" s="1"/>
      <c r="G164" s="1"/>
      <c r="H164" s="1"/>
      <c r="I164" s="1"/>
      <c r="J164" s="1"/>
      <c r="K164" s="1"/>
      <c r="L164" s="14">
        <v>0</v>
      </c>
      <c r="M164" s="15">
        <f t="shared" si="50"/>
        <v>2</v>
      </c>
      <c r="N164" s="15">
        <f t="shared" si="44"/>
        <v>0</v>
      </c>
      <c r="O164" s="20"/>
      <c r="P164" s="12">
        <f t="shared" si="45"/>
        <v>0</v>
      </c>
      <c r="Q164" s="20"/>
    </row>
    <row r="165" spans="1:21" x14ac:dyDescent="0.3">
      <c r="A165" s="1">
        <f t="shared" si="48"/>
        <v>27</v>
      </c>
      <c r="B165" s="2" t="s">
        <v>169</v>
      </c>
      <c r="C165" s="3" t="s">
        <v>138</v>
      </c>
      <c r="D165" s="1" t="s">
        <v>40</v>
      </c>
      <c r="E165" s="1" t="s">
        <v>40</v>
      </c>
      <c r="F165" s="1"/>
      <c r="G165" s="1"/>
      <c r="H165" s="1" t="s">
        <v>40</v>
      </c>
      <c r="I165" s="1"/>
      <c r="J165" s="1"/>
      <c r="K165" s="1"/>
      <c r="L165" s="14">
        <v>33240</v>
      </c>
      <c r="M165" s="15">
        <f t="shared" si="50"/>
        <v>5</v>
      </c>
      <c r="N165" s="15">
        <f t="shared" si="44"/>
        <v>0</v>
      </c>
      <c r="O165" s="14">
        <v>33240</v>
      </c>
      <c r="P165" s="12">
        <f t="shared" si="45"/>
        <v>2770</v>
      </c>
      <c r="Q165" s="12">
        <f t="shared" si="46"/>
        <v>2770</v>
      </c>
    </row>
    <row r="166" spans="1:21" x14ac:dyDescent="0.3">
      <c r="A166" s="1">
        <f t="shared" si="48"/>
        <v>28</v>
      </c>
      <c r="B166" s="18" t="s">
        <v>170</v>
      </c>
      <c r="C166" s="3" t="s">
        <v>138</v>
      </c>
      <c r="D166" s="1" t="s">
        <v>40</v>
      </c>
      <c r="E166" s="1" t="s">
        <v>40</v>
      </c>
      <c r="F166" s="1"/>
      <c r="G166" s="1"/>
      <c r="H166" s="1"/>
      <c r="I166" s="1"/>
      <c r="J166" s="1"/>
      <c r="K166" s="1"/>
      <c r="L166" s="14">
        <v>0</v>
      </c>
      <c r="M166" s="15">
        <f t="shared" si="50"/>
        <v>2</v>
      </c>
      <c r="N166" s="15">
        <f t="shared" si="44"/>
        <v>0</v>
      </c>
      <c r="O166" s="20"/>
      <c r="P166" s="12">
        <f t="shared" si="45"/>
        <v>0</v>
      </c>
      <c r="Q166" s="20"/>
    </row>
    <row r="167" spans="1:21" x14ac:dyDescent="0.3">
      <c r="A167" s="1">
        <f t="shared" si="48"/>
        <v>29</v>
      </c>
      <c r="B167" s="2" t="s">
        <v>171</v>
      </c>
      <c r="C167" s="3" t="s">
        <v>138</v>
      </c>
      <c r="D167" s="1" t="s">
        <v>40</v>
      </c>
      <c r="E167" s="1" t="s">
        <v>40</v>
      </c>
      <c r="F167" s="1"/>
      <c r="G167" s="1"/>
      <c r="H167" s="1" t="s">
        <v>40</v>
      </c>
      <c r="I167" s="1"/>
      <c r="J167" s="1"/>
      <c r="K167" s="1"/>
      <c r="L167" s="14">
        <v>30000</v>
      </c>
      <c r="M167" s="15">
        <f t="shared" si="50"/>
        <v>5</v>
      </c>
      <c r="N167" s="15">
        <f t="shared" si="44"/>
        <v>0</v>
      </c>
      <c r="O167" s="14">
        <v>30000</v>
      </c>
      <c r="P167" s="12">
        <f t="shared" si="45"/>
        <v>2500</v>
      </c>
      <c r="Q167" s="12">
        <f t="shared" si="46"/>
        <v>2500</v>
      </c>
    </row>
    <row r="168" spans="1:21" x14ac:dyDescent="0.3">
      <c r="A168" s="1">
        <f t="shared" si="48"/>
        <v>30</v>
      </c>
      <c r="B168" s="2" t="s">
        <v>172</v>
      </c>
      <c r="C168" s="3" t="s">
        <v>138</v>
      </c>
      <c r="D168" s="1" t="s">
        <v>40</v>
      </c>
      <c r="E168" s="1" t="s">
        <v>40</v>
      </c>
      <c r="F168" s="1" t="s">
        <v>40</v>
      </c>
      <c r="G168" s="1"/>
      <c r="H168" s="1"/>
      <c r="I168" s="1"/>
      <c r="J168" s="1"/>
      <c r="K168" s="1"/>
      <c r="L168" s="14">
        <v>5000</v>
      </c>
      <c r="M168" s="15">
        <f t="shared" si="50"/>
        <v>4</v>
      </c>
      <c r="N168" s="15">
        <f t="shared" si="44"/>
        <v>0</v>
      </c>
      <c r="O168" s="14">
        <v>5000</v>
      </c>
      <c r="P168" s="12">
        <f t="shared" si="45"/>
        <v>416.66666666666669</v>
      </c>
      <c r="Q168" s="12">
        <f t="shared" si="46"/>
        <v>416.66666666666669</v>
      </c>
    </row>
    <row r="169" spans="1:21" x14ac:dyDescent="0.3">
      <c r="L169" s="14">
        <f>+AVERAGE(L139:L168)</f>
        <v>98720.617333333328</v>
      </c>
      <c r="M169" s="14">
        <f>+AVERAGE(M139:M168)</f>
        <v>5</v>
      </c>
      <c r="N169" s="14">
        <f>+SUM(N139:N168)</f>
        <v>2</v>
      </c>
      <c r="O169" s="14">
        <f>+AVERAGE(O139:O168)</f>
        <v>95824.12</v>
      </c>
      <c r="P169" s="14">
        <f>+AVERAGE(P139:P168)</f>
        <v>8226.7181111111113</v>
      </c>
      <c r="Q169" s="14">
        <f>+AVERAGE(Q139:Q168)</f>
        <v>7985.3433333333342</v>
      </c>
      <c r="R169" s="14">
        <f>30-COUNTBLANK(R139:R168)</f>
        <v>4</v>
      </c>
    </row>
    <row r="170" spans="1:21" x14ac:dyDescent="0.3">
      <c r="L170" s="14">
        <f>+STDEV(L139:L168)</f>
        <v>198083.00508926675</v>
      </c>
      <c r="M170" s="14">
        <f>+STDEV(M139:M168)</f>
        <v>3.850660489694794</v>
      </c>
      <c r="N170" s="17"/>
      <c r="O170" s="14">
        <f>+STDEV(O139:O168)</f>
        <v>129657.52273925532</v>
      </c>
      <c r="P170" s="14">
        <f>+STDEV(P139:P168)</f>
        <v>16506.917090772229</v>
      </c>
      <c r="Q170" s="14">
        <f>+STDEV(Q139:Q168)</f>
        <v>10804.793561604609</v>
      </c>
    </row>
    <row r="171" spans="1:21" x14ac:dyDescent="0.3">
      <c r="I171" s="15"/>
      <c r="J171" s="15"/>
      <c r="K171" s="11" t="s">
        <v>75</v>
      </c>
      <c r="L171" s="14">
        <f>+COUNTIF(L139:L168,0)</f>
        <v>8</v>
      </c>
      <c r="M171" s="14">
        <f>+COUNT(M139:M168)</f>
        <v>30</v>
      </c>
      <c r="P171" s="14">
        <f>+COUNTIF(P139:P168,0)</f>
        <v>8</v>
      </c>
    </row>
    <row r="173" spans="1:21" x14ac:dyDescent="0.3">
      <c r="A173" s="1">
        <v>1</v>
      </c>
      <c r="B173" s="2" t="s">
        <v>178</v>
      </c>
      <c r="C173" s="3" t="s">
        <v>177</v>
      </c>
      <c r="D173" s="1" t="s">
        <v>40</v>
      </c>
      <c r="E173" s="1" t="s">
        <v>40</v>
      </c>
      <c r="F173" s="1"/>
      <c r="G173" s="1"/>
      <c r="H173" s="1" t="s">
        <v>40</v>
      </c>
      <c r="I173" s="1" t="s">
        <v>40</v>
      </c>
      <c r="J173" s="1"/>
      <c r="K173" s="1"/>
      <c r="L173" s="14">
        <v>356283</v>
      </c>
      <c r="M173" s="15">
        <f>+IF(D173="X",1,0)+IF(E173="X",1,0)+IF(F173="X",2,0)+IF(G173="X",2,0)+IF(H173="X",3,IF(H173="Y",1.5,0))+IF(I173="X",5,IF(I173="Y",2.5,0))+IF(J173="X",10,IF(J173="Y",5,0))</f>
        <v>10</v>
      </c>
      <c r="N173" s="15">
        <f t="shared" ref="N173:N202" si="51">+IF(K173="X",1,0)</f>
        <v>0</v>
      </c>
      <c r="O173" s="12">
        <v>177000</v>
      </c>
      <c r="P173" s="12">
        <f t="shared" ref="P173" si="52">+L173/12</f>
        <v>29690.25</v>
      </c>
      <c r="Q173" s="12">
        <f t="shared" ref="Q173" si="53">+O173/12</f>
        <v>14750</v>
      </c>
    </row>
    <row r="174" spans="1:21" x14ac:dyDescent="0.3">
      <c r="A174" s="1">
        <f>+A173+1</f>
        <v>2</v>
      </c>
      <c r="B174" s="4" t="s">
        <v>179</v>
      </c>
      <c r="C174" s="3" t="s">
        <v>177</v>
      </c>
      <c r="D174" s="1" t="s">
        <v>40</v>
      </c>
      <c r="E174" s="1" t="s">
        <v>40</v>
      </c>
      <c r="F174" s="1"/>
      <c r="G174" s="1"/>
      <c r="H174" s="1" t="s">
        <v>40</v>
      </c>
      <c r="I174" s="1" t="s">
        <v>40</v>
      </c>
      <c r="J174" s="1"/>
      <c r="K174" s="1"/>
      <c r="L174" s="12">
        <v>177000</v>
      </c>
      <c r="M174" s="15">
        <f t="shared" ref="M174:M202" si="54">+IF(D174="X",1,0)+IF(E174="X",1,0)+IF(F174="X",2,0)+IF(G174="X",2,0)+IF(H174="X",3,IF(H174="Y",1.5,0))+IF(I174="X",5,IF(I174="Y",2.5,0))+IF(J174="X",10,IF(J174="Y",5,0))</f>
        <v>10</v>
      </c>
      <c r="N174" s="15">
        <f t="shared" si="51"/>
        <v>0</v>
      </c>
      <c r="O174" s="12">
        <v>177000</v>
      </c>
      <c r="P174" s="12">
        <f t="shared" ref="P174:P202" si="55">+L174/12</f>
        <v>14750</v>
      </c>
      <c r="Q174" s="12">
        <f t="shared" ref="Q174:Q202" si="56">+O174/12</f>
        <v>14750</v>
      </c>
    </row>
    <row r="175" spans="1:21" x14ac:dyDescent="0.3">
      <c r="A175" s="1">
        <f t="shared" ref="A175:A202" si="57">+A174+1</f>
        <v>3</v>
      </c>
      <c r="B175" s="2" t="s">
        <v>180</v>
      </c>
      <c r="C175" s="3" t="s">
        <v>177</v>
      </c>
      <c r="D175" s="1" t="s">
        <v>40</v>
      </c>
      <c r="E175" s="1" t="s">
        <v>40</v>
      </c>
      <c r="F175" s="1"/>
      <c r="G175" s="1"/>
      <c r="H175" s="1" t="s">
        <v>40</v>
      </c>
      <c r="I175" s="1" t="s">
        <v>40</v>
      </c>
      <c r="J175" s="1"/>
      <c r="K175" s="1"/>
      <c r="L175" s="12">
        <v>123608</v>
      </c>
      <c r="M175" s="15">
        <f t="shared" si="54"/>
        <v>10</v>
      </c>
      <c r="N175" s="15">
        <f t="shared" si="51"/>
        <v>0</v>
      </c>
      <c r="O175" s="12">
        <v>123608</v>
      </c>
      <c r="P175" s="12">
        <f t="shared" si="55"/>
        <v>10300.666666666666</v>
      </c>
      <c r="Q175" s="12">
        <f t="shared" si="56"/>
        <v>10300.666666666666</v>
      </c>
    </row>
    <row r="176" spans="1:21" x14ac:dyDescent="0.3">
      <c r="A176" s="1">
        <f t="shared" si="57"/>
        <v>4</v>
      </c>
      <c r="B176" s="2" t="s">
        <v>181</v>
      </c>
      <c r="C176" s="3" t="s">
        <v>177</v>
      </c>
      <c r="D176" s="1" t="s">
        <v>40</v>
      </c>
      <c r="E176" s="1" t="s">
        <v>40</v>
      </c>
      <c r="F176" s="1"/>
      <c r="G176" s="1"/>
      <c r="H176" s="1" t="s">
        <v>40</v>
      </c>
      <c r="I176" s="1"/>
      <c r="J176" s="1"/>
      <c r="K176" s="1"/>
      <c r="L176" s="12">
        <v>96000</v>
      </c>
      <c r="M176" s="15">
        <f t="shared" si="54"/>
        <v>5</v>
      </c>
      <c r="N176" s="15">
        <f t="shared" si="51"/>
        <v>0</v>
      </c>
      <c r="O176" s="12">
        <v>96000</v>
      </c>
      <c r="P176" s="12">
        <f t="shared" si="55"/>
        <v>8000</v>
      </c>
      <c r="Q176" s="12">
        <f t="shared" si="56"/>
        <v>8000</v>
      </c>
    </row>
    <row r="177" spans="1:17" x14ac:dyDescent="0.3">
      <c r="A177" s="1">
        <f t="shared" si="57"/>
        <v>5</v>
      </c>
      <c r="B177" s="4" t="s">
        <v>182</v>
      </c>
      <c r="C177" s="3" t="s">
        <v>177</v>
      </c>
      <c r="D177" s="1" t="s">
        <v>40</v>
      </c>
      <c r="E177" s="1" t="s">
        <v>40</v>
      </c>
      <c r="F177" s="1"/>
      <c r="G177" s="1"/>
      <c r="H177" s="1" t="s">
        <v>40</v>
      </c>
      <c r="I177" s="1"/>
      <c r="J177" s="1"/>
      <c r="K177" s="1"/>
      <c r="L177" s="12">
        <v>408855</v>
      </c>
      <c r="M177" s="15">
        <f t="shared" si="54"/>
        <v>5</v>
      </c>
      <c r="N177" s="15">
        <f t="shared" si="51"/>
        <v>0</v>
      </c>
      <c r="O177" s="20"/>
      <c r="P177" s="12">
        <f t="shared" si="55"/>
        <v>34071.25</v>
      </c>
      <c r="Q177" s="20"/>
    </row>
    <row r="178" spans="1:17" x14ac:dyDescent="0.3">
      <c r="A178" s="1">
        <f t="shared" si="57"/>
        <v>6</v>
      </c>
      <c r="B178" s="4" t="s">
        <v>203</v>
      </c>
      <c r="C178" s="3" t="s">
        <v>177</v>
      </c>
      <c r="D178" s="1" t="s">
        <v>40</v>
      </c>
      <c r="E178" s="1" t="s">
        <v>40</v>
      </c>
      <c r="F178" s="1"/>
      <c r="G178" s="1"/>
      <c r="H178" s="1" t="s">
        <v>40</v>
      </c>
      <c r="I178" s="1" t="s">
        <v>40</v>
      </c>
      <c r="J178" s="1"/>
      <c r="K178" s="1"/>
      <c r="L178" s="12">
        <v>146880</v>
      </c>
      <c r="M178" s="15">
        <f t="shared" si="54"/>
        <v>10</v>
      </c>
      <c r="N178" s="15">
        <f t="shared" si="51"/>
        <v>0</v>
      </c>
      <c r="O178" s="12">
        <v>146880</v>
      </c>
      <c r="P178" s="12">
        <f t="shared" si="55"/>
        <v>12240</v>
      </c>
      <c r="Q178" s="12">
        <f t="shared" si="56"/>
        <v>12240</v>
      </c>
    </row>
    <row r="179" spans="1:17" x14ac:dyDescent="0.3">
      <c r="A179" s="1">
        <f t="shared" si="57"/>
        <v>7</v>
      </c>
      <c r="B179" s="4" t="s">
        <v>204</v>
      </c>
      <c r="C179" s="3" t="s">
        <v>177</v>
      </c>
      <c r="D179" s="1" t="s">
        <v>40</v>
      </c>
      <c r="E179" s="1" t="s">
        <v>40</v>
      </c>
      <c r="F179" s="1"/>
      <c r="G179" s="1"/>
      <c r="H179" s="1" t="s">
        <v>40</v>
      </c>
      <c r="I179" s="1" t="s">
        <v>40</v>
      </c>
      <c r="J179" s="1" t="s">
        <v>40</v>
      </c>
      <c r="K179" s="1"/>
      <c r="L179" s="12">
        <v>252328.66</v>
      </c>
      <c r="M179" s="15">
        <f t="shared" si="54"/>
        <v>20</v>
      </c>
      <c r="N179" s="15">
        <f t="shared" si="51"/>
        <v>0</v>
      </c>
      <c r="O179" s="12">
        <v>252328.66</v>
      </c>
      <c r="P179" s="12">
        <f t="shared" si="55"/>
        <v>21027.388333333332</v>
      </c>
      <c r="Q179" s="12">
        <f t="shared" si="56"/>
        <v>21027.388333333332</v>
      </c>
    </row>
    <row r="180" spans="1:17" x14ac:dyDescent="0.3">
      <c r="A180" s="1">
        <f t="shared" si="57"/>
        <v>8</v>
      </c>
      <c r="B180" s="2" t="s">
        <v>188</v>
      </c>
      <c r="C180" s="3" t="s">
        <v>177</v>
      </c>
      <c r="D180" s="1" t="s">
        <v>40</v>
      </c>
      <c r="E180" s="1" t="s">
        <v>40</v>
      </c>
      <c r="F180" s="1"/>
      <c r="G180" s="1"/>
      <c r="H180" s="1" t="s">
        <v>40</v>
      </c>
      <c r="I180" s="1"/>
      <c r="J180" s="1"/>
      <c r="K180" s="1"/>
      <c r="L180" s="12">
        <v>72000</v>
      </c>
      <c r="M180" s="15">
        <f t="shared" si="54"/>
        <v>5</v>
      </c>
      <c r="N180" s="15">
        <f t="shared" si="51"/>
        <v>0</v>
      </c>
      <c r="O180" s="12">
        <v>72000</v>
      </c>
      <c r="P180" s="12">
        <f t="shared" si="55"/>
        <v>6000</v>
      </c>
      <c r="Q180" s="12">
        <f t="shared" si="56"/>
        <v>6000</v>
      </c>
    </row>
    <row r="181" spans="1:17" x14ac:dyDescent="0.3">
      <c r="A181" s="1">
        <f t="shared" si="57"/>
        <v>9</v>
      </c>
      <c r="B181" s="2" t="s">
        <v>189</v>
      </c>
      <c r="C181" s="3" t="s">
        <v>177</v>
      </c>
      <c r="D181" s="1" t="s">
        <v>40</v>
      </c>
      <c r="E181" s="1" t="s">
        <v>40</v>
      </c>
      <c r="F181" s="1"/>
      <c r="G181" s="1"/>
      <c r="H181" s="1" t="s">
        <v>40</v>
      </c>
      <c r="I181" s="1"/>
      <c r="J181" s="1"/>
      <c r="K181" s="1" t="s">
        <v>40</v>
      </c>
      <c r="L181" s="12">
        <v>60000</v>
      </c>
      <c r="M181" s="15">
        <f t="shared" si="54"/>
        <v>5</v>
      </c>
      <c r="N181" s="15">
        <f t="shared" si="51"/>
        <v>1</v>
      </c>
      <c r="O181" s="12">
        <v>60000</v>
      </c>
      <c r="P181" s="12">
        <f t="shared" si="55"/>
        <v>5000</v>
      </c>
      <c r="Q181" s="12">
        <f t="shared" si="56"/>
        <v>5000</v>
      </c>
    </row>
    <row r="182" spans="1:17" x14ac:dyDescent="0.3">
      <c r="A182" s="1">
        <f t="shared" si="57"/>
        <v>10</v>
      </c>
      <c r="B182" s="2" t="s">
        <v>190</v>
      </c>
      <c r="C182" s="3" t="s">
        <v>177</v>
      </c>
      <c r="D182" s="1" t="s">
        <v>40</v>
      </c>
      <c r="E182" s="1" t="s">
        <v>40</v>
      </c>
      <c r="F182" s="1" t="s">
        <v>40</v>
      </c>
      <c r="G182" s="1"/>
      <c r="H182" s="1"/>
      <c r="I182" s="1"/>
      <c r="J182" s="1"/>
      <c r="K182" s="1"/>
      <c r="L182" s="12">
        <v>1500</v>
      </c>
      <c r="M182" s="15">
        <f t="shared" si="54"/>
        <v>4</v>
      </c>
      <c r="N182" s="15">
        <f t="shared" si="51"/>
        <v>0</v>
      </c>
      <c r="O182" s="12">
        <v>1500</v>
      </c>
      <c r="P182" s="12">
        <f t="shared" si="55"/>
        <v>125</v>
      </c>
      <c r="Q182" s="12">
        <f t="shared" si="56"/>
        <v>125</v>
      </c>
    </row>
    <row r="183" spans="1:17" x14ac:dyDescent="0.3">
      <c r="A183" s="1">
        <f t="shared" si="57"/>
        <v>11</v>
      </c>
      <c r="B183" s="2">
        <v>10565213</v>
      </c>
      <c r="C183" s="3" t="s">
        <v>177</v>
      </c>
      <c r="D183" s="1" t="s">
        <v>40</v>
      </c>
      <c r="E183" s="1" t="s">
        <v>40</v>
      </c>
      <c r="F183" s="1"/>
      <c r="G183" s="1"/>
      <c r="H183" s="1" t="s">
        <v>40</v>
      </c>
      <c r="I183" s="1" t="s">
        <v>40</v>
      </c>
      <c r="J183" s="1"/>
      <c r="K183" s="1"/>
      <c r="L183" s="12">
        <v>72914.559999999998</v>
      </c>
      <c r="M183" s="15">
        <f t="shared" si="54"/>
        <v>10</v>
      </c>
      <c r="N183" s="15">
        <f t="shared" si="51"/>
        <v>0</v>
      </c>
      <c r="O183" s="12">
        <v>72914.559999999998</v>
      </c>
      <c r="P183" s="12">
        <f t="shared" si="55"/>
        <v>6076.2133333333331</v>
      </c>
      <c r="Q183" s="12">
        <f t="shared" si="56"/>
        <v>6076.2133333333331</v>
      </c>
    </row>
    <row r="184" spans="1:17" x14ac:dyDescent="0.3">
      <c r="A184" s="1">
        <f t="shared" si="57"/>
        <v>12</v>
      </c>
      <c r="B184" s="2" t="s">
        <v>191</v>
      </c>
      <c r="C184" s="3" t="s">
        <v>177</v>
      </c>
      <c r="D184" s="1" t="s">
        <v>40</v>
      </c>
      <c r="E184" s="1" t="s">
        <v>40</v>
      </c>
      <c r="F184" s="1"/>
      <c r="G184" s="1"/>
      <c r="H184" s="1" t="s">
        <v>40</v>
      </c>
      <c r="I184" s="1"/>
      <c r="J184" s="1"/>
      <c r="K184" s="1"/>
      <c r="L184" s="14">
        <v>52740</v>
      </c>
      <c r="M184" s="15">
        <f t="shared" si="54"/>
        <v>5</v>
      </c>
      <c r="N184" s="15">
        <f t="shared" si="51"/>
        <v>0</v>
      </c>
      <c r="O184" s="14">
        <v>52740</v>
      </c>
      <c r="P184" s="12">
        <f t="shared" si="55"/>
        <v>4395</v>
      </c>
      <c r="Q184" s="12">
        <f t="shared" si="56"/>
        <v>4395</v>
      </c>
    </row>
    <row r="185" spans="1:17" x14ac:dyDescent="0.3">
      <c r="A185" s="1">
        <f t="shared" si="57"/>
        <v>13</v>
      </c>
      <c r="B185" s="2" t="s">
        <v>192</v>
      </c>
      <c r="C185" s="3" t="s">
        <v>177</v>
      </c>
      <c r="D185" s="1" t="s">
        <v>40</v>
      </c>
      <c r="E185" s="1" t="s">
        <v>40</v>
      </c>
      <c r="F185" s="1"/>
      <c r="G185" s="1"/>
      <c r="H185" s="1" t="s">
        <v>40</v>
      </c>
      <c r="I185" s="1"/>
      <c r="J185" s="1"/>
      <c r="K185" s="1"/>
      <c r="L185" s="14">
        <v>23487.96</v>
      </c>
      <c r="M185" s="15">
        <f t="shared" si="54"/>
        <v>5</v>
      </c>
      <c r="N185" s="15">
        <f t="shared" si="51"/>
        <v>0</v>
      </c>
      <c r="O185" s="14">
        <v>23487.96</v>
      </c>
      <c r="P185" s="12">
        <f t="shared" si="55"/>
        <v>1957.33</v>
      </c>
      <c r="Q185" s="12">
        <f t="shared" si="56"/>
        <v>1957.33</v>
      </c>
    </row>
    <row r="186" spans="1:17" x14ac:dyDescent="0.3">
      <c r="A186" s="1">
        <f t="shared" si="57"/>
        <v>14</v>
      </c>
      <c r="B186" s="2">
        <v>10585130</v>
      </c>
      <c r="C186" s="3" t="s">
        <v>177</v>
      </c>
      <c r="D186" s="1" t="s">
        <v>40</v>
      </c>
      <c r="E186" s="1" t="s">
        <v>40</v>
      </c>
      <c r="F186" s="1"/>
      <c r="G186" s="1"/>
      <c r="H186" s="1" t="s">
        <v>40</v>
      </c>
      <c r="I186" s="1"/>
      <c r="J186" s="1"/>
      <c r="K186" s="1"/>
      <c r="L186" s="14">
        <v>24000</v>
      </c>
      <c r="M186" s="15">
        <f t="shared" si="54"/>
        <v>5</v>
      </c>
      <c r="N186" s="15">
        <f t="shared" si="51"/>
        <v>0</v>
      </c>
      <c r="O186" s="14">
        <v>24000</v>
      </c>
      <c r="P186" s="12">
        <f t="shared" si="55"/>
        <v>2000</v>
      </c>
      <c r="Q186" s="12">
        <f t="shared" si="56"/>
        <v>2000</v>
      </c>
    </row>
    <row r="187" spans="1:17" x14ac:dyDescent="0.3">
      <c r="A187" s="1">
        <f t="shared" si="57"/>
        <v>15</v>
      </c>
      <c r="B187" s="2" t="s">
        <v>193</v>
      </c>
      <c r="C187" s="3" t="s">
        <v>177</v>
      </c>
      <c r="D187" s="1" t="s">
        <v>40</v>
      </c>
      <c r="E187" s="1" t="s">
        <v>40</v>
      </c>
      <c r="F187" s="1"/>
      <c r="G187" s="1"/>
      <c r="H187" s="1" t="s">
        <v>40</v>
      </c>
      <c r="I187" s="1" t="s">
        <v>40</v>
      </c>
      <c r="J187" s="1"/>
      <c r="K187" s="1"/>
      <c r="L187" s="14">
        <v>137174.01999999999</v>
      </c>
      <c r="M187" s="15">
        <f t="shared" si="54"/>
        <v>10</v>
      </c>
      <c r="N187" s="15">
        <f t="shared" si="51"/>
        <v>0</v>
      </c>
      <c r="O187" s="14">
        <v>137174.01999999999</v>
      </c>
      <c r="P187" s="12">
        <f t="shared" si="55"/>
        <v>11431.168333333333</v>
      </c>
      <c r="Q187" s="12">
        <f t="shared" si="56"/>
        <v>11431.168333333333</v>
      </c>
    </row>
    <row r="188" spans="1:17" x14ac:dyDescent="0.3">
      <c r="A188" s="1">
        <f t="shared" si="57"/>
        <v>16</v>
      </c>
      <c r="B188" s="2" t="s">
        <v>205</v>
      </c>
      <c r="C188" s="3" t="s">
        <v>177</v>
      </c>
      <c r="D188" s="1" t="s">
        <v>40</v>
      </c>
      <c r="E188" s="1" t="s">
        <v>40</v>
      </c>
      <c r="F188" s="1"/>
      <c r="G188" s="1"/>
      <c r="H188" s="1"/>
      <c r="I188" s="1"/>
      <c r="J188" s="1"/>
      <c r="K188" s="1"/>
      <c r="L188" s="14">
        <v>0</v>
      </c>
      <c r="M188" s="15">
        <f t="shared" si="54"/>
        <v>2</v>
      </c>
      <c r="N188" s="15">
        <f t="shared" si="51"/>
        <v>0</v>
      </c>
      <c r="O188" s="20"/>
      <c r="P188" s="12">
        <f t="shared" si="55"/>
        <v>0</v>
      </c>
      <c r="Q188" s="20"/>
    </row>
    <row r="189" spans="1:17" x14ac:dyDescent="0.3">
      <c r="A189" s="1">
        <f t="shared" si="57"/>
        <v>17</v>
      </c>
      <c r="B189" s="2">
        <v>20052276</v>
      </c>
      <c r="C189" s="3" t="s">
        <v>177</v>
      </c>
      <c r="D189" s="1" t="s">
        <v>40</v>
      </c>
      <c r="E189" s="1" t="s">
        <v>40</v>
      </c>
      <c r="F189" s="1"/>
      <c r="G189" s="1"/>
      <c r="H189" s="1" t="s">
        <v>40</v>
      </c>
      <c r="I189" s="1" t="s">
        <v>40</v>
      </c>
      <c r="J189" s="1"/>
      <c r="K189" s="1"/>
      <c r="L189" s="14">
        <v>36000</v>
      </c>
      <c r="M189" s="15">
        <f t="shared" si="54"/>
        <v>10</v>
      </c>
      <c r="N189" s="15">
        <f t="shared" si="51"/>
        <v>0</v>
      </c>
      <c r="O189" s="14">
        <v>36000</v>
      </c>
      <c r="P189" s="12">
        <f t="shared" si="55"/>
        <v>3000</v>
      </c>
      <c r="Q189" s="12">
        <f t="shared" si="56"/>
        <v>3000</v>
      </c>
    </row>
    <row r="190" spans="1:17" x14ac:dyDescent="0.3">
      <c r="A190" s="1">
        <f t="shared" si="57"/>
        <v>18</v>
      </c>
      <c r="B190" s="2" t="s">
        <v>206</v>
      </c>
      <c r="C190" s="3" t="s">
        <v>177</v>
      </c>
      <c r="D190" s="1" t="s">
        <v>40</v>
      </c>
      <c r="E190" s="1" t="s">
        <v>40</v>
      </c>
      <c r="F190" s="1"/>
      <c r="G190" s="1"/>
      <c r="H190" s="1"/>
      <c r="I190" s="1"/>
      <c r="J190" s="1"/>
      <c r="K190" s="1"/>
      <c r="L190" s="14">
        <v>12000</v>
      </c>
      <c r="M190" s="15">
        <f t="shared" si="54"/>
        <v>2</v>
      </c>
      <c r="N190" s="15">
        <f t="shared" si="51"/>
        <v>0</v>
      </c>
      <c r="O190" s="14">
        <v>12000</v>
      </c>
      <c r="P190" s="12">
        <f t="shared" si="55"/>
        <v>1000</v>
      </c>
      <c r="Q190" s="12">
        <f t="shared" si="56"/>
        <v>1000</v>
      </c>
    </row>
    <row r="191" spans="1:17" x14ac:dyDescent="0.3">
      <c r="A191" s="1">
        <f t="shared" si="57"/>
        <v>19</v>
      </c>
      <c r="B191" s="2" t="s">
        <v>194</v>
      </c>
      <c r="C191" s="3" t="s">
        <v>177</v>
      </c>
      <c r="D191" s="1" t="s">
        <v>40</v>
      </c>
      <c r="E191" s="1" t="s">
        <v>40</v>
      </c>
      <c r="F191" s="1"/>
      <c r="G191" s="1"/>
      <c r="H191" s="1" t="s">
        <v>40</v>
      </c>
      <c r="I191" s="1"/>
      <c r="J191" s="1"/>
      <c r="K191" s="1"/>
      <c r="L191" s="14">
        <v>64700</v>
      </c>
      <c r="M191" s="15">
        <f t="shared" si="54"/>
        <v>5</v>
      </c>
      <c r="N191" s="15">
        <f t="shared" si="51"/>
        <v>0</v>
      </c>
      <c r="O191" s="14">
        <v>64700</v>
      </c>
      <c r="P191" s="12">
        <f t="shared" si="55"/>
        <v>5391.666666666667</v>
      </c>
      <c r="Q191" s="12">
        <f t="shared" si="56"/>
        <v>5391.666666666667</v>
      </c>
    </row>
    <row r="192" spans="1:17" x14ac:dyDescent="0.3">
      <c r="A192" s="1">
        <f t="shared" si="57"/>
        <v>20</v>
      </c>
      <c r="B192" s="2" t="s">
        <v>195</v>
      </c>
      <c r="C192" s="3" t="s">
        <v>177</v>
      </c>
      <c r="D192" s="1" t="s">
        <v>40</v>
      </c>
      <c r="E192" s="1" t="s">
        <v>40</v>
      </c>
      <c r="F192" s="1"/>
      <c r="G192" s="1"/>
      <c r="H192" s="1" t="s">
        <v>40</v>
      </c>
      <c r="I192" s="1"/>
      <c r="J192" s="1"/>
      <c r="K192" s="1"/>
      <c r="L192" s="14">
        <v>6300</v>
      </c>
      <c r="M192" s="15">
        <f t="shared" si="54"/>
        <v>5</v>
      </c>
      <c r="N192" s="15">
        <f t="shared" si="51"/>
        <v>0</v>
      </c>
      <c r="O192" s="14">
        <v>6300</v>
      </c>
      <c r="P192" s="12">
        <f t="shared" si="55"/>
        <v>525</v>
      </c>
      <c r="Q192" s="12">
        <f t="shared" si="56"/>
        <v>525</v>
      </c>
    </row>
    <row r="193" spans="1:18" x14ac:dyDescent="0.3">
      <c r="A193" s="1">
        <f t="shared" si="57"/>
        <v>21</v>
      </c>
      <c r="B193" s="2" t="s">
        <v>196</v>
      </c>
      <c r="C193" s="3" t="s">
        <v>177</v>
      </c>
      <c r="D193" s="1" t="s">
        <v>40</v>
      </c>
      <c r="E193" s="1" t="s">
        <v>40</v>
      </c>
      <c r="F193" s="1" t="s">
        <v>40</v>
      </c>
      <c r="G193" s="1"/>
      <c r="H193" s="1" t="s">
        <v>40</v>
      </c>
      <c r="I193" s="1"/>
      <c r="J193" s="1"/>
      <c r="K193" s="1"/>
      <c r="L193" s="14">
        <v>36000</v>
      </c>
      <c r="M193" s="15">
        <f t="shared" si="54"/>
        <v>7</v>
      </c>
      <c r="N193" s="15">
        <f t="shared" si="51"/>
        <v>0</v>
      </c>
      <c r="O193" s="14">
        <v>36000</v>
      </c>
      <c r="P193" s="12">
        <f t="shared" si="55"/>
        <v>3000</v>
      </c>
      <c r="Q193" s="12">
        <f t="shared" si="56"/>
        <v>3000</v>
      </c>
    </row>
    <row r="194" spans="1:18" x14ac:dyDescent="0.3">
      <c r="A194" s="1">
        <f t="shared" si="57"/>
        <v>22</v>
      </c>
      <c r="B194" s="2">
        <v>43331132</v>
      </c>
      <c r="C194" s="3" t="s">
        <v>177</v>
      </c>
      <c r="D194" s="1" t="s">
        <v>40</v>
      </c>
      <c r="E194" s="1" t="s">
        <v>40</v>
      </c>
      <c r="F194" s="1"/>
      <c r="G194" s="1"/>
      <c r="H194" s="1"/>
      <c r="I194" s="1"/>
      <c r="J194" s="1"/>
      <c r="K194" s="1"/>
      <c r="L194" s="14">
        <v>18000</v>
      </c>
      <c r="M194" s="15">
        <f t="shared" si="54"/>
        <v>2</v>
      </c>
      <c r="N194" s="15">
        <f t="shared" si="51"/>
        <v>0</v>
      </c>
      <c r="O194" s="14">
        <v>18000</v>
      </c>
      <c r="P194" s="12">
        <f t="shared" si="55"/>
        <v>1500</v>
      </c>
      <c r="Q194" s="12">
        <f t="shared" si="56"/>
        <v>1500</v>
      </c>
    </row>
    <row r="195" spans="1:18" x14ac:dyDescent="0.3">
      <c r="A195" s="1">
        <f t="shared" si="57"/>
        <v>23</v>
      </c>
      <c r="B195" s="2" t="s">
        <v>197</v>
      </c>
      <c r="C195" s="3" t="s">
        <v>177</v>
      </c>
      <c r="D195" s="1" t="s">
        <v>40</v>
      </c>
      <c r="E195" s="1" t="s">
        <v>40</v>
      </c>
      <c r="F195" s="1"/>
      <c r="G195" s="1"/>
      <c r="H195" s="1" t="s">
        <v>40</v>
      </c>
      <c r="I195" s="1"/>
      <c r="J195" s="1"/>
      <c r="K195" s="1"/>
      <c r="L195" s="14">
        <v>13937</v>
      </c>
      <c r="M195" s="15">
        <f t="shared" si="54"/>
        <v>5</v>
      </c>
      <c r="N195" s="15">
        <f t="shared" si="51"/>
        <v>0</v>
      </c>
      <c r="O195" s="14">
        <v>13937</v>
      </c>
      <c r="P195" s="12">
        <f t="shared" si="55"/>
        <v>1161.4166666666667</v>
      </c>
      <c r="Q195" s="12">
        <f t="shared" si="56"/>
        <v>1161.4166666666667</v>
      </c>
    </row>
    <row r="196" spans="1:18" x14ac:dyDescent="0.3">
      <c r="A196" s="1">
        <f t="shared" si="57"/>
        <v>24</v>
      </c>
      <c r="B196" s="2" t="s">
        <v>198</v>
      </c>
      <c r="C196" s="3" t="s">
        <v>177</v>
      </c>
      <c r="D196" s="1" t="s">
        <v>40</v>
      </c>
      <c r="E196" s="1" t="s">
        <v>40</v>
      </c>
      <c r="F196" s="1"/>
      <c r="G196" s="1"/>
      <c r="H196" s="1"/>
      <c r="I196" s="1"/>
      <c r="J196" s="1"/>
      <c r="K196" s="1"/>
      <c r="L196" s="14">
        <v>24000</v>
      </c>
      <c r="M196" s="15">
        <f t="shared" si="54"/>
        <v>2</v>
      </c>
      <c r="N196" s="15">
        <f t="shared" si="51"/>
        <v>0</v>
      </c>
      <c r="O196" s="14">
        <v>24000</v>
      </c>
      <c r="P196" s="12">
        <f t="shared" si="55"/>
        <v>2000</v>
      </c>
      <c r="Q196" s="12">
        <f t="shared" si="56"/>
        <v>2000</v>
      </c>
    </row>
    <row r="197" spans="1:18" x14ac:dyDescent="0.3">
      <c r="A197" s="1">
        <f t="shared" si="57"/>
        <v>25</v>
      </c>
      <c r="B197" s="2">
        <v>15995608</v>
      </c>
      <c r="C197" s="3" t="s">
        <v>177</v>
      </c>
      <c r="D197" s="1" t="s">
        <v>40</v>
      </c>
      <c r="E197" s="1" t="s">
        <v>40</v>
      </c>
      <c r="F197" s="1"/>
      <c r="G197" s="1"/>
      <c r="H197" s="1" t="s">
        <v>40</v>
      </c>
      <c r="I197" s="1"/>
      <c r="J197" s="1"/>
      <c r="K197" s="1"/>
      <c r="L197" s="14">
        <v>4500</v>
      </c>
      <c r="M197" s="15">
        <f t="shared" si="54"/>
        <v>5</v>
      </c>
      <c r="N197" s="15">
        <f t="shared" si="51"/>
        <v>0</v>
      </c>
      <c r="O197" s="14">
        <v>4500</v>
      </c>
      <c r="P197" s="12">
        <f t="shared" si="55"/>
        <v>375</v>
      </c>
      <c r="Q197" s="12">
        <f t="shared" si="56"/>
        <v>375</v>
      </c>
    </row>
    <row r="198" spans="1:18" x14ac:dyDescent="0.3">
      <c r="A198" s="1">
        <f t="shared" si="57"/>
        <v>26</v>
      </c>
      <c r="B198" s="2" t="s">
        <v>207</v>
      </c>
      <c r="C198" s="3" t="s">
        <v>177</v>
      </c>
      <c r="D198" s="1" t="s">
        <v>40</v>
      </c>
      <c r="E198" s="1" t="s">
        <v>40</v>
      </c>
      <c r="F198" s="1"/>
      <c r="G198" s="1"/>
      <c r="H198" s="1"/>
      <c r="I198" s="1"/>
      <c r="J198" s="1"/>
      <c r="K198" s="1"/>
      <c r="L198" s="14">
        <v>15000</v>
      </c>
      <c r="M198" s="15">
        <f t="shared" si="54"/>
        <v>2</v>
      </c>
      <c r="N198" s="15">
        <f t="shared" si="51"/>
        <v>0</v>
      </c>
      <c r="O198" s="14">
        <v>15000</v>
      </c>
      <c r="P198" s="12">
        <f t="shared" si="55"/>
        <v>1250</v>
      </c>
      <c r="Q198" s="12">
        <f t="shared" si="56"/>
        <v>1250</v>
      </c>
    </row>
    <row r="199" spans="1:18" x14ac:dyDescent="0.3">
      <c r="A199" s="1">
        <f t="shared" si="57"/>
        <v>27</v>
      </c>
      <c r="B199" s="2" t="s">
        <v>199</v>
      </c>
      <c r="C199" s="3" t="s">
        <v>177</v>
      </c>
      <c r="D199" s="1" t="s">
        <v>40</v>
      </c>
      <c r="E199" s="1" t="s">
        <v>40</v>
      </c>
      <c r="F199" s="1"/>
      <c r="G199" s="1"/>
      <c r="H199" s="1" t="s">
        <v>40</v>
      </c>
      <c r="I199" s="1"/>
      <c r="J199" s="1"/>
      <c r="K199" s="1"/>
      <c r="L199" s="14">
        <v>0</v>
      </c>
      <c r="M199" s="15">
        <f t="shared" si="54"/>
        <v>5</v>
      </c>
      <c r="N199" s="15">
        <f t="shared" si="51"/>
        <v>0</v>
      </c>
      <c r="O199" s="20"/>
      <c r="P199" s="12">
        <f t="shared" si="55"/>
        <v>0</v>
      </c>
      <c r="Q199" s="20"/>
    </row>
    <row r="200" spans="1:18" x14ac:dyDescent="0.3">
      <c r="A200" s="1">
        <f t="shared" si="57"/>
        <v>28</v>
      </c>
      <c r="B200" s="2" t="s">
        <v>200</v>
      </c>
      <c r="C200" s="3" t="s">
        <v>177</v>
      </c>
      <c r="D200" s="1" t="s">
        <v>40</v>
      </c>
      <c r="E200" s="1" t="s">
        <v>40</v>
      </c>
      <c r="F200" s="1"/>
      <c r="G200" s="1"/>
      <c r="H200" s="1" t="s">
        <v>40</v>
      </c>
      <c r="I200" s="1"/>
      <c r="J200" s="1"/>
      <c r="K200" s="1"/>
      <c r="L200" s="14">
        <v>13325</v>
      </c>
      <c r="M200" s="15">
        <f t="shared" si="54"/>
        <v>5</v>
      </c>
      <c r="N200" s="15">
        <f t="shared" si="51"/>
        <v>0</v>
      </c>
      <c r="O200" s="14">
        <v>13325</v>
      </c>
      <c r="P200" s="12">
        <f t="shared" si="55"/>
        <v>1110.4166666666667</v>
      </c>
      <c r="Q200" s="12">
        <f t="shared" si="56"/>
        <v>1110.4166666666667</v>
      </c>
    </row>
    <row r="201" spans="1:18" x14ac:dyDescent="0.3">
      <c r="A201" s="1">
        <f t="shared" si="57"/>
        <v>29</v>
      </c>
      <c r="B201" s="2" t="s">
        <v>201</v>
      </c>
      <c r="C201" s="3" t="s">
        <v>177</v>
      </c>
      <c r="D201" s="1" t="s">
        <v>40</v>
      </c>
      <c r="E201" s="1" t="s">
        <v>40</v>
      </c>
      <c r="F201" s="1"/>
      <c r="G201" s="1"/>
      <c r="H201" s="1"/>
      <c r="I201" s="1"/>
      <c r="J201" s="1"/>
      <c r="K201" s="1"/>
      <c r="L201" s="14">
        <v>14400</v>
      </c>
      <c r="M201" s="15">
        <f t="shared" si="54"/>
        <v>2</v>
      </c>
      <c r="N201" s="15">
        <f t="shared" si="51"/>
        <v>0</v>
      </c>
      <c r="O201" s="14">
        <v>14400</v>
      </c>
      <c r="P201" s="12">
        <f t="shared" si="55"/>
        <v>1200</v>
      </c>
      <c r="Q201" s="12">
        <f t="shared" si="56"/>
        <v>1200</v>
      </c>
    </row>
    <row r="202" spans="1:18" x14ac:dyDescent="0.3">
      <c r="A202" s="1">
        <f t="shared" si="57"/>
        <v>30</v>
      </c>
      <c r="B202" s="2" t="s">
        <v>202</v>
      </c>
      <c r="C202" s="3" t="s">
        <v>177</v>
      </c>
      <c r="D202" s="1" t="s">
        <v>40</v>
      </c>
      <c r="E202" s="1" t="s">
        <v>40</v>
      </c>
      <c r="F202" s="1" t="s">
        <v>40</v>
      </c>
      <c r="G202" s="1"/>
      <c r="H202" s="1" t="s">
        <v>40</v>
      </c>
      <c r="I202" s="1"/>
      <c r="J202" s="1"/>
      <c r="K202" s="1"/>
      <c r="L202" s="14">
        <v>31440</v>
      </c>
      <c r="M202" s="15">
        <f t="shared" si="54"/>
        <v>7</v>
      </c>
      <c r="N202" s="15">
        <f t="shared" si="51"/>
        <v>0</v>
      </c>
      <c r="O202" s="14">
        <v>31440</v>
      </c>
      <c r="P202" s="12">
        <f t="shared" si="55"/>
        <v>2620</v>
      </c>
      <c r="Q202" s="12">
        <f t="shared" si="56"/>
        <v>2620</v>
      </c>
    </row>
    <row r="203" spans="1:18" x14ac:dyDescent="0.3">
      <c r="L203" s="14">
        <f>+AVERAGE(L173:L202)</f>
        <v>76479.106666666674</v>
      </c>
      <c r="M203" s="14">
        <f>+AVERAGE(M173:M202)</f>
        <v>6.166666666666667</v>
      </c>
      <c r="N203" s="14">
        <f>+SUM(N173:N202)</f>
        <v>1</v>
      </c>
      <c r="O203" s="14">
        <f>+AVERAGE(O173:O202)</f>
        <v>63193.896296296305</v>
      </c>
      <c r="P203" s="14">
        <f>+AVERAGE(P173:P202)</f>
        <v>6373.2588888888868</v>
      </c>
      <c r="Q203" s="14">
        <f>+AVERAGE(Q173:Q202)</f>
        <v>5266.1580246913582</v>
      </c>
      <c r="R203" s="14">
        <f>30-COUNTBLANK(R173:R202)</f>
        <v>0</v>
      </c>
    </row>
    <row r="204" spans="1:18" x14ac:dyDescent="0.3">
      <c r="L204" s="14">
        <f>+STDEV(L173:L202)</f>
        <v>102755.00575462708</v>
      </c>
      <c r="M204" s="14">
        <f>+STDEV(M173:M202)</f>
        <v>3.81542543687697</v>
      </c>
      <c r="N204" s="17"/>
      <c r="O204" s="14">
        <f>+STDEV(O173:O202)</f>
        <v>65361.750846706622</v>
      </c>
      <c r="P204" s="14">
        <f>+STDEV(P173:P202)</f>
        <v>8562.9171462189261</v>
      </c>
      <c r="Q204" s="14">
        <f>+STDEV(Q173:Q202)</f>
        <v>5446.8125705588864</v>
      </c>
    </row>
    <row r="205" spans="1:18" x14ac:dyDescent="0.3">
      <c r="I205" s="15"/>
      <c r="J205" s="15"/>
      <c r="K205" s="11" t="s">
        <v>75</v>
      </c>
      <c r="L205" s="14">
        <f>+COUNTIF(L173:L202,0)</f>
        <v>2</v>
      </c>
      <c r="M205" s="14">
        <f>+COUNT(M173:M202)</f>
        <v>30</v>
      </c>
      <c r="P205" s="14">
        <f>+COUNTIF(P173:P202,0)</f>
        <v>2</v>
      </c>
    </row>
    <row r="207" spans="1:18" x14ac:dyDescent="0.3">
      <c r="A207" s="1">
        <v>1</v>
      </c>
      <c r="B207" s="1">
        <v>10063223</v>
      </c>
      <c r="C207" s="3" t="s">
        <v>210</v>
      </c>
      <c r="D207" s="1" t="s">
        <v>40</v>
      </c>
      <c r="E207" s="1" t="s">
        <v>40</v>
      </c>
      <c r="F207" s="1"/>
      <c r="G207" s="1"/>
      <c r="H207" s="1" t="s">
        <v>40</v>
      </c>
      <c r="I207" s="1"/>
      <c r="J207" s="1"/>
      <c r="K207" s="1"/>
      <c r="L207" s="14">
        <v>18000</v>
      </c>
      <c r="M207" s="15">
        <f>+IF(D207="X",1,0)+IF(E207="X",1,0)+IF(F207="X",2,0)+IF(G207="X",2,0)+IF(H207="X",3,IF(H207="Y",1.5,0))+IF(I207="X",5,IF(I207="Y",2.5,0))+IF(J207="X",10,IF(J207="Y",5,0))</f>
        <v>5</v>
      </c>
      <c r="N207" s="15">
        <f t="shared" ref="N207:N236" si="58">+IF(K207="X",1,0)</f>
        <v>0</v>
      </c>
      <c r="O207" s="12">
        <v>22300</v>
      </c>
      <c r="P207" s="12">
        <f t="shared" ref="P207" si="59">+L207/12</f>
        <v>1500</v>
      </c>
      <c r="Q207" s="12">
        <f t="shared" ref="Q207" si="60">+O207/12</f>
        <v>1858.3333333333333</v>
      </c>
    </row>
    <row r="208" spans="1:18" x14ac:dyDescent="0.3">
      <c r="A208" s="1">
        <f>+A207+1</f>
        <v>2</v>
      </c>
      <c r="B208" s="18" t="s">
        <v>215</v>
      </c>
      <c r="C208" s="3" t="s">
        <v>210</v>
      </c>
      <c r="D208" s="1" t="s">
        <v>40</v>
      </c>
      <c r="E208" s="1" t="s">
        <v>40</v>
      </c>
      <c r="F208" s="1" t="s">
        <v>40</v>
      </c>
      <c r="G208" s="1"/>
      <c r="H208" s="1"/>
      <c r="I208" s="1"/>
      <c r="J208" s="1"/>
      <c r="K208" s="1"/>
      <c r="L208" s="12">
        <v>8050</v>
      </c>
      <c r="M208" s="15">
        <f t="shared" ref="M208:M236" si="61">+IF(D208="X",1,0)+IF(E208="X",1,0)+IF(F208="X",2,0)+IF(G208="X",2,0)+IF(H208="X",3,IF(H208="Y",1.5,0))+IF(I208="X",5,IF(I208="Y",2.5,0))+IF(J208="X",10,IF(J208="Y",5,0))</f>
        <v>4</v>
      </c>
      <c r="N208" s="15">
        <f t="shared" si="58"/>
        <v>0</v>
      </c>
      <c r="O208" s="12">
        <v>8050</v>
      </c>
      <c r="P208" s="12">
        <f t="shared" ref="P208:P236" si="62">+L208/12</f>
        <v>670.83333333333337</v>
      </c>
      <c r="Q208" s="12">
        <f t="shared" ref="Q208:Q235" si="63">+O208/12</f>
        <v>670.83333333333337</v>
      </c>
    </row>
    <row r="209" spans="1:17" x14ac:dyDescent="0.3">
      <c r="A209" s="1">
        <f t="shared" ref="A209:A236" si="64">+A208+1</f>
        <v>3</v>
      </c>
      <c r="B209" s="4" t="s">
        <v>212</v>
      </c>
      <c r="C209" s="3" t="s">
        <v>210</v>
      </c>
      <c r="D209" s="1" t="s">
        <v>40</v>
      </c>
      <c r="E209" s="1" t="s">
        <v>40</v>
      </c>
      <c r="F209" s="1"/>
      <c r="G209" s="1"/>
      <c r="H209" s="1"/>
      <c r="I209" s="1"/>
      <c r="J209" s="1"/>
      <c r="K209" s="1" t="s">
        <v>40</v>
      </c>
      <c r="L209" s="12">
        <v>0</v>
      </c>
      <c r="M209" s="15">
        <f t="shared" si="61"/>
        <v>2</v>
      </c>
      <c r="N209" s="15">
        <f t="shared" si="58"/>
        <v>1</v>
      </c>
      <c r="O209" s="20"/>
      <c r="P209" s="12">
        <f t="shared" si="62"/>
        <v>0</v>
      </c>
      <c r="Q209" s="20"/>
    </row>
    <row r="210" spans="1:17" x14ac:dyDescent="0.3">
      <c r="A210" s="1">
        <f t="shared" si="64"/>
        <v>4</v>
      </c>
      <c r="B210" s="2" t="s">
        <v>213</v>
      </c>
      <c r="C210" s="3" t="s">
        <v>210</v>
      </c>
      <c r="D210" s="1" t="s">
        <v>40</v>
      </c>
      <c r="E210" s="1" t="s">
        <v>40</v>
      </c>
      <c r="F210" s="1" t="s">
        <v>40</v>
      </c>
      <c r="G210" s="1"/>
      <c r="H210" s="1"/>
      <c r="I210" s="1"/>
      <c r="J210" s="1"/>
      <c r="K210" s="1"/>
      <c r="L210" s="12">
        <v>22300</v>
      </c>
      <c r="M210" s="15">
        <f t="shared" si="61"/>
        <v>4</v>
      </c>
      <c r="N210" s="15">
        <f t="shared" si="58"/>
        <v>0</v>
      </c>
      <c r="O210" s="12">
        <v>22300</v>
      </c>
      <c r="P210" s="12">
        <f t="shared" si="62"/>
        <v>1858.3333333333333</v>
      </c>
      <c r="Q210" s="12">
        <f t="shared" si="63"/>
        <v>1858.3333333333333</v>
      </c>
    </row>
    <row r="211" spans="1:17" x14ac:dyDescent="0.3">
      <c r="A211" s="1">
        <f t="shared" si="64"/>
        <v>5</v>
      </c>
      <c r="B211" s="4" t="s">
        <v>214</v>
      </c>
      <c r="C211" s="3" t="s">
        <v>210</v>
      </c>
      <c r="D211" s="1" t="s">
        <v>40</v>
      </c>
      <c r="E211" s="1" t="s">
        <v>40</v>
      </c>
      <c r="F211" s="1"/>
      <c r="G211" s="1"/>
      <c r="H211" s="1" t="s">
        <v>40</v>
      </c>
      <c r="I211" s="1" t="s">
        <v>40</v>
      </c>
      <c r="J211" s="1"/>
      <c r="K211" s="1"/>
      <c r="L211" s="12">
        <v>247104.29</v>
      </c>
      <c r="M211" s="15">
        <f t="shared" si="61"/>
        <v>10</v>
      </c>
      <c r="N211" s="15">
        <f t="shared" si="58"/>
        <v>0</v>
      </c>
      <c r="O211" s="20"/>
      <c r="P211" s="12">
        <f t="shared" si="62"/>
        <v>20592.024166666666</v>
      </c>
      <c r="Q211" s="20"/>
    </row>
    <row r="212" spans="1:17" x14ac:dyDescent="0.3">
      <c r="A212" s="1">
        <f t="shared" si="64"/>
        <v>6</v>
      </c>
      <c r="B212" s="2" t="s">
        <v>211</v>
      </c>
      <c r="C212" s="3" t="s">
        <v>210</v>
      </c>
      <c r="D212" s="1" t="s">
        <v>40</v>
      </c>
      <c r="E212" s="1" t="s">
        <v>40</v>
      </c>
      <c r="F212" s="1"/>
      <c r="G212" s="1"/>
      <c r="H212" s="1"/>
      <c r="I212" s="1"/>
      <c r="J212" s="1"/>
      <c r="K212" s="1"/>
      <c r="L212" s="12">
        <v>5750</v>
      </c>
      <c r="M212" s="15">
        <f t="shared" si="61"/>
        <v>2</v>
      </c>
      <c r="N212" s="15">
        <f t="shared" si="58"/>
        <v>0</v>
      </c>
      <c r="O212" s="12">
        <v>5750</v>
      </c>
      <c r="P212" s="12">
        <f t="shared" si="62"/>
        <v>479.16666666666669</v>
      </c>
      <c r="Q212" s="12">
        <f t="shared" si="63"/>
        <v>479.16666666666669</v>
      </c>
    </row>
    <row r="213" spans="1:17" x14ac:dyDescent="0.3">
      <c r="A213" s="1">
        <f t="shared" si="64"/>
        <v>7</v>
      </c>
      <c r="B213" s="2" t="s">
        <v>216</v>
      </c>
      <c r="C213" s="3" t="s">
        <v>210</v>
      </c>
      <c r="D213" s="1" t="s">
        <v>40</v>
      </c>
      <c r="E213" s="1" t="s">
        <v>40</v>
      </c>
      <c r="F213" s="1"/>
      <c r="G213" s="1"/>
      <c r="H213" s="1"/>
      <c r="I213" s="1"/>
      <c r="J213" s="1"/>
      <c r="K213" s="1"/>
      <c r="L213" s="12">
        <v>175770</v>
      </c>
      <c r="M213" s="15">
        <f t="shared" si="61"/>
        <v>2</v>
      </c>
      <c r="N213" s="15">
        <f t="shared" si="58"/>
        <v>0</v>
      </c>
      <c r="O213" s="12">
        <v>175770</v>
      </c>
      <c r="P213" s="12">
        <f t="shared" si="62"/>
        <v>14647.5</v>
      </c>
      <c r="Q213" s="12">
        <f t="shared" si="63"/>
        <v>14647.5</v>
      </c>
    </row>
    <row r="214" spans="1:17" x14ac:dyDescent="0.3">
      <c r="A214" s="1">
        <f t="shared" si="64"/>
        <v>8</v>
      </c>
      <c r="B214" s="2">
        <v>41745335</v>
      </c>
      <c r="C214" s="3" t="s">
        <v>210</v>
      </c>
      <c r="D214" s="1" t="s">
        <v>40</v>
      </c>
      <c r="E214" s="1" t="s">
        <v>40</v>
      </c>
      <c r="F214" s="1"/>
      <c r="G214" s="1"/>
      <c r="H214" s="1"/>
      <c r="I214" s="1"/>
      <c r="J214" s="1"/>
      <c r="K214" s="1"/>
      <c r="L214" s="12">
        <v>12000</v>
      </c>
      <c r="M214" s="15">
        <f t="shared" si="61"/>
        <v>2</v>
      </c>
      <c r="N214" s="15">
        <f t="shared" si="58"/>
        <v>0</v>
      </c>
      <c r="O214" s="12">
        <v>12000</v>
      </c>
      <c r="P214" s="12">
        <f t="shared" si="62"/>
        <v>1000</v>
      </c>
      <c r="Q214" s="12">
        <f t="shared" si="63"/>
        <v>1000</v>
      </c>
    </row>
    <row r="215" spans="1:17" x14ac:dyDescent="0.3">
      <c r="A215" s="1">
        <f t="shared" si="64"/>
        <v>9</v>
      </c>
      <c r="B215" s="4" t="s">
        <v>217</v>
      </c>
      <c r="C215" s="3" t="s">
        <v>210</v>
      </c>
      <c r="D215" s="1" t="s">
        <v>40</v>
      </c>
      <c r="E215" s="1" t="s">
        <v>40</v>
      </c>
      <c r="F215" s="1"/>
      <c r="G215" s="1" t="s">
        <v>40</v>
      </c>
      <c r="H215" s="1" t="s">
        <v>40</v>
      </c>
      <c r="I215" s="1"/>
      <c r="J215" s="1"/>
      <c r="K215" s="1" t="s">
        <v>40</v>
      </c>
      <c r="L215" s="12">
        <v>160000</v>
      </c>
      <c r="M215" s="15">
        <f t="shared" si="61"/>
        <v>7</v>
      </c>
      <c r="N215" s="15">
        <f t="shared" si="58"/>
        <v>1</v>
      </c>
      <c r="O215" s="12">
        <v>160000</v>
      </c>
      <c r="P215" s="12">
        <f t="shared" si="62"/>
        <v>13333.333333333334</v>
      </c>
      <c r="Q215" s="12">
        <f t="shared" si="63"/>
        <v>13333.333333333334</v>
      </c>
    </row>
    <row r="216" spans="1:17" x14ac:dyDescent="0.3">
      <c r="A216" s="1">
        <f t="shared" si="64"/>
        <v>10</v>
      </c>
      <c r="B216" s="2">
        <v>28275670</v>
      </c>
      <c r="C216" s="3" t="s">
        <v>210</v>
      </c>
      <c r="D216" s="1" t="s">
        <v>40</v>
      </c>
      <c r="E216" s="1" t="s">
        <v>40</v>
      </c>
      <c r="F216" s="1"/>
      <c r="G216" s="1"/>
      <c r="H216" s="1" t="s">
        <v>40</v>
      </c>
      <c r="I216" s="1"/>
      <c r="J216" s="1"/>
      <c r="K216" s="1"/>
      <c r="L216" s="12">
        <v>7725</v>
      </c>
      <c r="M216" s="15">
        <f t="shared" si="61"/>
        <v>5</v>
      </c>
      <c r="N216" s="15">
        <f t="shared" si="58"/>
        <v>0</v>
      </c>
      <c r="O216" s="12">
        <v>7725</v>
      </c>
      <c r="P216" s="12">
        <f t="shared" si="62"/>
        <v>643.75</v>
      </c>
      <c r="Q216" s="12">
        <f t="shared" si="63"/>
        <v>643.75</v>
      </c>
    </row>
    <row r="217" spans="1:17" x14ac:dyDescent="0.3">
      <c r="A217" s="1">
        <f t="shared" si="64"/>
        <v>11</v>
      </c>
      <c r="B217" s="4" t="s">
        <v>218</v>
      </c>
      <c r="C217" s="3" t="s">
        <v>210</v>
      </c>
      <c r="D217" s="1" t="s">
        <v>40</v>
      </c>
      <c r="E217" s="1" t="s">
        <v>40</v>
      </c>
      <c r="F217" s="1"/>
      <c r="G217" s="1"/>
      <c r="H217" s="1" t="s">
        <v>40</v>
      </c>
      <c r="I217" s="1"/>
      <c r="J217" s="1"/>
      <c r="K217" s="1"/>
      <c r="L217" s="12">
        <v>11040</v>
      </c>
      <c r="M217" s="15">
        <f t="shared" si="61"/>
        <v>5</v>
      </c>
      <c r="N217" s="15">
        <f t="shared" si="58"/>
        <v>0</v>
      </c>
      <c r="O217" s="12">
        <v>11040</v>
      </c>
      <c r="P217" s="12">
        <f t="shared" si="62"/>
        <v>920</v>
      </c>
      <c r="Q217" s="12">
        <f t="shared" si="63"/>
        <v>920</v>
      </c>
    </row>
    <row r="218" spans="1:17" x14ac:dyDescent="0.3">
      <c r="A218" s="1">
        <f t="shared" si="64"/>
        <v>12</v>
      </c>
      <c r="B218" s="2" t="s">
        <v>219</v>
      </c>
      <c r="C218" s="3" t="s">
        <v>210</v>
      </c>
      <c r="D218" s="1" t="s">
        <v>40</v>
      </c>
      <c r="E218" s="1" t="s">
        <v>40</v>
      </c>
      <c r="F218" s="1"/>
      <c r="G218" s="1"/>
      <c r="H218" s="1"/>
      <c r="I218" s="1"/>
      <c r="J218" s="1"/>
      <c r="K218" s="1"/>
      <c r="L218" s="14">
        <v>0</v>
      </c>
      <c r="M218" s="15">
        <f t="shared" si="61"/>
        <v>2</v>
      </c>
      <c r="N218" s="15">
        <f t="shared" si="58"/>
        <v>0</v>
      </c>
      <c r="O218" s="20"/>
      <c r="P218" s="12">
        <f t="shared" si="62"/>
        <v>0</v>
      </c>
      <c r="Q218" s="20"/>
    </row>
    <row r="219" spans="1:17" x14ac:dyDescent="0.3">
      <c r="A219" s="1">
        <f t="shared" si="64"/>
        <v>13</v>
      </c>
      <c r="B219" s="4" t="s">
        <v>220</v>
      </c>
      <c r="C219" s="3" t="s">
        <v>210</v>
      </c>
      <c r="D219" s="1" t="s">
        <v>40</v>
      </c>
      <c r="E219" s="1" t="s">
        <v>40</v>
      </c>
      <c r="F219" s="1" t="s">
        <v>40</v>
      </c>
      <c r="G219" s="1"/>
      <c r="H219" s="1" t="s">
        <v>40</v>
      </c>
      <c r="I219" s="1"/>
      <c r="J219" s="1"/>
      <c r="K219" s="1"/>
      <c r="L219" s="14">
        <v>0</v>
      </c>
      <c r="M219" s="15">
        <f t="shared" si="61"/>
        <v>7</v>
      </c>
      <c r="N219" s="15">
        <f t="shared" si="58"/>
        <v>0</v>
      </c>
      <c r="O219" s="20"/>
      <c r="P219" s="12">
        <f t="shared" si="62"/>
        <v>0</v>
      </c>
      <c r="Q219" s="20"/>
    </row>
    <row r="220" spans="1:17" x14ac:dyDescent="0.3">
      <c r="A220" s="1">
        <f t="shared" si="64"/>
        <v>14</v>
      </c>
      <c r="B220" s="2" t="s">
        <v>221</v>
      </c>
      <c r="C220" s="3" t="s">
        <v>210</v>
      </c>
      <c r="D220" s="1" t="s">
        <v>40</v>
      </c>
      <c r="E220" s="1" t="s">
        <v>40</v>
      </c>
      <c r="F220" s="1"/>
      <c r="G220" s="1"/>
      <c r="H220" s="1"/>
      <c r="I220" s="1"/>
      <c r="J220" s="1"/>
      <c r="K220" s="1"/>
      <c r="L220" s="14">
        <v>0</v>
      </c>
      <c r="M220" s="15">
        <f t="shared" si="61"/>
        <v>2</v>
      </c>
      <c r="N220" s="15">
        <f t="shared" si="58"/>
        <v>0</v>
      </c>
      <c r="O220" s="20"/>
      <c r="P220" s="12">
        <f t="shared" si="62"/>
        <v>0</v>
      </c>
      <c r="Q220" s="20"/>
    </row>
    <row r="221" spans="1:17" x14ac:dyDescent="0.3">
      <c r="A221" s="1">
        <f t="shared" si="64"/>
        <v>15</v>
      </c>
      <c r="B221" s="2">
        <v>41767813</v>
      </c>
      <c r="C221" s="3" t="s">
        <v>210</v>
      </c>
      <c r="D221" s="1" t="s">
        <v>40</v>
      </c>
      <c r="E221" s="1" t="s">
        <v>40</v>
      </c>
      <c r="F221" s="1"/>
      <c r="G221" s="1"/>
      <c r="H221" s="1" t="s">
        <v>40</v>
      </c>
      <c r="I221" s="1"/>
      <c r="J221" s="1"/>
      <c r="K221" s="1"/>
      <c r="L221" s="14">
        <v>120600</v>
      </c>
      <c r="M221" s="15">
        <f t="shared" si="61"/>
        <v>5</v>
      </c>
      <c r="N221" s="15">
        <f t="shared" si="58"/>
        <v>0</v>
      </c>
      <c r="O221" s="14">
        <v>120600</v>
      </c>
      <c r="P221" s="12">
        <f t="shared" si="62"/>
        <v>10050</v>
      </c>
      <c r="Q221" s="12">
        <f t="shared" si="63"/>
        <v>10050</v>
      </c>
    </row>
    <row r="222" spans="1:17" x14ac:dyDescent="0.3">
      <c r="A222" s="1">
        <f t="shared" si="64"/>
        <v>16</v>
      </c>
      <c r="B222" s="2" t="s">
        <v>222</v>
      </c>
      <c r="C222" s="3" t="s">
        <v>210</v>
      </c>
      <c r="D222" s="1" t="s">
        <v>40</v>
      </c>
      <c r="E222" s="1" t="s">
        <v>40</v>
      </c>
      <c r="F222" s="1"/>
      <c r="G222" s="1"/>
      <c r="H222" s="1"/>
      <c r="I222" s="1"/>
      <c r="J222" s="1"/>
      <c r="K222" s="1"/>
      <c r="L222" s="14"/>
      <c r="M222" s="15">
        <f t="shared" si="61"/>
        <v>2</v>
      </c>
      <c r="N222" s="15">
        <f t="shared" si="58"/>
        <v>0</v>
      </c>
      <c r="O222" s="20"/>
      <c r="P222" s="12">
        <f t="shared" si="62"/>
        <v>0</v>
      </c>
      <c r="Q222" s="20"/>
    </row>
    <row r="223" spans="1:17" x14ac:dyDescent="0.3">
      <c r="A223" s="1">
        <f t="shared" si="64"/>
        <v>17</v>
      </c>
      <c r="B223" s="4" t="s">
        <v>223</v>
      </c>
      <c r="C223" s="3" t="s">
        <v>210</v>
      </c>
      <c r="D223" s="1" t="s">
        <v>40</v>
      </c>
      <c r="E223" s="1" t="s">
        <v>40</v>
      </c>
      <c r="F223" s="1"/>
      <c r="G223" s="1"/>
      <c r="H223" s="1"/>
      <c r="I223" s="1"/>
      <c r="J223" s="1"/>
      <c r="K223" s="1"/>
      <c r="L223" s="14">
        <v>24000</v>
      </c>
      <c r="M223" s="15">
        <f t="shared" si="61"/>
        <v>2</v>
      </c>
      <c r="N223" s="15">
        <f t="shared" si="58"/>
        <v>0</v>
      </c>
      <c r="O223" s="14">
        <v>24000</v>
      </c>
      <c r="P223" s="12">
        <f t="shared" si="62"/>
        <v>2000</v>
      </c>
      <c r="Q223" s="12">
        <f t="shared" si="63"/>
        <v>2000</v>
      </c>
    </row>
    <row r="224" spans="1:17" x14ac:dyDescent="0.3">
      <c r="A224" s="1">
        <f t="shared" si="64"/>
        <v>18</v>
      </c>
      <c r="B224" s="2" t="s">
        <v>224</v>
      </c>
      <c r="C224" s="3" t="s">
        <v>210</v>
      </c>
      <c r="D224" s="1" t="s">
        <v>40</v>
      </c>
      <c r="E224" s="1" t="s">
        <v>40</v>
      </c>
      <c r="F224" s="1"/>
      <c r="G224" s="1"/>
      <c r="H224" s="1"/>
      <c r="I224" s="1"/>
      <c r="J224" s="1"/>
      <c r="K224" s="1"/>
      <c r="L224" s="14">
        <v>0</v>
      </c>
      <c r="M224" s="15">
        <f t="shared" si="61"/>
        <v>2</v>
      </c>
      <c r="N224" s="15">
        <f t="shared" si="58"/>
        <v>0</v>
      </c>
      <c r="O224" s="20"/>
      <c r="P224" s="12">
        <f t="shared" si="62"/>
        <v>0</v>
      </c>
      <c r="Q224" s="20"/>
    </row>
    <row r="225" spans="1:18" x14ac:dyDescent="0.3">
      <c r="A225" s="1">
        <f t="shared" si="64"/>
        <v>19</v>
      </c>
      <c r="B225" s="2" t="s">
        <v>225</v>
      </c>
      <c r="C225" s="3" t="s">
        <v>210</v>
      </c>
      <c r="D225" s="1" t="s">
        <v>40</v>
      </c>
      <c r="E225" s="1" t="s">
        <v>40</v>
      </c>
      <c r="F225" s="1"/>
      <c r="G225" s="1" t="s">
        <v>40</v>
      </c>
      <c r="H225" s="1"/>
      <c r="I225" s="1"/>
      <c r="J225" s="1"/>
      <c r="K225" s="1"/>
      <c r="L225" s="14">
        <v>30000</v>
      </c>
      <c r="M225" s="15">
        <f t="shared" si="61"/>
        <v>4</v>
      </c>
      <c r="N225" s="15">
        <f t="shared" si="58"/>
        <v>0</v>
      </c>
      <c r="O225" s="14">
        <v>30000</v>
      </c>
      <c r="P225" s="12">
        <f t="shared" si="62"/>
        <v>2500</v>
      </c>
      <c r="Q225" s="12">
        <f t="shared" si="63"/>
        <v>2500</v>
      </c>
    </row>
    <row r="226" spans="1:18" x14ac:dyDescent="0.3">
      <c r="A226" s="1">
        <f t="shared" si="64"/>
        <v>20</v>
      </c>
      <c r="B226" s="2" t="s">
        <v>226</v>
      </c>
      <c r="C226" s="3" t="s">
        <v>210</v>
      </c>
      <c r="D226" s="1" t="s">
        <v>40</v>
      </c>
      <c r="E226" s="1" t="s">
        <v>40</v>
      </c>
      <c r="F226" s="1" t="s">
        <v>40</v>
      </c>
      <c r="G226" s="1" t="s">
        <v>40</v>
      </c>
      <c r="H226" s="1" t="s">
        <v>40</v>
      </c>
      <c r="I226" s="1"/>
      <c r="J226" s="1"/>
      <c r="K226" s="1"/>
      <c r="L226" s="14">
        <v>30000</v>
      </c>
      <c r="M226" s="15">
        <f t="shared" si="61"/>
        <v>9</v>
      </c>
      <c r="N226" s="15">
        <f t="shared" si="58"/>
        <v>0</v>
      </c>
      <c r="O226" s="14">
        <v>30000</v>
      </c>
      <c r="P226" s="12">
        <f t="shared" si="62"/>
        <v>2500</v>
      </c>
      <c r="Q226" s="12">
        <f t="shared" si="63"/>
        <v>2500</v>
      </c>
    </row>
    <row r="227" spans="1:18" x14ac:dyDescent="0.3">
      <c r="A227" s="1">
        <f t="shared" si="64"/>
        <v>21</v>
      </c>
      <c r="B227" s="2" t="s">
        <v>227</v>
      </c>
      <c r="C227" s="3" t="s">
        <v>210</v>
      </c>
      <c r="D227" s="1" t="s">
        <v>40</v>
      </c>
      <c r="E227" s="1" t="s">
        <v>40</v>
      </c>
      <c r="F227" s="1"/>
      <c r="G227" s="1"/>
      <c r="H227" s="1" t="s">
        <v>40</v>
      </c>
      <c r="I227" s="1"/>
      <c r="J227" s="1"/>
      <c r="K227" s="1"/>
      <c r="L227" s="14">
        <v>18000</v>
      </c>
      <c r="M227" s="15">
        <f t="shared" si="61"/>
        <v>5</v>
      </c>
      <c r="N227" s="15">
        <f t="shared" si="58"/>
        <v>0</v>
      </c>
      <c r="O227" s="14">
        <v>18000</v>
      </c>
      <c r="P227" s="12">
        <f t="shared" si="62"/>
        <v>1500</v>
      </c>
      <c r="Q227" s="12">
        <f t="shared" si="63"/>
        <v>1500</v>
      </c>
    </row>
    <row r="228" spans="1:18" x14ac:dyDescent="0.3">
      <c r="A228" s="1">
        <f t="shared" si="64"/>
        <v>22</v>
      </c>
      <c r="B228" s="2">
        <v>80612217</v>
      </c>
      <c r="C228" s="3" t="s">
        <v>210</v>
      </c>
      <c r="D228" s="1" t="s">
        <v>40</v>
      </c>
      <c r="E228" s="1" t="s">
        <v>40</v>
      </c>
      <c r="F228" s="1" t="s">
        <v>40</v>
      </c>
      <c r="G228" s="1"/>
      <c r="H228" s="1"/>
      <c r="I228" s="1"/>
      <c r="J228" s="1"/>
      <c r="K228" s="1"/>
      <c r="L228" s="14">
        <v>18000</v>
      </c>
      <c r="M228" s="15">
        <f t="shared" si="61"/>
        <v>4</v>
      </c>
      <c r="N228" s="15">
        <f t="shared" si="58"/>
        <v>0</v>
      </c>
      <c r="O228" s="14">
        <v>18000</v>
      </c>
      <c r="P228" s="12">
        <f t="shared" si="62"/>
        <v>1500</v>
      </c>
      <c r="Q228" s="12">
        <f t="shared" si="63"/>
        <v>1500</v>
      </c>
    </row>
    <row r="229" spans="1:18" x14ac:dyDescent="0.3">
      <c r="A229" s="1">
        <f t="shared" si="64"/>
        <v>23</v>
      </c>
      <c r="B229" s="2">
        <v>23170336</v>
      </c>
      <c r="C229" s="3" t="s">
        <v>210</v>
      </c>
      <c r="D229" s="1" t="s">
        <v>40</v>
      </c>
      <c r="E229" s="1"/>
      <c r="F229" s="1"/>
      <c r="G229" s="1"/>
      <c r="H229" s="1"/>
      <c r="I229" s="1"/>
      <c r="J229" s="1"/>
      <c r="K229" s="1"/>
      <c r="L229" s="14">
        <v>30000</v>
      </c>
      <c r="M229" s="15">
        <f t="shared" si="61"/>
        <v>1</v>
      </c>
      <c r="N229" s="15">
        <f t="shared" si="58"/>
        <v>0</v>
      </c>
      <c r="O229" s="14">
        <v>30000</v>
      </c>
      <c r="P229" s="12">
        <f t="shared" si="62"/>
        <v>2500</v>
      </c>
      <c r="Q229" s="12">
        <f t="shared" si="63"/>
        <v>2500</v>
      </c>
    </row>
    <row r="230" spans="1:18" x14ac:dyDescent="0.3">
      <c r="A230" s="1">
        <f t="shared" si="64"/>
        <v>24</v>
      </c>
      <c r="B230" s="2" t="s">
        <v>228</v>
      </c>
      <c r="C230" s="3" t="s">
        <v>210</v>
      </c>
      <c r="D230" s="1" t="s">
        <v>40</v>
      </c>
      <c r="E230" s="1" t="s">
        <v>40</v>
      </c>
      <c r="F230" s="1"/>
      <c r="G230" s="1"/>
      <c r="H230" s="1"/>
      <c r="I230" s="1"/>
      <c r="J230" s="1"/>
      <c r="K230" s="1"/>
      <c r="L230" s="14">
        <v>0</v>
      </c>
      <c r="M230" s="15">
        <f t="shared" si="61"/>
        <v>2</v>
      </c>
      <c r="N230" s="15">
        <f t="shared" si="58"/>
        <v>0</v>
      </c>
      <c r="O230" s="20"/>
      <c r="P230" s="12">
        <f t="shared" si="62"/>
        <v>0</v>
      </c>
      <c r="Q230" s="20"/>
    </row>
    <row r="231" spans="1:18" x14ac:dyDescent="0.3">
      <c r="A231" s="1">
        <f t="shared" si="64"/>
        <v>25</v>
      </c>
      <c r="B231" s="2" t="s">
        <v>229</v>
      </c>
      <c r="C231" s="3" t="s">
        <v>210</v>
      </c>
      <c r="D231" s="1" t="s">
        <v>40</v>
      </c>
      <c r="E231" s="1" t="s">
        <v>40</v>
      </c>
      <c r="F231" s="1"/>
      <c r="G231" s="1"/>
      <c r="H231" s="1"/>
      <c r="I231" s="1"/>
      <c r="J231" s="1"/>
      <c r="K231" s="1"/>
      <c r="L231" s="14">
        <v>0</v>
      </c>
      <c r="M231" s="15">
        <f t="shared" si="61"/>
        <v>2</v>
      </c>
      <c r="N231" s="15">
        <f t="shared" si="58"/>
        <v>0</v>
      </c>
      <c r="O231" s="20"/>
      <c r="P231" s="12">
        <f t="shared" si="62"/>
        <v>0</v>
      </c>
      <c r="Q231" s="20"/>
    </row>
    <row r="232" spans="1:18" x14ac:dyDescent="0.3">
      <c r="A232" s="1">
        <f t="shared" si="64"/>
        <v>26</v>
      </c>
      <c r="B232" s="2" t="s">
        <v>230</v>
      </c>
      <c r="C232" s="3" t="s">
        <v>210</v>
      </c>
      <c r="D232" s="1" t="s">
        <v>40</v>
      </c>
      <c r="E232" s="1" t="s">
        <v>40</v>
      </c>
      <c r="F232" s="1" t="s">
        <v>40</v>
      </c>
      <c r="G232" s="1"/>
      <c r="H232" s="1"/>
      <c r="I232" s="1"/>
      <c r="J232" s="1"/>
      <c r="K232" s="1"/>
      <c r="L232" s="14">
        <v>13200</v>
      </c>
      <c r="M232" s="15">
        <f t="shared" si="61"/>
        <v>4</v>
      </c>
      <c r="N232" s="15">
        <f t="shared" si="58"/>
        <v>0</v>
      </c>
      <c r="O232" s="14">
        <v>13200</v>
      </c>
      <c r="P232" s="12">
        <f t="shared" si="62"/>
        <v>1100</v>
      </c>
      <c r="Q232" s="12">
        <f t="shared" si="63"/>
        <v>1100</v>
      </c>
    </row>
    <row r="233" spans="1:18" x14ac:dyDescent="0.3">
      <c r="A233" s="1">
        <f t="shared" si="64"/>
        <v>27</v>
      </c>
      <c r="B233" s="2" t="s">
        <v>231</v>
      </c>
      <c r="C233" s="3" t="s">
        <v>210</v>
      </c>
      <c r="D233" s="1" t="s">
        <v>40</v>
      </c>
      <c r="E233" s="1"/>
      <c r="F233" s="1"/>
      <c r="G233" s="1"/>
      <c r="H233" s="1"/>
      <c r="I233" s="1"/>
      <c r="J233" s="1"/>
      <c r="K233" s="1"/>
      <c r="L233" s="14">
        <v>3600</v>
      </c>
      <c r="M233" s="15">
        <f t="shared" si="61"/>
        <v>1</v>
      </c>
      <c r="N233" s="15">
        <f t="shared" si="58"/>
        <v>0</v>
      </c>
      <c r="O233" s="14">
        <v>3600</v>
      </c>
      <c r="P233" s="12">
        <f t="shared" si="62"/>
        <v>300</v>
      </c>
      <c r="Q233" s="12">
        <f t="shared" si="63"/>
        <v>300</v>
      </c>
    </row>
    <row r="234" spans="1:18" x14ac:dyDescent="0.3">
      <c r="A234" s="1">
        <f t="shared" si="64"/>
        <v>28</v>
      </c>
      <c r="B234" s="2" t="s">
        <v>232</v>
      </c>
      <c r="C234" s="3" t="s">
        <v>210</v>
      </c>
      <c r="D234" s="1" t="s">
        <v>40</v>
      </c>
      <c r="E234" s="1" t="s">
        <v>40</v>
      </c>
      <c r="F234" s="1"/>
      <c r="G234" s="1"/>
      <c r="H234" s="1"/>
      <c r="I234" s="1"/>
      <c r="J234" s="1"/>
      <c r="K234" s="1"/>
      <c r="L234" s="14">
        <v>0</v>
      </c>
      <c r="M234" s="15">
        <f t="shared" si="61"/>
        <v>2</v>
      </c>
      <c r="N234" s="15">
        <f t="shared" si="58"/>
        <v>0</v>
      </c>
      <c r="O234" s="20"/>
      <c r="P234" s="12">
        <f t="shared" si="62"/>
        <v>0</v>
      </c>
      <c r="Q234" s="20"/>
    </row>
    <row r="235" spans="1:18" x14ac:dyDescent="0.3">
      <c r="A235" s="1">
        <f t="shared" si="64"/>
        <v>29</v>
      </c>
      <c r="B235" s="2" t="s">
        <v>233</v>
      </c>
      <c r="C235" s="3" t="s">
        <v>210</v>
      </c>
      <c r="D235" s="1" t="s">
        <v>40</v>
      </c>
      <c r="E235" s="1" t="s">
        <v>40</v>
      </c>
      <c r="F235" s="1"/>
      <c r="G235" s="1"/>
      <c r="H235" s="1" t="s">
        <v>40</v>
      </c>
      <c r="I235" s="1"/>
      <c r="J235" s="1"/>
      <c r="K235" s="1"/>
      <c r="L235" s="14">
        <v>42000</v>
      </c>
      <c r="M235" s="15">
        <f t="shared" si="61"/>
        <v>5</v>
      </c>
      <c r="N235" s="15">
        <f t="shared" si="58"/>
        <v>0</v>
      </c>
      <c r="O235" s="14">
        <v>42000</v>
      </c>
      <c r="P235" s="12">
        <f t="shared" si="62"/>
        <v>3500</v>
      </c>
      <c r="Q235" s="12">
        <f t="shared" si="63"/>
        <v>3500</v>
      </c>
    </row>
    <row r="236" spans="1:18" x14ac:dyDescent="0.3">
      <c r="A236" s="1">
        <f t="shared" si="64"/>
        <v>30</v>
      </c>
      <c r="B236" s="2">
        <v>33340112</v>
      </c>
      <c r="C236" s="3" t="s">
        <v>210</v>
      </c>
      <c r="D236" s="1" t="s">
        <v>40</v>
      </c>
      <c r="E236" s="1" t="s">
        <v>40</v>
      </c>
      <c r="F236" s="1"/>
      <c r="G236" s="1"/>
      <c r="H236" s="1"/>
      <c r="I236" s="1"/>
      <c r="J236" s="1"/>
      <c r="K236" s="1"/>
      <c r="L236" s="14">
        <v>0</v>
      </c>
      <c r="M236" s="15">
        <f t="shared" si="61"/>
        <v>2</v>
      </c>
      <c r="N236" s="15">
        <f t="shared" si="58"/>
        <v>0</v>
      </c>
      <c r="O236" s="20"/>
      <c r="P236" s="12">
        <f t="shared" si="62"/>
        <v>0</v>
      </c>
      <c r="Q236" s="20"/>
    </row>
    <row r="237" spans="1:18" x14ac:dyDescent="0.3">
      <c r="B237" s="2">
        <v>9193531</v>
      </c>
      <c r="L237" s="14">
        <f>+AVERAGE(L207:L236)</f>
        <v>34384.113448275864</v>
      </c>
      <c r="M237" s="14">
        <f>+AVERAGE(M207:M236)</f>
        <v>3.7</v>
      </c>
      <c r="N237" s="14">
        <f>+SUM(N207:N236)</f>
        <v>2</v>
      </c>
      <c r="O237" s="14">
        <f>+AVERAGE(O207:O236)</f>
        <v>39701.84210526316</v>
      </c>
      <c r="P237" s="14">
        <f>+AVERAGE(P207:P236)</f>
        <v>2769.8313611111107</v>
      </c>
      <c r="Q237" s="14">
        <f>+AVERAGE(Q207:Q236)</f>
        <v>3308.4868421052633</v>
      </c>
      <c r="R237" s="14">
        <f>30-COUNTBLANK(R207:R236)</f>
        <v>0</v>
      </c>
    </row>
    <row r="238" spans="1:18" x14ac:dyDescent="0.3">
      <c r="L238" s="14">
        <f>+STDEV(L207:L236)</f>
        <v>61218.036788395853</v>
      </c>
      <c r="M238" s="14">
        <f>+STDEV(M207:M236)</f>
        <v>2.2916640543349791</v>
      </c>
      <c r="N238" s="17"/>
      <c r="O238" s="14">
        <f>+STDEV(O207:O236)</f>
        <v>51846.014558351497</v>
      </c>
      <c r="P238" s="14">
        <f>+STDEV(P207:P236)</f>
        <v>5039.9981360640923</v>
      </c>
      <c r="Q238" s="14">
        <f>+STDEV(Q207:Q236)</f>
        <v>4320.5012131959584</v>
      </c>
    </row>
    <row r="239" spans="1:18" x14ac:dyDescent="0.3">
      <c r="I239" s="15"/>
      <c r="J239" s="15"/>
      <c r="K239" s="11" t="s">
        <v>75</v>
      </c>
      <c r="L239" s="14">
        <f>+COUNTIF(L207:L236,0)</f>
        <v>9</v>
      </c>
      <c r="M239" s="14">
        <f>+COUNT(M207:M236)</f>
        <v>30</v>
      </c>
      <c r="P239" s="14">
        <f>+COUNTIF(P207:P236,0)</f>
        <v>10</v>
      </c>
    </row>
    <row r="241" spans="1:20" x14ac:dyDescent="0.3">
      <c r="A241" s="1">
        <v>1</v>
      </c>
      <c r="B241" s="2" t="s">
        <v>236</v>
      </c>
      <c r="C241" s="3" t="s">
        <v>235</v>
      </c>
      <c r="D241" s="12" t="s">
        <v>40</v>
      </c>
      <c r="E241" s="12" t="s">
        <v>40</v>
      </c>
      <c r="F241" s="12"/>
      <c r="G241" s="12"/>
      <c r="H241" s="12" t="s">
        <v>40</v>
      </c>
      <c r="I241" s="12" t="s">
        <v>40</v>
      </c>
      <c r="J241" s="12" t="s">
        <v>40</v>
      </c>
      <c r="K241" s="12"/>
      <c r="L241" s="12">
        <v>277827</v>
      </c>
      <c r="M241" s="15">
        <f>+IF(D241="X",1,0)+IF(E241="X",1,0)+IF(F241="X",2,0)+IF(G241="X",2,0)+IF(H241="X",3,IF(H241="Y",1.5,0))+IF(I241="X",5,IF(I241="Y",2.5,0))+IF(J241="X",10,IF(J241="Y",5,0))</f>
        <v>20</v>
      </c>
      <c r="N241" s="15">
        <f t="shared" ref="N241:N270" si="65">+IF(K241="X",1,0)</f>
        <v>0</v>
      </c>
      <c r="O241" s="20"/>
      <c r="P241" s="12">
        <f t="shared" ref="P241:P270" si="66">+L241/12</f>
        <v>23152.25</v>
      </c>
      <c r="Q241" s="20"/>
    </row>
    <row r="242" spans="1:20" x14ac:dyDescent="0.3">
      <c r="A242" s="1">
        <f>+A241+1</f>
        <v>2</v>
      </c>
      <c r="B242" s="2">
        <v>43879107</v>
      </c>
      <c r="C242" s="3" t="s">
        <v>235</v>
      </c>
      <c r="D242" s="12" t="s">
        <v>40</v>
      </c>
      <c r="E242" s="12" t="s">
        <v>40</v>
      </c>
      <c r="F242" s="12"/>
      <c r="G242" s="12"/>
      <c r="H242" s="12" t="s">
        <v>40</v>
      </c>
      <c r="I242" s="12" t="s">
        <v>40</v>
      </c>
      <c r="J242" s="12"/>
      <c r="K242" s="12"/>
      <c r="L242" s="12">
        <v>38400</v>
      </c>
      <c r="M242" s="15">
        <f t="shared" ref="M242:M270" si="67">+IF(D242="X",1,0)+IF(E242="X",1,0)+IF(F242="X",2,0)+IF(G242="X",2,0)+IF(H242="X",3,IF(H242="Y",1.5,0))+IF(I242="X",5,IF(I242="Y",2.5,0))+IF(J242="X",10,IF(J242="Y",5,0))</f>
        <v>10</v>
      </c>
      <c r="N242" s="15">
        <f t="shared" si="65"/>
        <v>0</v>
      </c>
      <c r="O242" s="12">
        <v>38400</v>
      </c>
      <c r="P242" s="12">
        <f t="shared" si="66"/>
        <v>3200</v>
      </c>
      <c r="Q242" s="12">
        <f t="shared" ref="Q242:Q270" si="68">+O242/12</f>
        <v>3200</v>
      </c>
    </row>
    <row r="243" spans="1:20" x14ac:dyDescent="0.3">
      <c r="A243" s="1">
        <f t="shared" ref="A243:A270" si="69">+A242+1</f>
        <v>3</v>
      </c>
      <c r="B243" s="2" t="s">
        <v>237</v>
      </c>
      <c r="C243" s="3" t="s">
        <v>235</v>
      </c>
      <c r="D243" s="12" t="s">
        <v>40</v>
      </c>
      <c r="E243" s="12" t="s">
        <v>40</v>
      </c>
      <c r="F243" s="12"/>
      <c r="G243" s="12"/>
      <c r="H243" s="12" t="s">
        <v>40</v>
      </c>
      <c r="I243" s="12"/>
      <c r="J243" s="12"/>
      <c r="K243" s="12"/>
      <c r="L243" s="12">
        <v>114729.58</v>
      </c>
      <c r="M243" s="15">
        <f t="shared" si="67"/>
        <v>5</v>
      </c>
      <c r="N243" s="15">
        <f t="shared" si="65"/>
        <v>0</v>
      </c>
      <c r="O243" s="12">
        <v>114729.58</v>
      </c>
      <c r="P243" s="12">
        <f t="shared" si="66"/>
        <v>9560.7983333333341</v>
      </c>
      <c r="Q243" s="12">
        <f t="shared" si="68"/>
        <v>9560.7983333333341</v>
      </c>
    </row>
    <row r="244" spans="1:20" x14ac:dyDescent="0.3">
      <c r="A244" s="1">
        <f t="shared" si="69"/>
        <v>4</v>
      </c>
      <c r="B244" s="4" t="s">
        <v>249</v>
      </c>
      <c r="C244" s="3" t="s">
        <v>235</v>
      </c>
      <c r="D244" s="12" t="s">
        <v>40</v>
      </c>
      <c r="E244" s="12" t="s">
        <v>40</v>
      </c>
      <c r="F244" s="12"/>
      <c r="G244" s="12"/>
      <c r="H244" s="12" t="s">
        <v>40</v>
      </c>
      <c r="I244" s="12" t="s">
        <v>40</v>
      </c>
      <c r="J244" s="12"/>
      <c r="K244" s="12"/>
      <c r="L244" s="12">
        <v>165884.26</v>
      </c>
      <c r="M244" s="15">
        <f t="shared" si="67"/>
        <v>10</v>
      </c>
      <c r="N244" s="15">
        <f t="shared" si="65"/>
        <v>0</v>
      </c>
      <c r="O244" s="12">
        <v>165884.26</v>
      </c>
      <c r="P244" s="12">
        <f t="shared" si="66"/>
        <v>13823.688333333334</v>
      </c>
      <c r="Q244" s="12">
        <f t="shared" si="68"/>
        <v>13823.688333333334</v>
      </c>
      <c r="S244" t="s">
        <v>250</v>
      </c>
      <c r="T244" t="s">
        <v>151</v>
      </c>
    </row>
    <row r="245" spans="1:20" x14ac:dyDescent="0.3">
      <c r="A245" s="1">
        <f t="shared" si="69"/>
        <v>5</v>
      </c>
      <c r="B245" s="4" t="s">
        <v>251</v>
      </c>
      <c r="C245" s="3" t="s">
        <v>235</v>
      </c>
      <c r="D245" s="12" t="s">
        <v>40</v>
      </c>
      <c r="E245" s="12" t="s">
        <v>40</v>
      </c>
      <c r="F245" s="12"/>
      <c r="G245" s="12"/>
      <c r="H245" s="12"/>
      <c r="I245" s="12"/>
      <c r="J245" s="12"/>
      <c r="K245" s="12"/>
      <c r="L245" s="12">
        <v>0</v>
      </c>
      <c r="M245" s="15">
        <f t="shared" si="67"/>
        <v>2</v>
      </c>
      <c r="N245" s="15">
        <f t="shared" si="65"/>
        <v>0</v>
      </c>
      <c r="O245" s="20"/>
      <c r="P245" s="12">
        <f t="shared" si="66"/>
        <v>0</v>
      </c>
      <c r="Q245" s="20"/>
    </row>
    <row r="246" spans="1:20" x14ac:dyDescent="0.3">
      <c r="A246" s="1">
        <f t="shared" si="69"/>
        <v>6</v>
      </c>
      <c r="B246" s="2">
        <v>40374263</v>
      </c>
      <c r="C246" s="3" t="s">
        <v>235</v>
      </c>
      <c r="D246" s="12" t="s">
        <v>40</v>
      </c>
      <c r="E246" s="12" t="s">
        <v>40</v>
      </c>
      <c r="F246" s="12" t="s">
        <v>40</v>
      </c>
      <c r="G246" s="12" t="s">
        <v>40</v>
      </c>
      <c r="H246" s="12" t="s">
        <v>40</v>
      </c>
      <c r="I246" s="12"/>
      <c r="J246" s="12" t="s">
        <v>40</v>
      </c>
      <c r="K246" s="12"/>
      <c r="L246" s="12">
        <v>0</v>
      </c>
      <c r="M246" s="15">
        <f t="shared" si="67"/>
        <v>19</v>
      </c>
      <c r="N246" s="15">
        <f t="shared" si="65"/>
        <v>0</v>
      </c>
      <c r="O246" s="20"/>
      <c r="P246" s="12">
        <f t="shared" si="66"/>
        <v>0</v>
      </c>
      <c r="Q246" s="20"/>
    </row>
    <row r="247" spans="1:20" x14ac:dyDescent="0.3">
      <c r="A247" s="1">
        <f t="shared" si="69"/>
        <v>7</v>
      </c>
      <c r="B247" s="4" t="s">
        <v>252</v>
      </c>
      <c r="C247" s="3" t="s">
        <v>235</v>
      </c>
      <c r="D247" s="12" t="s">
        <v>40</v>
      </c>
      <c r="E247" s="12" t="s">
        <v>40</v>
      </c>
      <c r="F247" s="12"/>
      <c r="G247" s="12"/>
      <c r="H247" s="12" t="s">
        <v>40</v>
      </c>
      <c r="I247" s="12" t="s">
        <v>40</v>
      </c>
      <c r="J247" s="12"/>
      <c r="K247" s="12"/>
      <c r="L247" s="12">
        <v>37950</v>
      </c>
      <c r="M247" s="15">
        <f t="shared" si="67"/>
        <v>10</v>
      </c>
      <c r="N247" s="15">
        <f t="shared" si="65"/>
        <v>0</v>
      </c>
      <c r="O247" s="12">
        <v>37950</v>
      </c>
      <c r="P247" s="12">
        <f t="shared" si="66"/>
        <v>3162.5</v>
      </c>
      <c r="Q247" s="12">
        <f t="shared" si="68"/>
        <v>3162.5</v>
      </c>
    </row>
    <row r="248" spans="1:20" x14ac:dyDescent="0.3">
      <c r="A248" s="1">
        <f t="shared" si="69"/>
        <v>8</v>
      </c>
      <c r="B248" s="4" t="s">
        <v>253</v>
      </c>
      <c r="C248" s="3" t="s">
        <v>235</v>
      </c>
      <c r="D248" s="12" t="s">
        <v>40</v>
      </c>
      <c r="E248" s="12" t="s">
        <v>40</v>
      </c>
      <c r="F248" s="12"/>
      <c r="G248" s="12"/>
      <c r="H248" s="12"/>
      <c r="I248" s="12"/>
      <c r="J248" s="12"/>
      <c r="K248" s="12"/>
      <c r="L248" s="12">
        <v>0</v>
      </c>
      <c r="M248" s="15">
        <f t="shared" si="67"/>
        <v>2</v>
      </c>
      <c r="N248" s="15">
        <f t="shared" si="65"/>
        <v>0</v>
      </c>
      <c r="O248" s="20"/>
      <c r="P248" s="12">
        <f t="shared" si="66"/>
        <v>0</v>
      </c>
      <c r="Q248" s="20"/>
    </row>
    <row r="249" spans="1:20" x14ac:dyDescent="0.3">
      <c r="A249" s="1">
        <f t="shared" si="69"/>
        <v>9</v>
      </c>
      <c r="B249" s="4" t="s">
        <v>254</v>
      </c>
      <c r="C249" s="3" t="s">
        <v>235</v>
      </c>
      <c r="D249" s="12" t="s">
        <v>40</v>
      </c>
      <c r="E249" s="12" t="s">
        <v>40</v>
      </c>
      <c r="F249" s="12" t="s">
        <v>40</v>
      </c>
      <c r="G249" s="12"/>
      <c r="H249" s="12" t="s">
        <v>43</v>
      </c>
      <c r="I249" s="12" t="s">
        <v>43</v>
      </c>
      <c r="J249" s="12"/>
      <c r="K249" s="12"/>
      <c r="L249" s="12">
        <v>72000</v>
      </c>
      <c r="M249" s="15">
        <f t="shared" si="67"/>
        <v>8</v>
      </c>
      <c r="N249" s="15">
        <f t="shared" si="65"/>
        <v>0</v>
      </c>
      <c r="O249" s="12">
        <v>72000</v>
      </c>
      <c r="P249" s="12">
        <f t="shared" si="66"/>
        <v>6000</v>
      </c>
      <c r="Q249" s="12">
        <f t="shared" si="68"/>
        <v>6000</v>
      </c>
      <c r="S249" t="s">
        <v>76</v>
      </c>
      <c r="T249" t="s">
        <v>151</v>
      </c>
    </row>
    <row r="250" spans="1:20" x14ac:dyDescent="0.3">
      <c r="A250" s="1">
        <f t="shared" si="69"/>
        <v>10</v>
      </c>
      <c r="B250" s="2" t="s">
        <v>238</v>
      </c>
      <c r="C250" s="3" t="s">
        <v>235</v>
      </c>
      <c r="D250" s="12" t="s">
        <v>40</v>
      </c>
      <c r="E250" s="12" t="s">
        <v>40</v>
      </c>
      <c r="F250" s="12"/>
      <c r="G250" s="12"/>
      <c r="H250" s="12" t="s">
        <v>40</v>
      </c>
      <c r="I250" s="12"/>
      <c r="J250" s="12"/>
      <c r="K250" s="12"/>
      <c r="L250" s="12">
        <v>0</v>
      </c>
      <c r="M250" s="15">
        <f t="shared" si="67"/>
        <v>5</v>
      </c>
      <c r="N250" s="15">
        <f t="shared" si="65"/>
        <v>0</v>
      </c>
      <c r="O250" s="20"/>
      <c r="P250" s="12">
        <f t="shared" si="66"/>
        <v>0</v>
      </c>
      <c r="Q250" s="20"/>
    </row>
    <row r="251" spans="1:20" x14ac:dyDescent="0.3">
      <c r="A251" s="1">
        <f t="shared" si="69"/>
        <v>11</v>
      </c>
      <c r="B251" s="2">
        <v>16658418</v>
      </c>
      <c r="C251" s="3" t="s">
        <v>235</v>
      </c>
      <c r="D251" s="12" t="s">
        <v>40</v>
      </c>
      <c r="E251" s="12" t="s">
        <v>40</v>
      </c>
      <c r="F251" s="12" t="s">
        <v>40</v>
      </c>
      <c r="G251" s="12"/>
      <c r="H251" s="12"/>
      <c r="I251" s="12"/>
      <c r="J251" s="12"/>
      <c r="K251" s="12"/>
      <c r="L251" s="12">
        <v>118057.72</v>
      </c>
      <c r="M251" s="15">
        <f t="shared" si="67"/>
        <v>4</v>
      </c>
      <c r="N251" s="15">
        <f t="shared" si="65"/>
        <v>0</v>
      </c>
      <c r="O251" s="12">
        <v>118057.72</v>
      </c>
      <c r="P251" s="12">
        <f t="shared" si="66"/>
        <v>9838.1433333333334</v>
      </c>
      <c r="Q251" s="12">
        <f t="shared" si="68"/>
        <v>9838.1433333333334</v>
      </c>
    </row>
    <row r="252" spans="1:20" x14ac:dyDescent="0.3">
      <c r="A252" s="1">
        <f t="shared" si="69"/>
        <v>12</v>
      </c>
      <c r="B252" s="2">
        <v>10219991</v>
      </c>
      <c r="C252" s="3" t="s">
        <v>235</v>
      </c>
      <c r="D252" s="12" t="s">
        <v>40</v>
      </c>
      <c r="E252" s="12" t="s">
        <v>40</v>
      </c>
      <c r="F252" s="12"/>
      <c r="G252" s="12"/>
      <c r="H252" s="12" t="s">
        <v>40</v>
      </c>
      <c r="I252" s="12"/>
      <c r="J252" s="12"/>
      <c r="K252" s="12"/>
      <c r="L252" s="12">
        <v>0</v>
      </c>
      <c r="M252" s="15">
        <f t="shared" si="67"/>
        <v>5</v>
      </c>
      <c r="N252" s="15">
        <f t="shared" si="65"/>
        <v>0</v>
      </c>
      <c r="O252" s="20"/>
      <c r="P252" s="12">
        <f t="shared" si="66"/>
        <v>0</v>
      </c>
      <c r="Q252" s="20"/>
    </row>
    <row r="253" spans="1:20" x14ac:dyDescent="0.3">
      <c r="A253" s="1">
        <f t="shared" si="69"/>
        <v>13</v>
      </c>
      <c r="B253" s="2" t="s">
        <v>239</v>
      </c>
      <c r="C253" s="3" t="s">
        <v>235</v>
      </c>
      <c r="D253" s="12" t="s">
        <v>40</v>
      </c>
      <c r="E253" s="12" t="s">
        <v>40</v>
      </c>
      <c r="F253" s="12"/>
      <c r="G253" s="12"/>
      <c r="H253" s="12" t="s">
        <v>40</v>
      </c>
      <c r="I253" s="12" t="s">
        <v>40</v>
      </c>
      <c r="J253" s="12" t="s">
        <v>40</v>
      </c>
      <c r="K253" s="12"/>
      <c r="L253" s="12">
        <v>0</v>
      </c>
      <c r="M253" s="15">
        <f t="shared" si="67"/>
        <v>20</v>
      </c>
      <c r="N253" s="15">
        <f t="shared" si="65"/>
        <v>0</v>
      </c>
      <c r="O253" s="20"/>
      <c r="P253" s="12">
        <f t="shared" si="66"/>
        <v>0</v>
      </c>
      <c r="Q253" s="20"/>
    </row>
    <row r="254" spans="1:20" x14ac:dyDescent="0.3">
      <c r="A254" s="1">
        <f t="shared" si="69"/>
        <v>14</v>
      </c>
      <c r="B254" s="2" t="s">
        <v>240</v>
      </c>
      <c r="C254" s="3" t="s">
        <v>235</v>
      </c>
      <c r="D254" s="12" t="s">
        <v>40</v>
      </c>
      <c r="E254" s="12" t="s">
        <v>40</v>
      </c>
      <c r="F254" s="12" t="s">
        <v>40</v>
      </c>
      <c r="G254" s="12"/>
      <c r="H254" s="12"/>
      <c r="I254" s="12"/>
      <c r="J254" s="12"/>
      <c r="K254" s="12"/>
      <c r="L254" s="12">
        <v>15600</v>
      </c>
      <c r="M254" s="15">
        <f t="shared" si="67"/>
        <v>4</v>
      </c>
      <c r="N254" s="15">
        <f t="shared" si="65"/>
        <v>0</v>
      </c>
      <c r="O254" s="12">
        <v>15600</v>
      </c>
      <c r="P254" s="12">
        <f t="shared" si="66"/>
        <v>1300</v>
      </c>
      <c r="Q254" s="12">
        <f t="shared" si="68"/>
        <v>1300</v>
      </c>
    </row>
    <row r="255" spans="1:20" x14ac:dyDescent="0.3">
      <c r="A255" s="1">
        <f t="shared" si="69"/>
        <v>15</v>
      </c>
      <c r="B255" s="4" t="s">
        <v>255</v>
      </c>
      <c r="C255" s="3" t="s">
        <v>235</v>
      </c>
      <c r="D255" s="12" t="s">
        <v>40</v>
      </c>
      <c r="E255" s="12" t="s">
        <v>40</v>
      </c>
      <c r="F255" s="12"/>
      <c r="G255" s="12"/>
      <c r="H255" s="12" t="s">
        <v>40</v>
      </c>
      <c r="I255" s="12" t="s">
        <v>40</v>
      </c>
      <c r="J255" s="12" t="s">
        <v>40</v>
      </c>
      <c r="K255" s="12"/>
      <c r="L255" s="12">
        <v>0</v>
      </c>
      <c r="M255" s="15">
        <f t="shared" si="67"/>
        <v>20</v>
      </c>
      <c r="N255" s="15">
        <f t="shared" si="65"/>
        <v>0</v>
      </c>
      <c r="O255" s="20"/>
      <c r="P255" s="12">
        <f t="shared" si="66"/>
        <v>0</v>
      </c>
      <c r="Q255" s="20"/>
    </row>
    <row r="256" spans="1:20" x14ac:dyDescent="0.3">
      <c r="A256" s="1">
        <f t="shared" si="69"/>
        <v>16</v>
      </c>
      <c r="B256" s="2" t="s">
        <v>241</v>
      </c>
      <c r="C256" s="3" t="s">
        <v>235</v>
      </c>
      <c r="D256" s="12" t="s">
        <v>40</v>
      </c>
      <c r="E256" s="12" t="s">
        <v>40</v>
      </c>
      <c r="F256" s="12"/>
      <c r="G256" s="12" t="s">
        <v>40</v>
      </c>
      <c r="H256" s="12"/>
      <c r="I256" s="12"/>
      <c r="J256" s="12"/>
      <c r="K256" s="12"/>
      <c r="L256" s="12">
        <v>0</v>
      </c>
      <c r="M256" s="15">
        <f t="shared" si="67"/>
        <v>4</v>
      </c>
      <c r="N256" s="15">
        <f t="shared" si="65"/>
        <v>0</v>
      </c>
      <c r="O256" s="20"/>
      <c r="P256" s="12">
        <f t="shared" si="66"/>
        <v>0</v>
      </c>
      <c r="Q256" s="20"/>
    </row>
    <row r="257" spans="1:18" x14ac:dyDescent="0.3">
      <c r="A257" s="1">
        <f t="shared" si="69"/>
        <v>17</v>
      </c>
      <c r="B257" s="4" t="s">
        <v>256</v>
      </c>
      <c r="C257" s="3" t="s">
        <v>235</v>
      </c>
      <c r="D257" s="12" t="s">
        <v>40</v>
      </c>
      <c r="E257" s="12" t="s">
        <v>40</v>
      </c>
      <c r="F257" s="12"/>
      <c r="G257" s="12"/>
      <c r="H257" s="12" t="s">
        <v>40</v>
      </c>
      <c r="I257" s="12" t="s">
        <v>40</v>
      </c>
      <c r="J257" s="12" t="s">
        <v>40</v>
      </c>
      <c r="K257" s="12"/>
      <c r="L257" s="12">
        <v>0</v>
      </c>
      <c r="M257" s="15">
        <f t="shared" si="67"/>
        <v>20</v>
      </c>
      <c r="N257" s="15">
        <f t="shared" si="65"/>
        <v>0</v>
      </c>
      <c r="O257" s="20"/>
      <c r="P257" s="12">
        <f t="shared" si="66"/>
        <v>0</v>
      </c>
      <c r="Q257" s="20"/>
    </row>
    <row r="258" spans="1:18" x14ac:dyDescent="0.3">
      <c r="A258" s="1">
        <f t="shared" si="69"/>
        <v>18</v>
      </c>
      <c r="B258" s="2">
        <v>25459604</v>
      </c>
      <c r="C258" s="3" t="s">
        <v>235</v>
      </c>
      <c r="D258" s="12" t="s">
        <v>40</v>
      </c>
      <c r="E258" s="12" t="s">
        <v>40</v>
      </c>
      <c r="F258" s="12"/>
      <c r="G258" s="12"/>
      <c r="H258" s="12"/>
      <c r="I258" s="12"/>
      <c r="J258" s="12"/>
      <c r="K258" s="12"/>
      <c r="L258" s="12">
        <v>10000</v>
      </c>
      <c r="M258" s="15">
        <f t="shared" si="67"/>
        <v>2</v>
      </c>
      <c r="N258" s="15">
        <f t="shared" si="65"/>
        <v>0</v>
      </c>
      <c r="O258" s="12">
        <v>10000</v>
      </c>
      <c r="P258" s="12">
        <f t="shared" si="66"/>
        <v>833.33333333333337</v>
      </c>
      <c r="Q258" s="12">
        <f t="shared" si="68"/>
        <v>833.33333333333337</v>
      </c>
    </row>
    <row r="259" spans="1:18" x14ac:dyDescent="0.3">
      <c r="A259" s="1">
        <f t="shared" si="69"/>
        <v>19</v>
      </c>
      <c r="B259" s="2" t="s">
        <v>242</v>
      </c>
      <c r="C259" s="3" t="s">
        <v>235</v>
      </c>
      <c r="D259" s="12" t="s">
        <v>40</v>
      </c>
      <c r="E259" s="12" t="s">
        <v>40</v>
      </c>
      <c r="F259" s="12"/>
      <c r="G259" s="12"/>
      <c r="H259" s="12" t="s">
        <v>40</v>
      </c>
      <c r="I259" s="12"/>
      <c r="J259" s="12"/>
      <c r="K259" s="12"/>
      <c r="L259" s="12">
        <v>107100</v>
      </c>
      <c r="M259" s="15">
        <f t="shared" si="67"/>
        <v>5</v>
      </c>
      <c r="N259" s="15">
        <f t="shared" si="65"/>
        <v>0</v>
      </c>
      <c r="O259" s="12">
        <v>107100</v>
      </c>
      <c r="P259" s="12">
        <f t="shared" si="66"/>
        <v>8925</v>
      </c>
      <c r="Q259" s="12">
        <f t="shared" si="68"/>
        <v>8925</v>
      </c>
    </row>
    <row r="260" spans="1:18" x14ac:dyDescent="0.3">
      <c r="A260" s="1">
        <f t="shared" si="69"/>
        <v>20</v>
      </c>
      <c r="B260" s="2" t="s">
        <v>243</v>
      </c>
      <c r="C260" s="3" t="s">
        <v>235</v>
      </c>
      <c r="D260" s="12" t="s">
        <v>40</v>
      </c>
      <c r="E260" s="12" t="s">
        <v>40</v>
      </c>
      <c r="F260" s="12" t="s">
        <v>40</v>
      </c>
      <c r="G260" s="12"/>
      <c r="H260" s="12"/>
      <c r="I260" s="12"/>
      <c r="J260" s="12"/>
      <c r="K260" s="12"/>
      <c r="L260" s="12">
        <v>0</v>
      </c>
      <c r="M260" s="15">
        <f t="shared" si="67"/>
        <v>4</v>
      </c>
      <c r="N260" s="15">
        <f t="shared" si="65"/>
        <v>0</v>
      </c>
      <c r="O260" s="20"/>
      <c r="P260" s="12">
        <f t="shared" si="66"/>
        <v>0</v>
      </c>
      <c r="Q260" s="20"/>
    </row>
    <row r="261" spans="1:18" x14ac:dyDescent="0.3">
      <c r="A261" s="1">
        <f t="shared" si="69"/>
        <v>21</v>
      </c>
      <c r="B261" s="2" t="s">
        <v>244</v>
      </c>
      <c r="C261" s="3" t="s">
        <v>235</v>
      </c>
      <c r="D261" s="12" t="s">
        <v>40</v>
      </c>
      <c r="E261" s="12" t="s">
        <v>40</v>
      </c>
      <c r="F261" s="12"/>
      <c r="G261" s="12"/>
      <c r="H261" s="12" t="s">
        <v>40</v>
      </c>
      <c r="I261" s="12" t="s">
        <v>40</v>
      </c>
      <c r="J261" s="12"/>
      <c r="K261" s="12"/>
      <c r="L261" s="12">
        <v>45000</v>
      </c>
      <c r="M261" s="15">
        <f t="shared" si="67"/>
        <v>10</v>
      </c>
      <c r="N261" s="15">
        <f t="shared" si="65"/>
        <v>0</v>
      </c>
      <c r="O261" s="12">
        <v>45000</v>
      </c>
      <c r="P261" s="12">
        <f t="shared" si="66"/>
        <v>3750</v>
      </c>
      <c r="Q261" s="12">
        <f t="shared" si="68"/>
        <v>3750</v>
      </c>
    </row>
    <row r="262" spans="1:18" x14ac:dyDescent="0.3">
      <c r="A262" s="1">
        <f t="shared" si="69"/>
        <v>22</v>
      </c>
      <c r="B262" s="2">
        <v>20020362</v>
      </c>
      <c r="C262" s="3" t="s">
        <v>235</v>
      </c>
      <c r="D262" s="12" t="s">
        <v>40</v>
      </c>
      <c r="E262" s="12" t="s">
        <v>40</v>
      </c>
      <c r="F262" s="12"/>
      <c r="G262" s="12"/>
      <c r="H262" s="12"/>
      <c r="I262" s="12"/>
      <c r="J262" s="12"/>
      <c r="K262" s="12"/>
      <c r="L262" s="12">
        <v>0</v>
      </c>
      <c r="M262" s="15">
        <f t="shared" si="67"/>
        <v>2</v>
      </c>
      <c r="N262" s="15">
        <f t="shared" si="65"/>
        <v>0</v>
      </c>
      <c r="O262" s="20"/>
      <c r="P262" s="12">
        <f t="shared" si="66"/>
        <v>0</v>
      </c>
      <c r="Q262" s="20"/>
    </row>
    <row r="263" spans="1:18" x14ac:dyDescent="0.3">
      <c r="A263" s="1">
        <f t="shared" si="69"/>
        <v>23</v>
      </c>
      <c r="B263" s="2">
        <v>16802775</v>
      </c>
      <c r="C263" s="3" t="s">
        <v>235</v>
      </c>
      <c r="D263" s="12" t="s">
        <v>40</v>
      </c>
      <c r="E263" s="12" t="s">
        <v>40</v>
      </c>
      <c r="F263" s="12"/>
      <c r="G263" s="12"/>
      <c r="H263" s="12" t="s">
        <v>40</v>
      </c>
      <c r="I263" s="12" t="s">
        <v>40</v>
      </c>
      <c r="J263" s="12"/>
      <c r="K263" s="12"/>
      <c r="L263" s="12">
        <v>68388</v>
      </c>
      <c r="M263" s="15">
        <f t="shared" si="67"/>
        <v>10</v>
      </c>
      <c r="N263" s="15">
        <f t="shared" si="65"/>
        <v>0</v>
      </c>
      <c r="O263" s="12">
        <v>68388</v>
      </c>
      <c r="P263" s="12">
        <f t="shared" si="66"/>
        <v>5699</v>
      </c>
      <c r="Q263" s="12">
        <f t="shared" si="68"/>
        <v>5699</v>
      </c>
    </row>
    <row r="264" spans="1:18" x14ac:dyDescent="0.3">
      <c r="A264" s="1">
        <f t="shared" si="69"/>
        <v>24</v>
      </c>
      <c r="B264" s="2">
        <v>25478461</v>
      </c>
      <c r="C264" s="3" t="s">
        <v>235</v>
      </c>
      <c r="D264" s="12" t="s">
        <v>40</v>
      </c>
      <c r="E264" s="12" t="s">
        <v>40</v>
      </c>
      <c r="F264" s="12"/>
      <c r="G264" s="12"/>
      <c r="H264" s="12"/>
      <c r="I264" s="12"/>
      <c r="J264" s="12"/>
      <c r="K264" s="12"/>
      <c r="L264" s="12">
        <v>0</v>
      </c>
      <c r="M264" s="15">
        <f t="shared" si="67"/>
        <v>2</v>
      </c>
      <c r="N264" s="15">
        <f t="shared" si="65"/>
        <v>0</v>
      </c>
      <c r="O264" s="20"/>
      <c r="P264" s="12">
        <f t="shared" si="66"/>
        <v>0</v>
      </c>
      <c r="Q264" s="20"/>
    </row>
    <row r="265" spans="1:18" x14ac:dyDescent="0.3">
      <c r="A265" s="1">
        <f t="shared" si="69"/>
        <v>25</v>
      </c>
      <c r="B265" s="2">
        <v>43749600</v>
      </c>
      <c r="C265" s="3" t="s">
        <v>235</v>
      </c>
      <c r="D265" s="12" t="s">
        <v>40</v>
      </c>
      <c r="E265" s="12" t="s">
        <v>40</v>
      </c>
      <c r="F265" s="12"/>
      <c r="G265" s="12"/>
      <c r="H265" s="12" t="s">
        <v>40</v>
      </c>
      <c r="I265" s="12"/>
      <c r="J265" s="12"/>
      <c r="K265" s="12"/>
      <c r="L265" s="12">
        <v>112920</v>
      </c>
      <c r="M265" s="15">
        <f t="shared" si="67"/>
        <v>5</v>
      </c>
      <c r="N265" s="15">
        <f t="shared" si="65"/>
        <v>0</v>
      </c>
      <c r="O265" s="12">
        <v>112920</v>
      </c>
      <c r="P265" s="12">
        <f t="shared" si="66"/>
        <v>9410</v>
      </c>
      <c r="Q265" s="12">
        <f t="shared" si="68"/>
        <v>9410</v>
      </c>
    </row>
    <row r="266" spans="1:18" x14ac:dyDescent="0.3">
      <c r="A266" s="1">
        <f t="shared" si="69"/>
        <v>26</v>
      </c>
      <c r="B266" s="2" t="s">
        <v>245</v>
      </c>
      <c r="C266" s="3" t="s">
        <v>235</v>
      </c>
      <c r="D266" s="12" t="s">
        <v>40</v>
      </c>
      <c r="E266" s="12" t="s">
        <v>40</v>
      </c>
      <c r="F266" s="12"/>
      <c r="G266" s="12"/>
      <c r="H266" s="12"/>
      <c r="I266" s="12"/>
      <c r="J266" s="12"/>
      <c r="K266" s="12"/>
      <c r="L266" s="12">
        <v>0</v>
      </c>
      <c r="M266" s="15">
        <f t="shared" si="67"/>
        <v>2</v>
      </c>
      <c r="N266" s="15">
        <f t="shared" si="65"/>
        <v>0</v>
      </c>
      <c r="O266" s="20"/>
      <c r="P266" s="12">
        <f t="shared" si="66"/>
        <v>0</v>
      </c>
      <c r="Q266" s="20"/>
    </row>
    <row r="267" spans="1:18" x14ac:dyDescent="0.3">
      <c r="A267" s="1">
        <f t="shared" si="69"/>
        <v>27</v>
      </c>
      <c r="B267" s="2" t="s">
        <v>246</v>
      </c>
      <c r="C267" s="3" t="s">
        <v>235</v>
      </c>
      <c r="D267" s="12" t="s">
        <v>40</v>
      </c>
      <c r="E267" s="12" t="s">
        <v>40</v>
      </c>
      <c r="F267" s="12"/>
      <c r="G267" s="12"/>
      <c r="H267" s="12" t="s">
        <v>40</v>
      </c>
      <c r="I267" s="12" t="s">
        <v>40</v>
      </c>
      <c r="J267" s="12"/>
      <c r="K267" s="12"/>
      <c r="L267" s="12">
        <v>24444.81</v>
      </c>
      <c r="M267" s="15">
        <f t="shared" si="67"/>
        <v>10</v>
      </c>
      <c r="N267" s="15">
        <f t="shared" si="65"/>
        <v>0</v>
      </c>
      <c r="O267" s="12">
        <v>24444.81</v>
      </c>
      <c r="P267" s="12">
        <f t="shared" si="66"/>
        <v>2037.0675000000001</v>
      </c>
      <c r="Q267" s="12">
        <f t="shared" si="68"/>
        <v>2037.0675000000001</v>
      </c>
    </row>
    <row r="268" spans="1:18" x14ac:dyDescent="0.3">
      <c r="A268" s="1">
        <f t="shared" si="69"/>
        <v>28</v>
      </c>
      <c r="B268" s="2" t="s">
        <v>247</v>
      </c>
      <c r="C268" s="3" t="s">
        <v>235</v>
      </c>
      <c r="D268" s="12" t="s">
        <v>40</v>
      </c>
      <c r="E268" s="12" t="s">
        <v>40</v>
      </c>
      <c r="F268" s="12" t="s">
        <v>40</v>
      </c>
      <c r="G268" s="12"/>
      <c r="H268" s="12"/>
      <c r="I268" s="12"/>
      <c r="J268" s="12"/>
      <c r="K268" s="12"/>
      <c r="L268" s="12">
        <v>0</v>
      </c>
      <c r="M268" s="15">
        <f t="shared" si="67"/>
        <v>4</v>
      </c>
      <c r="N268" s="15">
        <f t="shared" si="65"/>
        <v>0</v>
      </c>
      <c r="O268" s="20"/>
      <c r="P268" s="12">
        <f t="shared" si="66"/>
        <v>0</v>
      </c>
      <c r="Q268" s="20"/>
    </row>
    <row r="269" spans="1:18" x14ac:dyDescent="0.3">
      <c r="A269" s="1">
        <f t="shared" si="69"/>
        <v>29</v>
      </c>
      <c r="B269" s="2" t="s">
        <v>248</v>
      </c>
      <c r="C269" s="3" t="s">
        <v>235</v>
      </c>
      <c r="D269" s="12" t="s">
        <v>40</v>
      </c>
      <c r="E269" s="12" t="s">
        <v>40</v>
      </c>
      <c r="F269" s="12"/>
      <c r="G269" s="12"/>
      <c r="H269" s="12" t="s">
        <v>40</v>
      </c>
      <c r="I269" s="12" t="s">
        <v>40</v>
      </c>
      <c r="J269" s="12"/>
      <c r="K269" s="12"/>
      <c r="L269" s="12">
        <v>96000</v>
      </c>
      <c r="M269" s="15">
        <f t="shared" si="67"/>
        <v>10</v>
      </c>
      <c r="N269" s="15">
        <f t="shared" si="65"/>
        <v>0</v>
      </c>
      <c r="O269" s="12">
        <v>96000</v>
      </c>
      <c r="P269" s="12">
        <f t="shared" si="66"/>
        <v>8000</v>
      </c>
      <c r="Q269" s="12">
        <f t="shared" si="68"/>
        <v>8000</v>
      </c>
    </row>
    <row r="270" spans="1:18" x14ac:dyDescent="0.3">
      <c r="A270" s="1">
        <f t="shared" si="69"/>
        <v>30</v>
      </c>
      <c r="B270" s="2">
        <v>10136751</v>
      </c>
      <c r="C270" s="3" t="s">
        <v>235</v>
      </c>
      <c r="D270" s="12" t="s">
        <v>40</v>
      </c>
      <c r="E270" s="12" t="s">
        <v>40</v>
      </c>
      <c r="F270" s="12"/>
      <c r="G270" s="12"/>
      <c r="H270" s="12" t="s">
        <v>40</v>
      </c>
      <c r="I270" s="12"/>
      <c r="J270" s="12"/>
      <c r="K270" s="12"/>
      <c r="L270" s="12">
        <v>88800</v>
      </c>
      <c r="M270" s="15">
        <f t="shared" si="67"/>
        <v>5</v>
      </c>
      <c r="N270" s="15">
        <f t="shared" si="65"/>
        <v>0</v>
      </c>
      <c r="O270" s="12">
        <v>88800</v>
      </c>
      <c r="P270" s="12">
        <f t="shared" si="66"/>
        <v>7400</v>
      </c>
      <c r="Q270" s="12">
        <f t="shared" si="68"/>
        <v>7400</v>
      </c>
    </row>
    <row r="271" spans="1:18" x14ac:dyDescent="0.3">
      <c r="L271" s="14">
        <f>+AVERAGE(L241:L270)</f>
        <v>46436.712333333337</v>
      </c>
      <c r="M271" s="14">
        <f>+AVERAGE(M241:M270)</f>
        <v>7.9666666666666668</v>
      </c>
      <c r="N271" s="14">
        <f>+SUM(N241:N270)</f>
        <v>0</v>
      </c>
      <c r="O271" s="14">
        <f>+AVERAGE(O241:O270)</f>
        <v>74351.62466666667</v>
      </c>
      <c r="P271" s="14">
        <f>+AVERAGE(P241:P270)</f>
        <v>3869.7260277777777</v>
      </c>
      <c r="Q271" s="14">
        <f>+AVERAGE(Q241:Q270)</f>
        <v>6195.9687222222228</v>
      </c>
      <c r="R271" s="14">
        <f>30-COUNTBLANK(R241:R270)</f>
        <v>0</v>
      </c>
    </row>
    <row r="272" spans="1:18" x14ac:dyDescent="0.3">
      <c r="L272" s="14">
        <f>+STDEV(L241:L270)</f>
        <v>65437.321954675521</v>
      </c>
      <c r="M272" s="14">
        <f>+STDEV(M241:M270)</f>
        <v>6.088334426750392</v>
      </c>
      <c r="N272" s="17"/>
      <c r="O272" s="14">
        <f>+STDEV(O241:O270)</f>
        <v>45324.224298511828</v>
      </c>
      <c r="P272" s="14">
        <f>+STDEV(P241:P270)</f>
        <v>5453.1101628896276</v>
      </c>
      <c r="Q272" s="14">
        <f>+STDEV(Q241:Q270)</f>
        <v>3777.0186915426539</v>
      </c>
    </row>
    <row r="273" spans="1:17" x14ac:dyDescent="0.3">
      <c r="I273" s="15"/>
      <c r="J273" s="15"/>
      <c r="K273" s="11" t="s">
        <v>75</v>
      </c>
      <c r="L273" s="14">
        <f>+COUNTIF(L241:L270,0)</f>
        <v>14</v>
      </c>
      <c r="M273" s="14">
        <f>+COUNT(M241:M270)</f>
        <v>30</v>
      </c>
      <c r="P273" s="14">
        <f>+COUNTIF(P241:P270,0)</f>
        <v>14</v>
      </c>
    </row>
    <row r="275" spans="1:17" x14ac:dyDescent="0.3">
      <c r="A275" s="1">
        <v>1</v>
      </c>
      <c r="B275" s="2" t="s">
        <v>259</v>
      </c>
      <c r="C275" s="3" t="s">
        <v>250</v>
      </c>
      <c r="D275" s="12" t="s">
        <v>40</v>
      </c>
      <c r="E275" s="12" t="s">
        <v>40</v>
      </c>
      <c r="F275" s="12"/>
      <c r="G275" s="12"/>
      <c r="H275" s="12" t="s">
        <v>40</v>
      </c>
      <c r="I275" s="12" t="s">
        <v>40</v>
      </c>
      <c r="J275" s="12"/>
      <c r="K275" s="12"/>
      <c r="L275" s="12">
        <v>203321</v>
      </c>
      <c r="M275" s="15">
        <f>+IF(D275="X",1,0)+IF(E275="X",1,0)+IF(F275="X",2,0)+IF(G275="X",2,0)+IF(H275="X",3,IF(H275="Y",1.5,0))+IF(I275="X",5,IF(I275="Y",2.5,0))+IF(J275="X",10,IF(J275="Y",5,0))</f>
        <v>10</v>
      </c>
      <c r="N275" s="15">
        <f>+IF(K275="X",1,0)</f>
        <v>0</v>
      </c>
      <c r="O275" s="12">
        <v>25200</v>
      </c>
      <c r="P275" s="12">
        <f t="shared" ref="P275" si="70">+L275/12</f>
        <v>16943.416666666668</v>
      </c>
      <c r="Q275" s="12">
        <f t="shared" ref="Q275" si="71">+O275/12</f>
        <v>2100</v>
      </c>
    </row>
    <row r="276" spans="1:17" x14ac:dyDescent="0.3">
      <c r="A276" s="1">
        <f>+A275+1</f>
        <v>2</v>
      </c>
      <c r="B276" s="2" t="s">
        <v>260</v>
      </c>
      <c r="C276" s="3" t="s">
        <v>250</v>
      </c>
      <c r="D276" s="12" t="s">
        <v>40</v>
      </c>
      <c r="E276" s="12" t="s">
        <v>40</v>
      </c>
      <c r="F276" s="12"/>
      <c r="G276" s="12"/>
      <c r="H276" s="12"/>
      <c r="I276" s="12"/>
      <c r="J276" s="12"/>
      <c r="K276" s="12"/>
      <c r="L276" s="12">
        <v>25200</v>
      </c>
      <c r="M276" s="15">
        <f t="shared" ref="M276:M304" si="72">+IF(D276="X",1,0)+IF(E276="X",1,0)+IF(F276="X",2,0)+IF(G276="X",2,0)+IF(H276="X",3,IF(H276="Y",1.5,0))+IF(I276="X",5,IF(I276="Y",2.5,0))+IF(J276="X",10,IF(J276="Y",5,0))</f>
        <v>2</v>
      </c>
      <c r="N276" s="15">
        <f>+IF(K276="X",1,0)</f>
        <v>0</v>
      </c>
      <c r="O276" s="12">
        <v>25200</v>
      </c>
      <c r="P276" s="12">
        <f t="shared" ref="P276:P304" si="73">+L276/12</f>
        <v>2100</v>
      </c>
      <c r="Q276" s="12">
        <f t="shared" ref="Q276:Q304" si="74">+O276/12</f>
        <v>2100</v>
      </c>
    </row>
    <row r="277" spans="1:17" x14ac:dyDescent="0.3">
      <c r="A277" s="1">
        <f t="shared" ref="A277:A304" si="75">+A276+1</f>
        <v>3</v>
      </c>
      <c r="B277" s="2" t="s">
        <v>261</v>
      </c>
      <c r="C277" s="3" t="s">
        <v>250</v>
      </c>
      <c r="D277" s="12" t="s">
        <v>40</v>
      </c>
      <c r="E277" s="12" t="s">
        <v>40</v>
      </c>
      <c r="F277" s="12"/>
      <c r="G277" s="12"/>
      <c r="H277" s="12" t="s">
        <v>40</v>
      </c>
      <c r="I277" s="12"/>
      <c r="J277" s="12"/>
      <c r="K277" s="12"/>
      <c r="L277" s="12">
        <v>567951</v>
      </c>
      <c r="M277" s="15">
        <f t="shared" si="72"/>
        <v>5</v>
      </c>
      <c r="N277" s="15">
        <f>+IF(K277="X",1,0)</f>
        <v>0</v>
      </c>
      <c r="O277" s="20"/>
      <c r="P277" s="12">
        <f t="shared" si="73"/>
        <v>47329.25</v>
      </c>
      <c r="Q277" s="20"/>
    </row>
    <row r="278" spans="1:17" x14ac:dyDescent="0.3">
      <c r="A278" s="1">
        <f t="shared" si="75"/>
        <v>4</v>
      </c>
      <c r="B278" s="19"/>
      <c r="C278" s="9"/>
      <c r="D278" s="13"/>
      <c r="E278" s="13"/>
      <c r="F278" s="13"/>
      <c r="G278" s="13"/>
      <c r="H278" s="13"/>
      <c r="I278" s="13"/>
      <c r="J278" s="13"/>
      <c r="K278" s="13"/>
      <c r="L278" s="13"/>
      <c r="M278" s="16"/>
      <c r="N278" s="16"/>
      <c r="O278" s="13"/>
      <c r="P278" s="13"/>
      <c r="Q278" s="13"/>
    </row>
    <row r="279" spans="1:17" x14ac:dyDescent="0.3">
      <c r="A279" s="1">
        <f t="shared" si="75"/>
        <v>5</v>
      </c>
      <c r="B279" s="18" t="s">
        <v>262</v>
      </c>
      <c r="C279" s="3" t="s">
        <v>250</v>
      </c>
      <c r="D279" s="12" t="s">
        <v>40</v>
      </c>
      <c r="E279" s="12" t="s">
        <v>40</v>
      </c>
      <c r="F279" s="12"/>
      <c r="G279" s="12"/>
      <c r="H279" s="12" t="s">
        <v>40</v>
      </c>
      <c r="I279" s="12"/>
      <c r="J279" s="12"/>
      <c r="K279" s="12"/>
      <c r="L279" s="12">
        <v>102984</v>
      </c>
      <c r="M279" s="15">
        <f t="shared" ref="M279" si="76">+IF(D279="X",1,0)+IF(E279="X",1,0)+IF(F279="X",2,0)+IF(G279="X",2,0)+IF(H279="X",3,IF(H279="Y",1.5,0))+IF(I279="X",5,IF(I279="Y",2.5,0))+IF(J279="X",10,IF(J279="Y",5,0))</f>
        <v>5</v>
      </c>
      <c r="N279" s="15">
        <f t="shared" ref="N279:N293" si="77">+IF(K279="X",1,0)</f>
        <v>0</v>
      </c>
      <c r="O279" s="12">
        <v>102984</v>
      </c>
      <c r="P279" s="12">
        <f t="shared" ref="P279" si="78">+L279/12</f>
        <v>8582</v>
      </c>
      <c r="Q279" s="12">
        <f t="shared" ref="Q279" si="79">+O279/12</f>
        <v>8582</v>
      </c>
    </row>
    <row r="280" spans="1:17" x14ac:dyDescent="0.3">
      <c r="A280" s="1">
        <f t="shared" si="75"/>
        <v>6</v>
      </c>
      <c r="B280" s="2" t="s">
        <v>263</v>
      </c>
      <c r="C280" s="3" t="s">
        <v>250</v>
      </c>
      <c r="D280" s="12" t="s">
        <v>40</v>
      </c>
      <c r="E280" s="12" t="s">
        <v>40</v>
      </c>
      <c r="F280" s="12"/>
      <c r="G280" s="12"/>
      <c r="H280" s="12" t="s">
        <v>40</v>
      </c>
      <c r="I280" s="12"/>
      <c r="J280" s="12"/>
      <c r="K280" s="12"/>
      <c r="L280" s="12">
        <v>57842</v>
      </c>
      <c r="M280" s="15">
        <f t="shared" si="72"/>
        <v>5</v>
      </c>
      <c r="N280" s="15">
        <f t="shared" si="77"/>
        <v>0</v>
      </c>
      <c r="O280" s="12">
        <v>57842</v>
      </c>
      <c r="P280" s="12">
        <f t="shared" si="73"/>
        <v>4820.166666666667</v>
      </c>
      <c r="Q280" s="12">
        <f t="shared" si="74"/>
        <v>4820.166666666667</v>
      </c>
    </row>
    <row r="281" spans="1:17" x14ac:dyDescent="0.3">
      <c r="A281" s="1">
        <f t="shared" si="75"/>
        <v>7</v>
      </c>
      <c r="B281" s="2" t="s">
        <v>264</v>
      </c>
      <c r="C281" s="3" t="s">
        <v>250</v>
      </c>
      <c r="D281" s="12" t="s">
        <v>40</v>
      </c>
      <c r="E281" s="12" t="s">
        <v>40</v>
      </c>
      <c r="F281" s="12"/>
      <c r="G281" s="12"/>
      <c r="H281" s="12" t="s">
        <v>40</v>
      </c>
      <c r="I281" s="12"/>
      <c r="J281" s="12"/>
      <c r="K281" s="12"/>
      <c r="L281" s="12">
        <v>90000</v>
      </c>
      <c r="M281" s="15">
        <f t="shared" si="72"/>
        <v>5</v>
      </c>
      <c r="N281" s="15">
        <f t="shared" si="77"/>
        <v>0</v>
      </c>
      <c r="O281" s="12">
        <v>90000</v>
      </c>
      <c r="P281" s="12">
        <f t="shared" si="73"/>
        <v>7500</v>
      </c>
      <c r="Q281" s="12">
        <f t="shared" si="74"/>
        <v>7500</v>
      </c>
    </row>
    <row r="282" spans="1:17" x14ac:dyDescent="0.3">
      <c r="A282" s="1">
        <f t="shared" si="75"/>
        <v>8</v>
      </c>
      <c r="B282" s="18" t="s">
        <v>265</v>
      </c>
      <c r="C282" s="3" t="s">
        <v>250</v>
      </c>
      <c r="D282" s="12" t="s">
        <v>40</v>
      </c>
      <c r="E282" s="12" t="s">
        <v>40</v>
      </c>
      <c r="F282" s="12"/>
      <c r="G282" s="12"/>
      <c r="H282" s="12" t="s">
        <v>40</v>
      </c>
      <c r="I282" s="12" t="s">
        <v>40</v>
      </c>
      <c r="J282" s="12"/>
      <c r="K282" s="12"/>
      <c r="L282" s="12">
        <v>360000</v>
      </c>
      <c r="M282" s="15">
        <f t="shared" si="72"/>
        <v>10</v>
      </c>
      <c r="N282" s="15">
        <f t="shared" si="77"/>
        <v>0</v>
      </c>
      <c r="O282" s="12">
        <v>360000</v>
      </c>
      <c r="P282" s="12">
        <f t="shared" si="73"/>
        <v>30000</v>
      </c>
      <c r="Q282" s="12">
        <f t="shared" si="74"/>
        <v>30000</v>
      </c>
    </row>
    <row r="283" spans="1:17" x14ac:dyDescent="0.3">
      <c r="A283" s="1">
        <f t="shared" si="75"/>
        <v>9</v>
      </c>
      <c r="B283" s="2" t="s">
        <v>266</v>
      </c>
      <c r="C283" s="3" t="s">
        <v>250</v>
      </c>
      <c r="D283" s="12" t="s">
        <v>40</v>
      </c>
      <c r="E283" s="12" t="s">
        <v>40</v>
      </c>
      <c r="F283" s="12"/>
      <c r="G283" s="12"/>
      <c r="H283" s="12" t="s">
        <v>40</v>
      </c>
      <c r="I283" s="12"/>
      <c r="J283" s="12"/>
      <c r="K283" s="12"/>
      <c r="L283" s="12">
        <v>23210</v>
      </c>
      <c r="M283" s="15">
        <f t="shared" si="72"/>
        <v>5</v>
      </c>
      <c r="N283" s="15">
        <f t="shared" si="77"/>
        <v>0</v>
      </c>
      <c r="O283" s="12">
        <v>23210</v>
      </c>
      <c r="P283" s="12">
        <f t="shared" si="73"/>
        <v>1934.1666666666667</v>
      </c>
      <c r="Q283" s="12">
        <f t="shared" si="74"/>
        <v>1934.1666666666667</v>
      </c>
    </row>
    <row r="284" spans="1:17" x14ac:dyDescent="0.3">
      <c r="A284" s="1">
        <f t="shared" si="75"/>
        <v>10</v>
      </c>
      <c r="B284" s="2" t="s">
        <v>267</v>
      </c>
      <c r="C284" s="3" t="s">
        <v>250</v>
      </c>
      <c r="D284" s="12" t="s">
        <v>40</v>
      </c>
      <c r="E284" s="12" t="s">
        <v>40</v>
      </c>
      <c r="F284" s="12"/>
      <c r="G284" s="12"/>
      <c r="H284" s="12" t="s">
        <v>40</v>
      </c>
      <c r="I284" s="12"/>
      <c r="J284" s="12"/>
      <c r="K284" s="12"/>
      <c r="L284" s="12">
        <v>12000</v>
      </c>
      <c r="M284" s="15">
        <f t="shared" si="72"/>
        <v>5</v>
      </c>
      <c r="N284" s="15">
        <f t="shared" si="77"/>
        <v>0</v>
      </c>
      <c r="O284" s="12">
        <v>12000</v>
      </c>
      <c r="P284" s="12">
        <f t="shared" si="73"/>
        <v>1000</v>
      </c>
      <c r="Q284" s="12">
        <f t="shared" si="74"/>
        <v>1000</v>
      </c>
    </row>
    <row r="285" spans="1:17" x14ac:dyDescent="0.3">
      <c r="A285" s="1">
        <f t="shared" si="75"/>
        <v>11</v>
      </c>
      <c r="B285" s="2" t="s">
        <v>268</v>
      </c>
      <c r="C285" s="3" t="s">
        <v>250</v>
      </c>
      <c r="D285" s="12" t="s">
        <v>40</v>
      </c>
      <c r="E285" s="12" t="s">
        <v>40</v>
      </c>
      <c r="F285" s="12"/>
      <c r="G285" s="12"/>
      <c r="H285" s="12" t="s">
        <v>40</v>
      </c>
      <c r="I285" s="12"/>
      <c r="J285" s="12"/>
      <c r="K285" s="12"/>
      <c r="L285" s="12">
        <v>211100</v>
      </c>
      <c r="M285" s="15">
        <f t="shared" si="72"/>
        <v>5</v>
      </c>
      <c r="N285" s="15">
        <f t="shared" si="77"/>
        <v>0</v>
      </c>
      <c r="O285" s="12">
        <v>211100</v>
      </c>
      <c r="P285" s="12">
        <f t="shared" si="73"/>
        <v>17591.666666666668</v>
      </c>
      <c r="Q285" s="12">
        <f t="shared" si="74"/>
        <v>17591.666666666668</v>
      </c>
    </row>
    <row r="286" spans="1:17" x14ac:dyDescent="0.3">
      <c r="A286" s="1">
        <f t="shared" si="75"/>
        <v>12</v>
      </c>
      <c r="B286" s="18" t="s">
        <v>269</v>
      </c>
      <c r="C286" s="3" t="s">
        <v>250</v>
      </c>
      <c r="D286" s="12" t="s">
        <v>40</v>
      </c>
      <c r="E286" s="12" t="s">
        <v>40</v>
      </c>
      <c r="F286" s="12"/>
      <c r="G286" s="12"/>
      <c r="H286" s="12" t="s">
        <v>40</v>
      </c>
      <c r="I286" s="12"/>
      <c r="J286" s="12"/>
      <c r="K286" s="12"/>
      <c r="L286" s="12">
        <v>25150</v>
      </c>
      <c r="M286" s="15">
        <f t="shared" si="72"/>
        <v>5</v>
      </c>
      <c r="N286" s="15">
        <f t="shared" si="77"/>
        <v>0</v>
      </c>
      <c r="O286" s="12">
        <v>25150</v>
      </c>
      <c r="P286" s="12">
        <f t="shared" si="73"/>
        <v>2095.8333333333335</v>
      </c>
      <c r="Q286" s="12">
        <f t="shared" si="74"/>
        <v>2095.8333333333335</v>
      </c>
    </row>
    <row r="287" spans="1:17" x14ac:dyDescent="0.3">
      <c r="A287" s="1">
        <f t="shared" si="75"/>
        <v>13</v>
      </c>
      <c r="B287" s="2" t="s">
        <v>270</v>
      </c>
      <c r="C287" s="3" t="s">
        <v>250</v>
      </c>
      <c r="D287" s="12" t="s">
        <v>40</v>
      </c>
      <c r="E287" s="12" t="s">
        <v>40</v>
      </c>
      <c r="F287" s="12"/>
      <c r="G287" s="12"/>
      <c r="H287" s="12"/>
      <c r="I287" s="12"/>
      <c r="J287" s="12"/>
      <c r="K287" s="12"/>
      <c r="L287" s="12">
        <v>0</v>
      </c>
      <c r="M287" s="15">
        <f t="shared" si="72"/>
        <v>2</v>
      </c>
      <c r="N287" s="15">
        <f t="shared" si="77"/>
        <v>0</v>
      </c>
      <c r="O287" s="20"/>
      <c r="P287" s="12">
        <f t="shared" si="73"/>
        <v>0</v>
      </c>
      <c r="Q287" s="20"/>
    </row>
    <row r="288" spans="1:17" x14ac:dyDescent="0.3">
      <c r="A288" s="1">
        <f t="shared" si="75"/>
        <v>14</v>
      </c>
      <c r="B288" s="2" t="s">
        <v>271</v>
      </c>
      <c r="C288" s="3" t="s">
        <v>250</v>
      </c>
      <c r="D288" s="12" t="s">
        <v>40</v>
      </c>
      <c r="E288" s="12" t="s">
        <v>40</v>
      </c>
      <c r="F288" s="12"/>
      <c r="G288" s="12"/>
      <c r="H288" s="12" t="s">
        <v>40</v>
      </c>
      <c r="I288" s="12"/>
      <c r="J288" s="12"/>
      <c r="K288" s="12"/>
      <c r="L288" s="12">
        <v>50000</v>
      </c>
      <c r="M288" s="15">
        <f t="shared" si="72"/>
        <v>5</v>
      </c>
      <c r="N288" s="15">
        <f t="shared" si="77"/>
        <v>0</v>
      </c>
      <c r="O288" s="12">
        <v>50000</v>
      </c>
      <c r="P288" s="12">
        <f t="shared" si="73"/>
        <v>4166.666666666667</v>
      </c>
      <c r="Q288" s="12">
        <f t="shared" si="74"/>
        <v>4166.666666666667</v>
      </c>
    </row>
    <row r="289" spans="1:21" x14ac:dyDescent="0.3">
      <c r="A289" s="1">
        <f t="shared" si="75"/>
        <v>15</v>
      </c>
      <c r="B289" s="2" t="s">
        <v>272</v>
      </c>
      <c r="C289" s="3" t="s">
        <v>250</v>
      </c>
      <c r="D289" s="12" t="s">
        <v>40</v>
      </c>
      <c r="E289" s="12" t="s">
        <v>40</v>
      </c>
      <c r="F289" s="12"/>
      <c r="G289" s="12"/>
      <c r="H289" s="12" t="s">
        <v>40</v>
      </c>
      <c r="I289" s="12"/>
      <c r="J289" s="12"/>
      <c r="K289" s="12"/>
      <c r="L289" s="12">
        <v>40000</v>
      </c>
      <c r="M289" s="15">
        <f t="shared" si="72"/>
        <v>5</v>
      </c>
      <c r="N289" s="15">
        <f t="shared" si="77"/>
        <v>0</v>
      </c>
      <c r="O289" s="12">
        <v>40000</v>
      </c>
      <c r="P289" s="12">
        <f t="shared" si="73"/>
        <v>3333.3333333333335</v>
      </c>
      <c r="Q289" s="12">
        <f t="shared" si="74"/>
        <v>3333.3333333333335</v>
      </c>
    </row>
    <row r="290" spans="1:21" x14ac:dyDescent="0.3">
      <c r="A290" s="1">
        <f t="shared" si="75"/>
        <v>16</v>
      </c>
      <c r="B290" s="2" t="s">
        <v>273</v>
      </c>
      <c r="C290" s="3" t="s">
        <v>250</v>
      </c>
      <c r="D290" s="12" t="s">
        <v>40</v>
      </c>
      <c r="E290" s="12" t="s">
        <v>40</v>
      </c>
      <c r="F290" s="12" t="s">
        <v>40</v>
      </c>
      <c r="G290" s="12"/>
      <c r="H290" s="12" t="s">
        <v>40</v>
      </c>
      <c r="I290" s="12"/>
      <c r="J290" s="12"/>
      <c r="K290" s="12"/>
      <c r="L290" s="12">
        <v>38808</v>
      </c>
      <c r="M290" s="15">
        <f t="shared" si="72"/>
        <v>7</v>
      </c>
      <c r="N290" s="15">
        <f t="shared" si="77"/>
        <v>0</v>
      </c>
      <c r="O290" s="12">
        <v>38808</v>
      </c>
      <c r="P290" s="12">
        <f t="shared" si="73"/>
        <v>3234</v>
      </c>
      <c r="Q290" s="12">
        <f t="shared" si="74"/>
        <v>3234</v>
      </c>
    </row>
    <row r="291" spans="1:21" x14ac:dyDescent="0.3">
      <c r="A291" s="1">
        <f t="shared" si="75"/>
        <v>17</v>
      </c>
      <c r="B291" s="2" t="s">
        <v>274</v>
      </c>
      <c r="C291" s="3" t="s">
        <v>250</v>
      </c>
      <c r="D291" s="12" t="s">
        <v>40</v>
      </c>
      <c r="E291" s="12" t="s">
        <v>40</v>
      </c>
      <c r="F291" s="12" t="s">
        <v>40</v>
      </c>
      <c r="G291" s="12"/>
      <c r="H291" s="12" t="s">
        <v>40</v>
      </c>
      <c r="I291" s="12" t="s">
        <v>40</v>
      </c>
      <c r="J291" s="12"/>
      <c r="K291" s="12" t="s">
        <v>40</v>
      </c>
      <c r="L291" s="12">
        <v>111668</v>
      </c>
      <c r="M291" s="15">
        <f t="shared" si="72"/>
        <v>12</v>
      </c>
      <c r="N291" s="15">
        <f t="shared" si="77"/>
        <v>1</v>
      </c>
      <c r="O291" s="12">
        <v>111668</v>
      </c>
      <c r="P291" s="12">
        <f t="shared" si="73"/>
        <v>9305.6666666666661</v>
      </c>
      <c r="Q291" s="12">
        <f t="shared" si="74"/>
        <v>9305.6666666666661</v>
      </c>
    </row>
    <row r="292" spans="1:21" x14ac:dyDescent="0.3">
      <c r="A292" s="1">
        <f t="shared" si="75"/>
        <v>18</v>
      </c>
      <c r="B292" s="2" t="s">
        <v>275</v>
      </c>
      <c r="C292" s="3" t="s">
        <v>250</v>
      </c>
      <c r="D292" s="12" t="s">
        <v>40</v>
      </c>
      <c r="E292" s="12" t="s">
        <v>40</v>
      </c>
      <c r="F292" s="12"/>
      <c r="G292" s="12"/>
      <c r="H292" s="12" t="s">
        <v>40</v>
      </c>
      <c r="I292" s="12" t="s">
        <v>40</v>
      </c>
      <c r="J292" s="12"/>
      <c r="K292" s="12"/>
      <c r="L292" s="12">
        <v>75600</v>
      </c>
      <c r="M292" s="15">
        <f t="shared" si="72"/>
        <v>10</v>
      </c>
      <c r="N292" s="15">
        <f t="shared" si="77"/>
        <v>0</v>
      </c>
      <c r="O292" s="12">
        <v>75600</v>
      </c>
      <c r="P292" s="12">
        <f t="shared" si="73"/>
        <v>6300</v>
      </c>
      <c r="Q292" s="12">
        <f t="shared" si="74"/>
        <v>6300</v>
      </c>
    </row>
    <row r="293" spans="1:21" x14ac:dyDescent="0.3">
      <c r="A293" s="1">
        <f t="shared" si="75"/>
        <v>19</v>
      </c>
      <c r="B293" s="2" t="s">
        <v>276</v>
      </c>
      <c r="C293" s="3" t="s">
        <v>250</v>
      </c>
      <c r="D293" s="12" t="s">
        <v>40</v>
      </c>
      <c r="E293" s="12" t="s">
        <v>40</v>
      </c>
      <c r="F293" s="12" t="s">
        <v>40</v>
      </c>
      <c r="G293" s="12"/>
      <c r="H293" s="12" t="s">
        <v>40</v>
      </c>
      <c r="I293" s="12"/>
      <c r="J293" s="12"/>
      <c r="K293" s="12" t="s">
        <v>40</v>
      </c>
      <c r="L293" s="12">
        <v>24000</v>
      </c>
      <c r="M293" s="15">
        <f t="shared" si="72"/>
        <v>7</v>
      </c>
      <c r="N293" s="15">
        <f t="shared" si="77"/>
        <v>1</v>
      </c>
      <c r="O293" s="12">
        <v>24000</v>
      </c>
      <c r="P293" s="12">
        <f t="shared" si="73"/>
        <v>2000</v>
      </c>
      <c r="Q293" s="12">
        <f t="shared" si="74"/>
        <v>2000</v>
      </c>
    </row>
    <row r="294" spans="1:21" x14ac:dyDescent="0.3">
      <c r="A294" s="1">
        <f t="shared" si="75"/>
        <v>20</v>
      </c>
      <c r="B294" s="19"/>
      <c r="C294" s="9"/>
      <c r="D294" s="13"/>
      <c r="E294" s="13"/>
      <c r="F294" s="13"/>
      <c r="G294" s="13"/>
      <c r="H294" s="13"/>
      <c r="I294" s="13"/>
      <c r="J294" s="13"/>
      <c r="K294" s="13"/>
      <c r="L294" s="13"/>
      <c r="M294" s="16"/>
      <c r="N294" s="16"/>
      <c r="O294" s="13"/>
      <c r="P294" s="13"/>
      <c r="Q294" s="13"/>
    </row>
    <row r="295" spans="1:21" x14ac:dyDescent="0.3">
      <c r="A295" s="1">
        <f t="shared" si="75"/>
        <v>21</v>
      </c>
      <c r="B295" s="2" t="s">
        <v>277</v>
      </c>
      <c r="C295" s="3" t="s">
        <v>250</v>
      </c>
      <c r="D295" s="12" t="s">
        <v>40</v>
      </c>
      <c r="E295" s="12" t="s">
        <v>40</v>
      </c>
      <c r="F295" s="12" t="s">
        <v>40</v>
      </c>
      <c r="G295" s="12"/>
      <c r="H295" s="12"/>
      <c r="I295" s="12"/>
      <c r="J295" s="12"/>
      <c r="K295" s="12"/>
      <c r="L295" s="12">
        <v>39826.120000000003</v>
      </c>
      <c r="M295" s="15">
        <f t="shared" si="72"/>
        <v>4</v>
      </c>
      <c r="N295" s="15">
        <f t="shared" ref="N295:N304" si="80">+IF(K295="X",1,0)</f>
        <v>0</v>
      </c>
      <c r="O295" s="12">
        <v>39826.120000000003</v>
      </c>
      <c r="P295" s="12">
        <f t="shared" si="73"/>
        <v>3318.8433333333337</v>
      </c>
      <c r="Q295" s="12">
        <f t="shared" si="74"/>
        <v>3318.8433333333337</v>
      </c>
    </row>
    <row r="296" spans="1:21" x14ac:dyDescent="0.3">
      <c r="A296" s="1">
        <f t="shared" si="75"/>
        <v>22</v>
      </c>
      <c r="B296" s="2" t="s">
        <v>278</v>
      </c>
      <c r="C296" s="3" t="s">
        <v>250</v>
      </c>
      <c r="D296" s="12" t="s">
        <v>40</v>
      </c>
      <c r="E296" s="12" t="s">
        <v>40</v>
      </c>
      <c r="F296" s="12"/>
      <c r="G296" s="12"/>
      <c r="H296" s="12" t="s">
        <v>40</v>
      </c>
      <c r="I296" s="12"/>
      <c r="J296" s="12"/>
      <c r="K296" s="12"/>
      <c r="L296" s="12">
        <v>5300</v>
      </c>
      <c r="M296" s="15">
        <f t="shared" si="72"/>
        <v>5</v>
      </c>
      <c r="N296" s="15">
        <f t="shared" si="80"/>
        <v>0</v>
      </c>
      <c r="O296" s="12">
        <v>5300</v>
      </c>
      <c r="P296" s="12">
        <f t="shared" si="73"/>
        <v>441.66666666666669</v>
      </c>
      <c r="Q296" s="12">
        <f t="shared" si="74"/>
        <v>441.66666666666669</v>
      </c>
    </row>
    <row r="297" spans="1:21" x14ac:dyDescent="0.3">
      <c r="A297" s="1">
        <f t="shared" si="75"/>
        <v>23</v>
      </c>
      <c r="B297" s="2" t="s">
        <v>279</v>
      </c>
      <c r="C297" s="3" t="s">
        <v>250</v>
      </c>
      <c r="D297" s="12" t="s">
        <v>40</v>
      </c>
      <c r="E297" s="12" t="s">
        <v>40</v>
      </c>
      <c r="F297" s="12"/>
      <c r="G297" s="12"/>
      <c r="H297" s="12" t="s">
        <v>40</v>
      </c>
      <c r="I297" s="12" t="s">
        <v>40</v>
      </c>
      <c r="J297" s="12"/>
      <c r="K297" s="12"/>
      <c r="L297" s="12">
        <v>250380</v>
      </c>
      <c r="M297" s="15">
        <f t="shared" si="72"/>
        <v>10</v>
      </c>
      <c r="N297" s="15">
        <f t="shared" si="80"/>
        <v>0</v>
      </c>
      <c r="O297" s="12">
        <v>250380</v>
      </c>
      <c r="P297" s="12">
        <f t="shared" si="73"/>
        <v>20865</v>
      </c>
      <c r="Q297" s="12">
        <f t="shared" si="74"/>
        <v>20865</v>
      </c>
      <c r="U297" t="s">
        <v>280</v>
      </c>
    </row>
    <row r="298" spans="1:21" x14ac:dyDescent="0.3">
      <c r="A298" s="1">
        <f t="shared" si="75"/>
        <v>24</v>
      </c>
      <c r="B298" s="2" t="s">
        <v>281</v>
      </c>
      <c r="C298" s="3" t="s">
        <v>250</v>
      </c>
      <c r="D298" s="12" t="s">
        <v>40</v>
      </c>
      <c r="E298" s="12" t="s">
        <v>40</v>
      </c>
      <c r="F298" s="12"/>
      <c r="G298" s="12"/>
      <c r="H298" s="12" t="s">
        <v>40</v>
      </c>
      <c r="I298" s="12"/>
      <c r="J298" s="12"/>
      <c r="K298" s="12"/>
      <c r="L298" s="12">
        <v>132000</v>
      </c>
      <c r="M298" s="15">
        <f t="shared" si="72"/>
        <v>5</v>
      </c>
      <c r="N298" s="15">
        <f t="shared" si="80"/>
        <v>0</v>
      </c>
      <c r="O298" s="12">
        <v>132000</v>
      </c>
      <c r="P298" s="12">
        <f t="shared" si="73"/>
        <v>11000</v>
      </c>
      <c r="Q298" s="12">
        <f t="shared" si="74"/>
        <v>11000</v>
      </c>
    </row>
    <row r="299" spans="1:21" x14ac:dyDescent="0.3">
      <c r="A299" s="1">
        <f t="shared" si="75"/>
        <v>25</v>
      </c>
      <c r="B299" s="2" t="s">
        <v>282</v>
      </c>
      <c r="C299" s="3" t="s">
        <v>250</v>
      </c>
      <c r="D299" s="12" t="s">
        <v>40</v>
      </c>
      <c r="E299" s="12" t="s">
        <v>40</v>
      </c>
      <c r="F299" s="12"/>
      <c r="G299" s="12"/>
      <c r="H299" s="12" t="s">
        <v>40</v>
      </c>
      <c r="I299" s="12"/>
      <c r="J299" s="12"/>
      <c r="K299" s="12"/>
      <c r="L299" s="12">
        <v>15000</v>
      </c>
      <c r="M299" s="15">
        <f t="shared" si="72"/>
        <v>5</v>
      </c>
      <c r="N299" s="15">
        <f t="shared" si="80"/>
        <v>0</v>
      </c>
      <c r="O299" s="12">
        <v>15000</v>
      </c>
      <c r="P299" s="12">
        <f t="shared" si="73"/>
        <v>1250</v>
      </c>
      <c r="Q299" s="12">
        <f t="shared" si="74"/>
        <v>1250</v>
      </c>
    </row>
    <row r="300" spans="1:21" x14ac:dyDescent="0.3">
      <c r="A300" s="1">
        <f t="shared" si="75"/>
        <v>26</v>
      </c>
      <c r="B300" s="18" t="s">
        <v>283</v>
      </c>
      <c r="C300" s="3" t="s">
        <v>250</v>
      </c>
      <c r="D300" s="12" t="s">
        <v>40</v>
      </c>
      <c r="E300" s="12" t="s">
        <v>40</v>
      </c>
      <c r="F300" s="12" t="s">
        <v>40</v>
      </c>
      <c r="G300" s="12"/>
      <c r="H300" s="12"/>
      <c r="I300" s="12"/>
      <c r="J300" s="12"/>
      <c r="K300" s="12"/>
      <c r="L300" s="12">
        <v>46874</v>
      </c>
      <c r="M300" s="15">
        <f t="shared" si="72"/>
        <v>4</v>
      </c>
      <c r="N300" s="15">
        <f t="shared" si="80"/>
        <v>0</v>
      </c>
      <c r="O300" s="12">
        <v>46874</v>
      </c>
      <c r="P300" s="12">
        <f t="shared" si="73"/>
        <v>3906.1666666666665</v>
      </c>
      <c r="Q300" s="12">
        <f t="shared" si="74"/>
        <v>3906.1666666666665</v>
      </c>
    </row>
    <row r="301" spans="1:21" x14ac:dyDescent="0.3">
      <c r="A301" s="1">
        <f t="shared" si="75"/>
        <v>27</v>
      </c>
      <c r="B301" s="18" t="s">
        <v>284</v>
      </c>
      <c r="C301" s="3" t="s">
        <v>250</v>
      </c>
      <c r="D301" s="12" t="s">
        <v>40</v>
      </c>
      <c r="E301" s="12" t="s">
        <v>40</v>
      </c>
      <c r="F301" s="12"/>
      <c r="G301" s="12"/>
      <c r="H301" s="12" t="s">
        <v>40</v>
      </c>
      <c r="I301" s="12" t="s">
        <v>40</v>
      </c>
      <c r="J301" s="12"/>
      <c r="K301" s="12"/>
      <c r="L301" s="12">
        <v>3500</v>
      </c>
      <c r="M301" s="15">
        <f t="shared" si="72"/>
        <v>10</v>
      </c>
      <c r="N301" s="15">
        <f t="shared" si="80"/>
        <v>0</v>
      </c>
      <c r="O301" s="12">
        <v>3500</v>
      </c>
      <c r="P301" s="12">
        <f t="shared" si="73"/>
        <v>291.66666666666669</v>
      </c>
      <c r="Q301" s="12">
        <f t="shared" si="74"/>
        <v>291.66666666666669</v>
      </c>
    </row>
    <row r="302" spans="1:21" x14ac:dyDescent="0.3">
      <c r="A302" s="1">
        <f t="shared" si="75"/>
        <v>28</v>
      </c>
      <c r="B302" s="2" t="s">
        <v>285</v>
      </c>
      <c r="C302" s="3" t="s">
        <v>250</v>
      </c>
      <c r="D302" s="12" t="s">
        <v>40</v>
      </c>
      <c r="E302" s="12" t="s">
        <v>40</v>
      </c>
      <c r="F302" s="12"/>
      <c r="G302" s="12"/>
      <c r="H302" s="12" t="s">
        <v>40</v>
      </c>
      <c r="I302" s="12"/>
      <c r="J302" s="12"/>
      <c r="K302" s="12"/>
      <c r="L302" s="12">
        <v>63560.800000000003</v>
      </c>
      <c r="M302" s="15">
        <f t="shared" si="72"/>
        <v>5</v>
      </c>
      <c r="N302" s="15">
        <f t="shared" si="80"/>
        <v>0</v>
      </c>
      <c r="O302" s="12">
        <v>63560.800000000003</v>
      </c>
      <c r="P302" s="12">
        <f t="shared" si="73"/>
        <v>5296.7333333333336</v>
      </c>
      <c r="Q302" s="12">
        <f t="shared" si="74"/>
        <v>5296.7333333333336</v>
      </c>
    </row>
    <row r="303" spans="1:21" x14ac:dyDescent="0.3">
      <c r="A303" s="1">
        <f t="shared" si="75"/>
        <v>29</v>
      </c>
      <c r="B303" s="2" t="s">
        <v>286</v>
      </c>
      <c r="C303" s="3" t="s">
        <v>250</v>
      </c>
      <c r="D303" s="12" t="s">
        <v>40</v>
      </c>
      <c r="E303" s="12" t="s">
        <v>40</v>
      </c>
      <c r="F303" s="12"/>
      <c r="G303" s="12"/>
      <c r="H303" s="12" t="s">
        <v>40</v>
      </c>
      <c r="I303" s="12"/>
      <c r="J303" s="12"/>
      <c r="K303" s="12"/>
      <c r="L303" s="12">
        <v>42000</v>
      </c>
      <c r="M303" s="15">
        <f t="shared" si="72"/>
        <v>5</v>
      </c>
      <c r="N303" s="15">
        <f t="shared" si="80"/>
        <v>0</v>
      </c>
      <c r="O303" s="12">
        <v>42000</v>
      </c>
      <c r="P303" s="12">
        <f t="shared" si="73"/>
        <v>3500</v>
      </c>
      <c r="Q303" s="12">
        <f t="shared" si="74"/>
        <v>3500</v>
      </c>
    </row>
    <row r="304" spans="1:21" x14ac:dyDescent="0.3">
      <c r="A304" s="1">
        <f t="shared" si="75"/>
        <v>30</v>
      </c>
      <c r="B304" s="2" t="s">
        <v>287</v>
      </c>
      <c r="C304" s="3" t="s">
        <v>250</v>
      </c>
      <c r="D304" s="12" t="s">
        <v>40</v>
      </c>
      <c r="E304" s="12" t="s">
        <v>40</v>
      </c>
      <c r="F304" s="12"/>
      <c r="G304" s="12"/>
      <c r="H304" s="12" t="s">
        <v>40</v>
      </c>
      <c r="I304" s="12" t="s">
        <v>40</v>
      </c>
      <c r="J304" s="12" t="s">
        <v>40</v>
      </c>
      <c r="K304" s="12"/>
      <c r="L304" s="12">
        <v>290519</v>
      </c>
      <c r="M304" s="15">
        <f t="shared" si="72"/>
        <v>20</v>
      </c>
      <c r="N304" s="15">
        <f t="shared" si="80"/>
        <v>0</v>
      </c>
      <c r="O304" s="12">
        <v>290519</v>
      </c>
      <c r="P304" s="12">
        <f t="shared" si="73"/>
        <v>24209.916666666668</v>
      </c>
      <c r="Q304" s="12">
        <f t="shared" si="74"/>
        <v>24209.916666666668</v>
      </c>
    </row>
    <row r="305" spans="1:20" x14ac:dyDescent="0.3">
      <c r="L305" s="14">
        <f>+AVERAGE(L275:L304)</f>
        <v>103849.78285714285</v>
      </c>
      <c r="M305" s="14">
        <f>+AVERAGE(M275:M304)</f>
        <v>6.5357142857142856</v>
      </c>
      <c r="N305" s="14">
        <f>+SUM(N275:N304)</f>
        <v>2</v>
      </c>
      <c r="O305" s="14">
        <f>+AVERAGE(O275:O304)</f>
        <v>83143.150769230764</v>
      </c>
      <c r="P305" s="14">
        <f>+AVERAGE(P275:P304)</f>
        <v>8654.14857142857</v>
      </c>
      <c r="Q305" s="14">
        <f>+AVERAGE(Q275:Q304)</f>
        <v>6928.5958974358964</v>
      </c>
      <c r="R305" s="14">
        <f>30-COUNTBLANK(R275:R304)</f>
        <v>0</v>
      </c>
    </row>
    <row r="306" spans="1:20" x14ac:dyDescent="0.3">
      <c r="L306" s="14">
        <f>+STDEV(L275:L304)</f>
        <v>130360.48053912519</v>
      </c>
      <c r="M306" s="14">
        <f>+STDEV(M275:M304)</f>
        <v>3.6563708262493866</v>
      </c>
      <c r="N306" s="17"/>
      <c r="O306" s="14">
        <f>+STDEV(O275:O304)</f>
        <v>93338.684404738306</v>
      </c>
      <c r="P306" s="14">
        <f>+STDEV(P275:P304)</f>
        <v>10863.373378260436</v>
      </c>
      <c r="Q306" s="14">
        <f>+STDEV(Q275:Q304)</f>
        <v>7778.2237003948585</v>
      </c>
    </row>
    <row r="307" spans="1:20" x14ac:dyDescent="0.3">
      <c r="I307" s="15"/>
      <c r="J307" s="15"/>
      <c r="K307" s="11" t="s">
        <v>75</v>
      </c>
      <c r="L307" s="14">
        <f>+COUNTIF(L275:L304,0)</f>
        <v>1</v>
      </c>
      <c r="M307" s="14">
        <f>+COUNT(M275:M304)</f>
        <v>28</v>
      </c>
      <c r="P307" s="14">
        <f>+COUNTIF(P275:P304,0)</f>
        <v>1</v>
      </c>
    </row>
    <row r="309" spans="1:20" x14ac:dyDescent="0.3">
      <c r="A309" s="1">
        <v>1</v>
      </c>
      <c r="B309" s="2" t="s">
        <v>291</v>
      </c>
      <c r="C309" s="3" t="s">
        <v>187</v>
      </c>
      <c r="D309" s="12" t="s">
        <v>40</v>
      </c>
      <c r="E309" s="12" t="s">
        <v>40</v>
      </c>
      <c r="F309" s="12"/>
      <c r="G309" s="12"/>
      <c r="H309" s="12" t="s">
        <v>40</v>
      </c>
      <c r="I309" s="12" t="s">
        <v>40</v>
      </c>
      <c r="J309" s="12"/>
      <c r="K309" s="12"/>
      <c r="L309" s="12">
        <v>120000</v>
      </c>
      <c r="M309" s="15">
        <f>+IF(D309="X",1,0)+IF(E309="X",1,0)+IF(F309="X",2,0)+IF(G309="X",2,0)+IF(H309="X",3,IF(H309="Y",1.5,0))+IF(I309="X",5,IF(I309="Y",2.5,0))+IF(J309="X",10,IF(J309="Y",5,0))</f>
        <v>10</v>
      </c>
      <c r="N309" s="15">
        <f>+IF(K309="X",1,0)</f>
        <v>0</v>
      </c>
      <c r="O309" s="12">
        <v>15000</v>
      </c>
      <c r="P309" s="12">
        <f t="shared" ref="P309" si="81">+L309/12</f>
        <v>10000</v>
      </c>
      <c r="Q309" s="12">
        <f t="shared" ref="Q309" si="82">+O309/12</f>
        <v>1250</v>
      </c>
    </row>
    <row r="310" spans="1:20" x14ac:dyDescent="0.3">
      <c r="A310" s="1">
        <f>+A309+1</f>
        <v>2</v>
      </c>
      <c r="B310" s="2" t="s">
        <v>295</v>
      </c>
      <c r="C310" s="3" t="s">
        <v>187</v>
      </c>
      <c r="D310" s="12" t="s">
        <v>40</v>
      </c>
      <c r="E310" s="12" t="s">
        <v>40</v>
      </c>
      <c r="F310" s="12" t="s">
        <v>40</v>
      </c>
      <c r="G310" s="12"/>
      <c r="H310" s="12"/>
      <c r="I310" s="12"/>
      <c r="J310" s="12"/>
      <c r="K310" s="12"/>
      <c r="L310" s="12">
        <v>15000</v>
      </c>
      <c r="M310" s="15">
        <f t="shared" ref="M310:M338" si="83">+IF(D310="X",1,0)+IF(E310="X",1,0)+IF(F310="X",2,0)+IF(G310="X",2,0)+IF(H310="X",3,IF(H310="Y",1.5,0))+IF(I310="X",5,IF(I310="Y",2.5,0))+IF(J310="X",10,IF(J310="Y",5,0))</f>
        <v>4</v>
      </c>
      <c r="N310" s="15">
        <f t="shared" ref="N310:N338" si="84">+IF(K310="X",1,0)</f>
        <v>0</v>
      </c>
      <c r="O310" s="12">
        <v>15000</v>
      </c>
      <c r="P310" s="12">
        <f t="shared" ref="P310:P338" si="85">+L310/12</f>
        <v>1250</v>
      </c>
      <c r="Q310" s="12">
        <f t="shared" ref="Q310:Q338" si="86">+O310/12</f>
        <v>1250</v>
      </c>
    </row>
    <row r="311" spans="1:20" x14ac:dyDescent="0.3">
      <c r="A311" s="1">
        <f t="shared" ref="A311:A338" si="87">+A310+1</f>
        <v>3</v>
      </c>
      <c r="B311" s="28" t="s">
        <v>296</v>
      </c>
      <c r="C311" s="3" t="s">
        <v>187</v>
      </c>
      <c r="D311" s="12" t="s">
        <v>40</v>
      </c>
      <c r="E311" s="12" t="s">
        <v>40</v>
      </c>
      <c r="F311" s="12"/>
      <c r="G311" s="12"/>
      <c r="H311" s="12" t="s">
        <v>40</v>
      </c>
      <c r="I311" s="12"/>
      <c r="J311" s="12"/>
      <c r="K311" s="12" t="s">
        <v>40</v>
      </c>
      <c r="L311" s="12">
        <v>411650</v>
      </c>
      <c r="M311" s="15">
        <f t="shared" si="83"/>
        <v>5</v>
      </c>
      <c r="N311" s="15">
        <f t="shared" si="84"/>
        <v>1</v>
      </c>
      <c r="O311" s="20"/>
      <c r="P311" s="12">
        <f t="shared" si="85"/>
        <v>34304.166666666664</v>
      </c>
      <c r="Q311" s="20"/>
      <c r="R311" t="s">
        <v>184</v>
      </c>
      <c r="S311" t="s">
        <v>297</v>
      </c>
      <c r="T311" t="s">
        <v>151</v>
      </c>
    </row>
    <row r="312" spans="1:20" x14ac:dyDescent="0.3">
      <c r="A312" s="1">
        <f t="shared" si="87"/>
        <v>4</v>
      </c>
      <c r="B312" s="4" t="s">
        <v>298</v>
      </c>
      <c r="C312" s="3" t="s">
        <v>187</v>
      </c>
      <c r="D312" s="12" t="s">
        <v>40</v>
      </c>
      <c r="E312" s="12" t="s">
        <v>40</v>
      </c>
      <c r="F312" s="12" t="s">
        <v>40</v>
      </c>
      <c r="G312" s="12"/>
      <c r="H312" s="12"/>
      <c r="I312" s="12"/>
      <c r="J312" s="12"/>
      <c r="K312" s="12"/>
      <c r="L312" s="12">
        <v>15600</v>
      </c>
      <c r="M312" s="15">
        <f t="shared" si="83"/>
        <v>4</v>
      </c>
      <c r="N312" s="15">
        <f t="shared" si="84"/>
        <v>0</v>
      </c>
      <c r="O312" s="12">
        <v>15600</v>
      </c>
      <c r="P312" s="12">
        <f t="shared" si="85"/>
        <v>1300</v>
      </c>
      <c r="Q312" s="12">
        <f t="shared" si="86"/>
        <v>1300</v>
      </c>
    </row>
    <row r="313" spans="1:20" x14ac:dyDescent="0.3">
      <c r="A313" s="1">
        <f t="shared" si="87"/>
        <v>5</v>
      </c>
      <c r="B313" s="4" t="s">
        <v>299</v>
      </c>
      <c r="C313" s="3" t="s">
        <v>187</v>
      </c>
      <c r="D313" s="12" t="s">
        <v>40</v>
      </c>
      <c r="E313" s="12" t="s">
        <v>40</v>
      </c>
      <c r="F313" s="12"/>
      <c r="G313" s="12"/>
      <c r="H313" s="12" t="s">
        <v>40</v>
      </c>
      <c r="I313" s="12" t="s">
        <v>40</v>
      </c>
      <c r="J313" s="12"/>
      <c r="K313" s="12"/>
      <c r="L313" s="12">
        <v>32000</v>
      </c>
      <c r="M313" s="15">
        <f t="shared" si="83"/>
        <v>10</v>
      </c>
      <c r="N313" s="15">
        <f t="shared" si="84"/>
        <v>0</v>
      </c>
      <c r="O313" s="12">
        <v>32000</v>
      </c>
      <c r="P313" s="12">
        <f t="shared" si="85"/>
        <v>2666.6666666666665</v>
      </c>
      <c r="Q313" s="12">
        <f t="shared" si="86"/>
        <v>2666.6666666666665</v>
      </c>
    </row>
    <row r="314" spans="1:20" x14ac:dyDescent="0.3">
      <c r="A314" s="1">
        <f t="shared" si="87"/>
        <v>6</v>
      </c>
      <c r="B314" s="2" t="s">
        <v>300</v>
      </c>
      <c r="C314" s="3" t="s">
        <v>187</v>
      </c>
      <c r="D314" s="12" t="s">
        <v>40</v>
      </c>
      <c r="E314" s="12" t="s">
        <v>40</v>
      </c>
      <c r="F314" s="12"/>
      <c r="G314" s="12"/>
      <c r="H314" s="12"/>
      <c r="I314" s="12"/>
      <c r="J314" s="12"/>
      <c r="K314" s="12"/>
      <c r="L314" s="12">
        <v>14000</v>
      </c>
      <c r="M314" s="15">
        <f t="shared" si="83"/>
        <v>2</v>
      </c>
      <c r="N314" s="15">
        <f t="shared" si="84"/>
        <v>0</v>
      </c>
      <c r="O314" s="12">
        <v>14000</v>
      </c>
      <c r="P314" s="12">
        <f t="shared" si="85"/>
        <v>1166.6666666666667</v>
      </c>
      <c r="Q314" s="12">
        <f t="shared" si="86"/>
        <v>1166.6666666666667</v>
      </c>
    </row>
    <row r="315" spans="1:20" x14ac:dyDescent="0.3">
      <c r="A315" s="1">
        <f t="shared" si="87"/>
        <v>7</v>
      </c>
      <c r="B315" s="8"/>
      <c r="C315" s="9"/>
      <c r="D315" s="13"/>
      <c r="E315" s="13"/>
      <c r="F315" s="13"/>
      <c r="G315" s="13"/>
      <c r="H315" s="13"/>
      <c r="I315" s="13"/>
      <c r="J315" s="13"/>
      <c r="K315" s="13"/>
      <c r="L315" s="13"/>
      <c r="M315" s="16"/>
      <c r="N315" s="16"/>
      <c r="O315" s="13"/>
      <c r="P315" s="13"/>
      <c r="Q315" s="13"/>
    </row>
    <row r="316" spans="1:20" x14ac:dyDescent="0.3">
      <c r="A316" s="1">
        <f t="shared" si="87"/>
        <v>8</v>
      </c>
      <c r="B316" s="2">
        <v>10099743</v>
      </c>
      <c r="C316" s="3" t="s">
        <v>187</v>
      </c>
      <c r="D316" s="12" t="s">
        <v>40</v>
      </c>
      <c r="E316" s="12" t="s">
        <v>40</v>
      </c>
      <c r="F316" s="12"/>
      <c r="G316" s="12"/>
      <c r="H316" s="12"/>
      <c r="I316" s="12"/>
      <c r="J316" s="12"/>
      <c r="K316" s="12"/>
      <c r="L316" s="12">
        <v>13560</v>
      </c>
      <c r="M316" s="15">
        <f>+IF(D316="X",1,0)+IF(E316="X",1,0)+IF(F316="X",2,0)+IF(G316="X",2,0)+IF(H316="X",3,IF(H316="Y",1.5,0))+IF(I316="X",5,IF(I316="Y",2.5,0))+IF(J316="X",10,IF(J316="Y",5,0))</f>
        <v>2</v>
      </c>
      <c r="N316" s="15">
        <f>+IF(K316="X",1,0)</f>
        <v>0</v>
      </c>
      <c r="O316" s="12">
        <v>13560</v>
      </c>
      <c r="P316" s="12">
        <f>+L316/12</f>
        <v>1130</v>
      </c>
      <c r="Q316" s="12">
        <f>+O316/12</f>
        <v>1130</v>
      </c>
    </row>
    <row r="317" spans="1:20" x14ac:dyDescent="0.3">
      <c r="A317" s="1">
        <f t="shared" si="87"/>
        <v>9</v>
      </c>
      <c r="B317" s="4" t="s">
        <v>301</v>
      </c>
      <c r="C317" s="3" t="s">
        <v>187</v>
      </c>
      <c r="D317" s="12" t="s">
        <v>40</v>
      </c>
      <c r="E317" s="12" t="s">
        <v>40</v>
      </c>
      <c r="F317" s="12"/>
      <c r="G317" s="12"/>
      <c r="H317" s="12" t="s">
        <v>40</v>
      </c>
      <c r="I317" s="12"/>
      <c r="J317" s="12" t="s">
        <v>40</v>
      </c>
      <c r="K317" s="12"/>
      <c r="L317" s="12">
        <v>109147</v>
      </c>
      <c r="M317" s="15">
        <f t="shared" si="83"/>
        <v>15</v>
      </c>
      <c r="N317" s="15">
        <f t="shared" si="84"/>
        <v>0</v>
      </c>
      <c r="O317" s="12">
        <v>109147</v>
      </c>
      <c r="P317" s="12">
        <f t="shared" si="85"/>
        <v>9095.5833333333339</v>
      </c>
      <c r="Q317" s="12">
        <f t="shared" si="86"/>
        <v>9095.5833333333339</v>
      </c>
      <c r="S317" t="s">
        <v>208</v>
      </c>
      <c r="T317" t="s">
        <v>151</v>
      </c>
    </row>
    <row r="318" spans="1:20" x14ac:dyDescent="0.3">
      <c r="A318" s="1">
        <f t="shared" si="87"/>
        <v>10</v>
      </c>
      <c r="B318" s="2">
        <v>21255991</v>
      </c>
      <c r="C318" s="3" t="s">
        <v>187</v>
      </c>
      <c r="D318" s="12" t="s">
        <v>40</v>
      </c>
      <c r="E318" s="12" t="s">
        <v>40</v>
      </c>
      <c r="F318" s="12"/>
      <c r="G318" s="12"/>
      <c r="H318" s="12"/>
      <c r="I318" s="12"/>
      <c r="J318" s="12"/>
      <c r="K318" s="12"/>
      <c r="L318" s="12">
        <v>13560</v>
      </c>
      <c r="M318" s="15">
        <f>+IF(D318="X",1,0)+IF(E318="X",1,0)+IF(F318="X",2,0)+IF(G318="X",2,0)+IF(H318="X",3,IF(H318="Y",1.5,0))+IF(I318="X",5,IF(I318="Y",2.5,0))+IF(J318="X",10,IF(J318="Y",5,0))</f>
        <v>2</v>
      </c>
      <c r="N318" s="15">
        <f>+IF(K318="X",1,0)</f>
        <v>0</v>
      </c>
      <c r="O318" s="12">
        <v>13560</v>
      </c>
      <c r="P318" s="12">
        <f>+L318/12</f>
        <v>1130</v>
      </c>
      <c r="Q318" s="12">
        <f>+O318/12</f>
        <v>1130</v>
      </c>
    </row>
    <row r="319" spans="1:20" x14ac:dyDescent="0.3">
      <c r="A319" s="1">
        <f t="shared" si="87"/>
        <v>11</v>
      </c>
      <c r="B319" s="4" t="s">
        <v>302</v>
      </c>
      <c r="C319" s="3" t="s">
        <v>187</v>
      </c>
      <c r="D319" s="12" t="s">
        <v>40</v>
      </c>
      <c r="E319" s="12" t="s">
        <v>40</v>
      </c>
      <c r="F319" s="12"/>
      <c r="G319" s="12"/>
      <c r="H319" s="12"/>
      <c r="I319" s="12"/>
      <c r="J319" s="12"/>
      <c r="K319" s="12"/>
      <c r="L319" s="12">
        <v>28800</v>
      </c>
      <c r="M319" s="15">
        <f t="shared" si="83"/>
        <v>2</v>
      </c>
      <c r="N319" s="15">
        <f t="shared" si="84"/>
        <v>0</v>
      </c>
      <c r="O319" s="12">
        <v>28800</v>
      </c>
      <c r="P319" s="12">
        <f t="shared" si="85"/>
        <v>2400</v>
      </c>
      <c r="Q319" s="12">
        <f t="shared" si="86"/>
        <v>2400</v>
      </c>
    </row>
    <row r="320" spans="1:20" x14ac:dyDescent="0.3">
      <c r="A320" s="1">
        <f t="shared" si="87"/>
        <v>12</v>
      </c>
      <c r="B320" s="2" t="s">
        <v>303</v>
      </c>
      <c r="C320" s="3" t="s">
        <v>187</v>
      </c>
      <c r="D320" s="12" t="s">
        <v>40</v>
      </c>
      <c r="E320" s="12" t="s">
        <v>40</v>
      </c>
      <c r="F320" s="12"/>
      <c r="G320" s="12"/>
      <c r="H320" s="12"/>
      <c r="I320" s="12"/>
      <c r="J320" s="12"/>
      <c r="K320" s="12"/>
      <c r="L320" s="12">
        <v>13560</v>
      </c>
      <c r="M320" s="15">
        <f t="shared" ref="M320" si="88">+IF(D320="X",1,0)+IF(E320="X",1,0)+IF(F320="X",2,0)+IF(G320="X",2,0)+IF(H320="X",3,IF(H320="Y",1.5,0))+IF(I320="X",5,IF(I320="Y",2.5,0))+IF(J320="X",10,IF(J320="Y",5,0))</f>
        <v>2</v>
      </c>
      <c r="N320" s="15">
        <f t="shared" ref="N320" si="89">+IF(K320="X",1,0)</f>
        <v>0</v>
      </c>
      <c r="O320" s="12">
        <v>13560</v>
      </c>
      <c r="P320" s="12">
        <f t="shared" ref="P320" si="90">+L320/12</f>
        <v>1130</v>
      </c>
      <c r="Q320" s="12">
        <f t="shared" ref="Q320" si="91">+O320/12</f>
        <v>1130</v>
      </c>
    </row>
    <row r="321" spans="1:17" x14ac:dyDescent="0.3">
      <c r="A321" s="1">
        <f t="shared" si="87"/>
        <v>13</v>
      </c>
      <c r="B321" s="2" t="s">
        <v>294</v>
      </c>
      <c r="C321" s="3" t="s">
        <v>187</v>
      </c>
      <c r="D321" s="12" t="s">
        <v>40</v>
      </c>
      <c r="E321" s="12" t="s">
        <v>40</v>
      </c>
      <c r="F321" s="12"/>
      <c r="G321" s="12"/>
      <c r="H321" s="12" t="s">
        <v>40</v>
      </c>
      <c r="I321" s="12"/>
      <c r="J321" s="12"/>
      <c r="K321" s="12"/>
      <c r="L321" s="12">
        <v>16800</v>
      </c>
      <c r="M321" s="15">
        <f>+IF(D321="X",1,0)+IF(E321="X",1,0)+IF(F321="X",2,0)+IF(G321="X",2,0)+IF(H321="X",3,IF(H321="Y",1.5,0))+IF(I321="X",5,IF(I321="Y",2.5,0))+IF(J321="X",10,IF(J321="Y",5,0))</f>
        <v>5</v>
      </c>
      <c r="N321" s="15">
        <f>+IF(K321="X",1,0)</f>
        <v>0</v>
      </c>
      <c r="O321" s="12">
        <v>16800</v>
      </c>
      <c r="P321" s="12">
        <f>+L321/12</f>
        <v>1400</v>
      </c>
      <c r="Q321" s="12">
        <f>+O321/12</f>
        <v>1400</v>
      </c>
    </row>
    <row r="322" spans="1:17" x14ac:dyDescent="0.3">
      <c r="A322" s="1">
        <f t="shared" si="87"/>
        <v>14</v>
      </c>
      <c r="B322" s="2">
        <v>45566461</v>
      </c>
      <c r="C322" s="3" t="s">
        <v>187</v>
      </c>
      <c r="D322" s="12" t="s">
        <v>40</v>
      </c>
      <c r="E322" s="12"/>
      <c r="F322" s="12"/>
      <c r="G322" s="12"/>
      <c r="H322" s="12"/>
      <c r="I322" s="12"/>
      <c r="J322" s="12"/>
      <c r="K322" s="12"/>
      <c r="L322" s="12">
        <v>18000</v>
      </c>
      <c r="M322" s="15">
        <f>+IF(D322="X",1,0)+IF(E322="X",1,0)+IF(F322="X",2,0)+IF(G322="X",2,0)+IF(H322="X",3,IF(H322="Y",1.5,0))+IF(I322="X",5,IF(I322="Y",2.5,0))+IF(J322="X",10,IF(J322="Y",5,0))</f>
        <v>1</v>
      </c>
      <c r="N322" s="15">
        <f>+IF(K322="X",1,0)</f>
        <v>0</v>
      </c>
      <c r="O322" s="12">
        <v>18000</v>
      </c>
      <c r="P322" s="12">
        <f>+L322/12</f>
        <v>1500</v>
      </c>
      <c r="Q322" s="12">
        <f>+O322/12</f>
        <v>1500</v>
      </c>
    </row>
    <row r="323" spans="1:17" x14ac:dyDescent="0.3">
      <c r="A323" s="1">
        <f t="shared" si="87"/>
        <v>15</v>
      </c>
      <c r="B323" s="8"/>
      <c r="C323" s="9"/>
      <c r="D323" s="13"/>
      <c r="E323" s="13"/>
      <c r="F323" s="13"/>
      <c r="G323" s="13"/>
      <c r="H323" s="13"/>
      <c r="I323" s="13"/>
      <c r="J323" s="13"/>
      <c r="K323" s="13"/>
      <c r="L323" s="13"/>
      <c r="M323" s="16"/>
      <c r="N323" s="16"/>
      <c r="O323" s="13"/>
      <c r="P323" s="13"/>
      <c r="Q323" s="13"/>
    </row>
    <row r="324" spans="1:17" x14ac:dyDescent="0.3">
      <c r="A324" s="1">
        <f t="shared" si="87"/>
        <v>16</v>
      </c>
      <c r="B324" s="2" t="s">
        <v>292</v>
      </c>
      <c r="C324" s="3" t="s">
        <v>187</v>
      </c>
      <c r="D324" s="12" t="s">
        <v>40</v>
      </c>
      <c r="E324" s="12" t="s">
        <v>40</v>
      </c>
      <c r="F324" s="12"/>
      <c r="G324" s="12"/>
      <c r="H324" s="12" t="s">
        <v>40</v>
      </c>
      <c r="I324" s="12"/>
      <c r="J324" s="12"/>
      <c r="K324" s="12"/>
      <c r="L324" s="12">
        <v>13560</v>
      </c>
      <c r="M324" s="15">
        <f t="shared" ref="M324:M330" si="92">+IF(D324="X",1,0)+IF(E324="X",1,0)+IF(F324="X",2,0)+IF(G324="X",2,0)+IF(H324="X",3,IF(H324="Y",1.5,0))+IF(I324="X",5,IF(I324="Y",2.5,0))+IF(J324="X",10,IF(J324="Y",5,0))</f>
        <v>5</v>
      </c>
      <c r="N324" s="15">
        <f t="shared" ref="N324:N330" si="93">+IF(K324="X",1,0)</f>
        <v>0</v>
      </c>
      <c r="O324" s="12">
        <v>13560</v>
      </c>
      <c r="P324" s="12">
        <f t="shared" ref="P324:P330" si="94">+L324/12</f>
        <v>1130</v>
      </c>
      <c r="Q324" s="12">
        <f t="shared" ref="Q324:Q330" si="95">+O324/12</f>
        <v>1130</v>
      </c>
    </row>
    <row r="325" spans="1:17" x14ac:dyDescent="0.3">
      <c r="A325" s="1">
        <f t="shared" si="87"/>
        <v>17</v>
      </c>
      <c r="B325" s="2">
        <v>24710373</v>
      </c>
      <c r="C325" s="3" t="s">
        <v>187</v>
      </c>
      <c r="D325" s="12" t="s">
        <v>40</v>
      </c>
      <c r="E325" s="12" t="s">
        <v>40</v>
      </c>
      <c r="F325" s="12" t="s">
        <v>40</v>
      </c>
      <c r="G325" s="12"/>
      <c r="H325" s="12"/>
      <c r="I325" s="12"/>
      <c r="J325" s="12"/>
      <c r="K325" s="12"/>
      <c r="L325" s="12">
        <v>18000</v>
      </c>
      <c r="M325" s="15">
        <f t="shared" si="92"/>
        <v>4</v>
      </c>
      <c r="N325" s="15">
        <f t="shared" si="93"/>
        <v>0</v>
      </c>
      <c r="O325" s="12">
        <v>18000</v>
      </c>
      <c r="P325" s="12">
        <f t="shared" si="94"/>
        <v>1500</v>
      </c>
      <c r="Q325" s="12">
        <f t="shared" si="95"/>
        <v>1500</v>
      </c>
    </row>
    <row r="326" spans="1:17" x14ac:dyDescent="0.3">
      <c r="A326" s="1">
        <f t="shared" si="87"/>
        <v>18</v>
      </c>
      <c r="B326" s="2">
        <v>40556371</v>
      </c>
      <c r="C326" s="3" t="s">
        <v>187</v>
      </c>
      <c r="D326" s="12" t="s">
        <v>40</v>
      </c>
      <c r="E326" s="12"/>
      <c r="F326" s="12"/>
      <c r="G326" s="12"/>
      <c r="H326" s="12"/>
      <c r="I326" s="12"/>
      <c r="J326" s="12"/>
      <c r="K326" s="12"/>
      <c r="L326" s="12">
        <v>13560</v>
      </c>
      <c r="M326" s="15">
        <f t="shared" si="92"/>
        <v>1</v>
      </c>
      <c r="N326" s="15">
        <f t="shared" si="93"/>
        <v>0</v>
      </c>
      <c r="O326" s="12">
        <v>13560</v>
      </c>
      <c r="P326" s="12">
        <f t="shared" si="94"/>
        <v>1130</v>
      </c>
      <c r="Q326" s="12">
        <f t="shared" si="95"/>
        <v>1130</v>
      </c>
    </row>
    <row r="327" spans="1:17" x14ac:dyDescent="0.3">
      <c r="A327" s="1">
        <f t="shared" si="87"/>
        <v>19</v>
      </c>
      <c r="B327" s="2" t="s">
        <v>289</v>
      </c>
      <c r="C327" s="3" t="s">
        <v>187</v>
      </c>
      <c r="D327" s="12" t="s">
        <v>40</v>
      </c>
      <c r="E327" s="12" t="s">
        <v>40</v>
      </c>
      <c r="F327" s="12"/>
      <c r="G327" s="12"/>
      <c r="H327" s="12"/>
      <c r="I327" s="12"/>
      <c r="J327" s="12"/>
      <c r="K327" s="12"/>
      <c r="L327" s="12">
        <v>45600</v>
      </c>
      <c r="M327" s="15">
        <f t="shared" si="92"/>
        <v>2</v>
      </c>
      <c r="N327" s="15">
        <f t="shared" si="93"/>
        <v>0</v>
      </c>
      <c r="O327" s="12">
        <v>45600</v>
      </c>
      <c r="P327" s="12">
        <f t="shared" si="94"/>
        <v>3800</v>
      </c>
      <c r="Q327" s="12">
        <f t="shared" si="95"/>
        <v>3800</v>
      </c>
    </row>
    <row r="328" spans="1:17" x14ac:dyDescent="0.3">
      <c r="A328" s="1">
        <f t="shared" si="87"/>
        <v>20</v>
      </c>
      <c r="B328" s="2">
        <v>43058756</v>
      </c>
      <c r="C328" s="3" t="s">
        <v>187</v>
      </c>
      <c r="D328" s="12" t="s">
        <v>40</v>
      </c>
      <c r="E328" s="12" t="s">
        <v>40</v>
      </c>
      <c r="F328" s="12"/>
      <c r="G328" s="12"/>
      <c r="H328" s="12"/>
      <c r="I328" s="12"/>
      <c r="J328" s="12"/>
      <c r="K328" s="12"/>
      <c r="L328" s="12">
        <v>15000</v>
      </c>
      <c r="M328" s="15">
        <f t="shared" si="92"/>
        <v>2</v>
      </c>
      <c r="N328" s="15">
        <f t="shared" si="93"/>
        <v>0</v>
      </c>
      <c r="O328" s="12">
        <v>15000</v>
      </c>
      <c r="P328" s="12">
        <f t="shared" si="94"/>
        <v>1250</v>
      </c>
      <c r="Q328" s="12">
        <f t="shared" si="95"/>
        <v>1250</v>
      </c>
    </row>
    <row r="329" spans="1:17" x14ac:dyDescent="0.3">
      <c r="A329" s="1">
        <f t="shared" si="87"/>
        <v>21</v>
      </c>
      <c r="B329" s="2" t="s">
        <v>290</v>
      </c>
      <c r="C329" s="3" t="s">
        <v>187</v>
      </c>
      <c r="D329" s="12" t="s">
        <v>40</v>
      </c>
      <c r="E329" s="12" t="s">
        <v>40</v>
      </c>
      <c r="F329" s="12"/>
      <c r="G329" s="12"/>
      <c r="H329" s="12"/>
      <c r="I329" s="12"/>
      <c r="J329" s="12"/>
      <c r="K329" s="12"/>
      <c r="L329" s="12">
        <v>42000</v>
      </c>
      <c r="M329" s="15">
        <f t="shared" si="92"/>
        <v>2</v>
      </c>
      <c r="N329" s="15">
        <f t="shared" si="93"/>
        <v>0</v>
      </c>
      <c r="O329" s="12">
        <v>42000</v>
      </c>
      <c r="P329" s="12">
        <f t="shared" si="94"/>
        <v>3500</v>
      </c>
      <c r="Q329" s="12">
        <f t="shared" si="95"/>
        <v>3500</v>
      </c>
    </row>
    <row r="330" spans="1:17" x14ac:dyDescent="0.3">
      <c r="A330" s="1">
        <f t="shared" si="87"/>
        <v>22</v>
      </c>
      <c r="B330" s="1">
        <v>10714591</v>
      </c>
      <c r="C330" s="3" t="s">
        <v>187</v>
      </c>
      <c r="D330" s="12" t="s">
        <v>40</v>
      </c>
      <c r="E330" s="12" t="s">
        <v>40</v>
      </c>
      <c r="F330" s="12"/>
      <c r="G330" s="12"/>
      <c r="H330" s="12"/>
      <c r="I330" s="12"/>
      <c r="J330" s="12"/>
      <c r="K330" s="12"/>
      <c r="L330" s="12">
        <v>13560</v>
      </c>
      <c r="M330" s="15">
        <f t="shared" si="92"/>
        <v>2</v>
      </c>
      <c r="N330" s="15">
        <f t="shared" si="93"/>
        <v>0</v>
      </c>
      <c r="O330" s="12">
        <v>13560</v>
      </c>
      <c r="P330" s="12">
        <f t="shared" si="94"/>
        <v>1130</v>
      </c>
      <c r="Q330" s="12">
        <f t="shared" si="95"/>
        <v>1130</v>
      </c>
    </row>
    <row r="331" spans="1:17" x14ac:dyDescent="0.3">
      <c r="A331" s="1">
        <f t="shared" si="87"/>
        <v>23</v>
      </c>
      <c r="B331" s="1">
        <v>24489451</v>
      </c>
      <c r="C331" s="3" t="s">
        <v>187</v>
      </c>
      <c r="D331" s="12" t="s">
        <v>40</v>
      </c>
      <c r="E331" s="12" t="s">
        <v>40</v>
      </c>
      <c r="F331" s="12"/>
      <c r="G331" s="12"/>
      <c r="H331" s="12"/>
      <c r="I331" s="12"/>
      <c r="J331" s="12"/>
      <c r="K331" s="12"/>
      <c r="L331" s="12">
        <v>14400</v>
      </c>
      <c r="M331" s="15">
        <f t="shared" si="83"/>
        <v>2</v>
      </c>
      <c r="N331" s="15">
        <f t="shared" si="84"/>
        <v>0</v>
      </c>
      <c r="O331" s="12">
        <v>14400</v>
      </c>
      <c r="P331" s="12">
        <f t="shared" si="85"/>
        <v>1200</v>
      </c>
      <c r="Q331" s="12">
        <f t="shared" si="86"/>
        <v>1200</v>
      </c>
    </row>
    <row r="332" spans="1:17" x14ac:dyDescent="0.3">
      <c r="A332" s="1">
        <f t="shared" si="87"/>
        <v>24</v>
      </c>
      <c r="B332" s="1">
        <v>27749222</v>
      </c>
      <c r="C332" s="3" t="s">
        <v>187</v>
      </c>
      <c r="D332" s="12" t="s">
        <v>40</v>
      </c>
      <c r="E332" s="12" t="s">
        <v>40</v>
      </c>
      <c r="F332" s="12"/>
      <c r="G332" s="12"/>
      <c r="H332" s="12"/>
      <c r="I332" s="12"/>
      <c r="J332" s="12"/>
      <c r="K332" s="12"/>
      <c r="L332" s="12">
        <v>13560</v>
      </c>
      <c r="M332" s="15">
        <f t="shared" si="83"/>
        <v>2</v>
      </c>
      <c r="N332" s="15">
        <f t="shared" si="84"/>
        <v>0</v>
      </c>
      <c r="O332" s="12">
        <v>13560</v>
      </c>
      <c r="P332" s="12">
        <f t="shared" si="85"/>
        <v>1130</v>
      </c>
      <c r="Q332" s="12">
        <f t="shared" si="86"/>
        <v>1130</v>
      </c>
    </row>
    <row r="333" spans="1:17" x14ac:dyDescent="0.3">
      <c r="A333" s="1">
        <f t="shared" si="87"/>
        <v>25</v>
      </c>
      <c r="B333" s="2" t="s">
        <v>293</v>
      </c>
      <c r="C333" s="3" t="s">
        <v>187</v>
      </c>
      <c r="D333" s="12" t="s">
        <v>40</v>
      </c>
      <c r="E333" s="12" t="s">
        <v>40</v>
      </c>
      <c r="F333" s="12"/>
      <c r="G333" s="12"/>
      <c r="H333" s="12"/>
      <c r="I333" s="12"/>
      <c r="J333" s="12"/>
      <c r="K333" s="12"/>
      <c r="L333" s="12">
        <v>36000</v>
      </c>
      <c r="M333" s="15">
        <f t="shared" si="83"/>
        <v>2</v>
      </c>
      <c r="N333" s="15">
        <f t="shared" si="84"/>
        <v>0</v>
      </c>
      <c r="O333" s="12">
        <v>36000</v>
      </c>
      <c r="P333" s="12">
        <f t="shared" si="85"/>
        <v>3000</v>
      </c>
      <c r="Q333" s="12">
        <f t="shared" si="86"/>
        <v>3000</v>
      </c>
    </row>
    <row r="334" spans="1:17" x14ac:dyDescent="0.3">
      <c r="A334" s="1">
        <f t="shared" si="87"/>
        <v>26</v>
      </c>
      <c r="B334" s="1">
        <v>15427702</v>
      </c>
      <c r="C334" s="3" t="s">
        <v>187</v>
      </c>
      <c r="D334" s="12" t="s">
        <v>40</v>
      </c>
      <c r="E334" s="12" t="s">
        <v>40</v>
      </c>
      <c r="F334" s="12"/>
      <c r="G334" s="12"/>
      <c r="H334" s="12"/>
      <c r="I334" s="12"/>
      <c r="J334" s="12"/>
      <c r="K334" s="12"/>
      <c r="L334" s="12">
        <v>6780</v>
      </c>
      <c r="M334" s="15">
        <f t="shared" si="83"/>
        <v>2</v>
      </c>
      <c r="N334" s="15">
        <f t="shared" si="84"/>
        <v>0</v>
      </c>
      <c r="O334" s="12">
        <v>6780</v>
      </c>
      <c r="P334" s="12">
        <f t="shared" si="85"/>
        <v>565</v>
      </c>
      <c r="Q334" s="12">
        <f t="shared" si="86"/>
        <v>565</v>
      </c>
    </row>
    <row r="335" spans="1:17" x14ac:dyDescent="0.3">
      <c r="A335" s="1">
        <f t="shared" si="87"/>
        <v>27</v>
      </c>
      <c r="B335" s="1">
        <v>27853010</v>
      </c>
      <c r="C335" s="3" t="s">
        <v>187</v>
      </c>
      <c r="D335" s="12" t="s">
        <v>40</v>
      </c>
      <c r="E335" s="12" t="s">
        <v>40</v>
      </c>
      <c r="F335" s="12"/>
      <c r="G335" s="12"/>
      <c r="H335" s="12"/>
      <c r="I335" s="12"/>
      <c r="J335" s="12"/>
      <c r="K335" s="12"/>
      <c r="L335" s="12">
        <v>30000</v>
      </c>
      <c r="M335" s="15">
        <f t="shared" si="83"/>
        <v>2</v>
      </c>
      <c r="N335" s="15">
        <f t="shared" si="84"/>
        <v>0</v>
      </c>
      <c r="O335" s="12">
        <v>30000</v>
      </c>
      <c r="P335" s="12">
        <f t="shared" si="85"/>
        <v>2500</v>
      </c>
      <c r="Q335" s="12">
        <f t="shared" si="86"/>
        <v>2500</v>
      </c>
    </row>
    <row r="336" spans="1:17" x14ac:dyDescent="0.3">
      <c r="A336" s="1">
        <f t="shared" si="87"/>
        <v>28</v>
      </c>
      <c r="B336" s="1">
        <v>40459760</v>
      </c>
      <c r="C336" s="3" t="s">
        <v>187</v>
      </c>
      <c r="D336" s="12" t="s">
        <v>40</v>
      </c>
      <c r="E336" s="12" t="s">
        <v>40</v>
      </c>
      <c r="F336" s="12"/>
      <c r="G336" s="12"/>
      <c r="H336" s="12"/>
      <c r="I336" s="12"/>
      <c r="J336" s="12"/>
      <c r="K336" s="12"/>
      <c r="L336" s="12">
        <v>15000</v>
      </c>
      <c r="M336" s="15">
        <f t="shared" si="83"/>
        <v>2</v>
      </c>
      <c r="N336" s="15">
        <f t="shared" si="84"/>
        <v>0</v>
      </c>
      <c r="O336" s="12">
        <v>15000</v>
      </c>
      <c r="P336" s="12">
        <f t="shared" si="85"/>
        <v>1250</v>
      </c>
      <c r="Q336" s="12">
        <f t="shared" si="86"/>
        <v>1250</v>
      </c>
    </row>
    <row r="337" spans="1:18" x14ac:dyDescent="0.3">
      <c r="A337" s="1">
        <f t="shared" si="87"/>
        <v>29</v>
      </c>
      <c r="B337" s="1">
        <v>33949567</v>
      </c>
      <c r="C337" s="3" t="s">
        <v>187</v>
      </c>
      <c r="D337" s="12" t="s">
        <v>40</v>
      </c>
      <c r="E337" s="12"/>
      <c r="F337" s="12"/>
      <c r="G337" s="12"/>
      <c r="H337" s="12"/>
      <c r="I337" s="12"/>
      <c r="J337" s="12"/>
      <c r="K337" s="12"/>
      <c r="L337" s="12">
        <v>14440</v>
      </c>
      <c r="M337" s="15">
        <f t="shared" si="83"/>
        <v>1</v>
      </c>
      <c r="N337" s="15">
        <f t="shared" si="84"/>
        <v>0</v>
      </c>
      <c r="O337" s="12">
        <v>14440</v>
      </c>
      <c r="P337" s="12">
        <f t="shared" si="85"/>
        <v>1203.3333333333333</v>
      </c>
      <c r="Q337" s="12">
        <f t="shared" si="86"/>
        <v>1203.3333333333333</v>
      </c>
    </row>
    <row r="338" spans="1:18" x14ac:dyDescent="0.3">
      <c r="A338" s="1">
        <f t="shared" si="87"/>
        <v>30</v>
      </c>
      <c r="B338" s="1">
        <v>44013194</v>
      </c>
      <c r="C338" s="3" t="s">
        <v>187</v>
      </c>
      <c r="D338" s="12" t="s">
        <v>40</v>
      </c>
      <c r="E338" s="12"/>
      <c r="F338" s="12"/>
      <c r="G338" s="12"/>
      <c r="H338" s="12"/>
      <c r="I338" s="12"/>
      <c r="J338" s="12"/>
      <c r="K338" s="12"/>
      <c r="L338" s="12">
        <v>14440</v>
      </c>
      <c r="M338" s="15">
        <f t="shared" si="83"/>
        <v>1</v>
      </c>
      <c r="N338" s="15">
        <f t="shared" si="84"/>
        <v>0</v>
      </c>
      <c r="O338" s="12">
        <v>14440</v>
      </c>
      <c r="P338" s="12">
        <f t="shared" si="85"/>
        <v>1203.3333333333333</v>
      </c>
      <c r="Q338" s="12">
        <f t="shared" si="86"/>
        <v>1203.3333333333333</v>
      </c>
    </row>
    <row r="339" spans="1:18" x14ac:dyDescent="0.3">
      <c r="L339" s="14">
        <f>+AVERAGE(L309:L338)</f>
        <v>40270.607142857145</v>
      </c>
      <c r="M339" s="14">
        <f>+AVERAGE(M309:M338)</f>
        <v>3.4285714285714284</v>
      </c>
      <c r="N339" s="14">
        <f>+SUM(N309:N338)</f>
        <v>1</v>
      </c>
      <c r="O339" s="14">
        <f>+AVERAGE(O309:O338)</f>
        <v>22626.925925925927</v>
      </c>
      <c r="P339" s="14">
        <f>+AVERAGE(P309:P338)</f>
        <v>3355.883928571428</v>
      </c>
      <c r="Q339" s="14">
        <f>+AVERAGE(Q309:Q338)</f>
        <v>1885.5771604938273</v>
      </c>
      <c r="R339" s="14">
        <f>30-COUNTBLANK(R309:R338)</f>
        <v>1</v>
      </c>
    </row>
    <row r="340" spans="1:18" x14ac:dyDescent="0.3">
      <c r="L340" s="14">
        <f>+STDEV(L309:L338)</f>
        <v>77520.714201569572</v>
      </c>
      <c r="M340" s="14">
        <f>+STDEV(M309:M338)</f>
        <v>3.2366943748507482</v>
      </c>
      <c r="N340" s="17"/>
      <c r="O340" s="14">
        <f>+STDEV(O309:O338)</f>
        <v>19816.017640993061</v>
      </c>
      <c r="P340" s="14">
        <f>+STDEV(P309:P338)</f>
        <v>6460.0595167974634</v>
      </c>
      <c r="Q340" s="14">
        <f>+STDEV(Q309:Q338)</f>
        <v>1651.3348034160881</v>
      </c>
    </row>
    <row r="341" spans="1:18" x14ac:dyDescent="0.3">
      <c r="I341" s="15"/>
      <c r="J341" s="15"/>
      <c r="K341" s="11" t="s">
        <v>75</v>
      </c>
      <c r="L341" s="14">
        <f>+COUNTIF(L309:L338,0)</f>
        <v>0</v>
      </c>
      <c r="M341" s="14">
        <f>+COUNT(M309:M338)</f>
        <v>28</v>
      </c>
      <c r="P341" s="14">
        <f>+COUNTIF(P309:P338,0)</f>
        <v>0</v>
      </c>
    </row>
    <row r="343" spans="1:18" x14ac:dyDescent="0.3">
      <c r="A343" s="1">
        <v>1</v>
      </c>
      <c r="B343" s="2">
        <v>40799023</v>
      </c>
      <c r="C343" s="3" t="s">
        <v>304</v>
      </c>
      <c r="D343" s="12" t="s">
        <v>40</v>
      </c>
      <c r="E343" s="12" t="s">
        <v>40</v>
      </c>
      <c r="F343" s="12"/>
      <c r="G343" s="12"/>
      <c r="H343" s="12" t="s">
        <v>40</v>
      </c>
      <c r="I343" s="12" t="s">
        <v>40</v>
      </c>
      <c r="J343" s="12" t="s">
        <v>40</v>
      </c>
      <c r="K343" s="12"/>
      <c r="L343" s="12">
        <v>74118</v>
      </c>
      <c r="M343" s="15">
        <f>+IF(D343="X",1,0)+IF(E343="X",1,0)+IF(F343="X",2,0)+IF(G343="X",2,0)+IF(H343="X",3,IF(H343="Y",1.5,0))+IF(I343="X",5,IF(I343="Y",2.5,0))+IF(J343="X",10,IF(J343="Y",5,0))</f>
        <v>20</v>
      </c>
      <c r="N343" s="15">
        <f>+IF(K343="X",1,0)</f>
        <v>0</v>
      </c>
      <c r="O343" s="12">
        <v>33000</v>
      </c>
      <c r="P343" s="12">
        <f t="shared" ref="P343" si="96">+L343/12</f>
        <v>6176.5</v>
      </c>
      <c r="Q343" s="12">
        <f t="shared" ref="Q343" si="97">+O343/12</f>
        <v>2750</v>
      </c>
    </row>
    <row r="344" spans="1:18" x14ac:dyDescent="0.3">
      <c r="A344" s="1">
        <f>+A343+1</f>
        <v>2</v>
      </c>
      <c r="B344" s="2">
        <v>10762074</v>
      </c>
      <c r="C344" s="3" t="s">
        <v>304</v>
      </c>
      <c r="D344" s="12" t="s">
        <v>40</v>
      </c>
      <c r="E344" s="12" t="s">
        <v>40</v>
      </c>
      <c r="F344" s="12"/>
      <c r="G344" s="12"/>
      <c r="H344" s="12" t="s">
        <v>43</v>
      </c>
      <c r="I344" s="12"/>
      <c r="J344" s="12"/>
      <c r="K344" s="12"/>
      <c r="L344" s="12">
        <v>33000</v>
      </c>
      <c r="M344" s="15">
        <f t="shared" ref="M344:M349" si="98">+IF(D344="X",1,0)+IF(E344="X",1,0)+IF(F344="X",2,0)+IF(G344="X",2,0)+IF(H344="X",3,IF(H344="Y",1.5,0))+IF(I344="X",5,IF(I344="Y",2.5,0))+IF(J344="X",10,IF(J344="Y",5,0))</f>
        <v>3.5</v>
      </c>
      <c r="N344" s="15">
        <f t="shared" ref="N344:N349" si="99">+IF(K344="X",1,0)</f>
        <v>0</v>
      </c>
      <c r="O344" s="12">
        <v>33000</v>
      </c>
      <c r="P344" s="12">
        <f t="shared" ref="P344:P349" si="100">+L344/12</f>
        <v>2750</v>
      </c>
      <c r="Q344" s="12">
        <f t="shared" ref="Q344:Q349" si="101">+O344/12</f>
        <v>2750</v>
      </c>
    </row>
    <row r="345" spans="1:18" x14ac:dyDescent="0.3">
      <c r="A345" s="1">
        <f t="shared" ref="A345:A372" si="102">+A344+1</f>
        <v>3</v>
      </c>
      <c r="B345" s="2" t="s">
        <v>310</v>
      </c>
      <c r="C345" s="3" t="s">
        <v>304</v>
      </c>
      <c r="D345" s="12" t="s">
        <v>40</v>
      </c>
      <c r="E345" s="12" t="s">
        <v>40</v>
      </c>
      <c r="F345" s="12" t="s">
        <v>40</v>
      </c>
      <c r="G345" s="12"/>
      <c r="H345" s="12" t="s">
        <v>40</v>
      </c>
      <c r="I345" s="12" t="s">
        <v>40</v>
      </c>
      <c r="J345" s="12" t="s">
        <v>43</v>
      </c>
      <c r="K345" s="12"/>
      <c r="L345" s="12">
        <v>64588</v>
      </c>
      <c r="M345" s="15">
        <f t="shared" ref="M345" si="103">+IF(D345="X",1,0)+IF(E345="X",1,0)+IF(F345="X",2,0)+IF(G345="X",2,0)+IF(H345="X",3,IF(H345="Y",1.5,0))+IF(I345="X",5,IF(I345="Y",2.5,0))+IF(J345="X",10,IF(J345="Y",5,0))</f>
        <v>17</v>
      </c>
      <c r="N345" s="15">
        <f t="shared" ref="N345" si="104">+IF(K345="X",1,0)</f>
        <v>0</v>
      </c>
      <c r="O345" s="12">
        <v>64588</v>
      </c>
      <c r="P345" s="12">
        <f t="shared" ref="P345" si="105">+L345/12</f>
        <v>5382.333333333333</v>
      </c>
      <c r="Q345" s="12">
        <f t="shared" ref="Q345" si="106">+O345/12</f>
        <v>5382.333333333333</v>
      </c>
    </row>
    <row r="346" spans="1:18" x14ac:dyDescent="0.3">
      <c r="A346" s="1">
        <f t="shared" si="102"/>
        <v>4</v>
      </c>
      <c r="B346" s="2" t="s">
        <v>311</v>
      </c>
      <c r="C346" s="3" t="s">
        <v>304</v>
      </c>
      <c r="D346" s="12" t="s">
        <v>40</v>
      </c>
      <c r="E346" s="12" t="s">
        <v>40</v>
      </c>
      <c r="F346" s="12" t="s">
        <v>40</v>
      </c>
      <c r="G346" s="12" t="s">
        <v>40</v>
      </c>
      <c r="H346" s="12"/>
      <c r="I346" s="12"/>
      <c r="J346" s="12"/>
      <c r="K346" s="12"/>
      <c r="L346" s="12">
        <v>36000</v>
      </c>
      <c r="M346" s="15">
        <f t="shared" si="98"/>
        <v>6</v>
      </c>
      <c r="N346" s="15">
        <f t="shared" si="99"/>
        <v>0</v>
      </c>
      <c r="O346" s="12">
        <v>36000</v>
      </c>
      <c r="P346" s="12">
        <f t="shared" si="100"/>
        <v>3000</v>
      </c>
      <c r="Q346" s="12">
        <f t="shared" si="101"/>
        <v>3000</v>
      </c>
    </row>
    <row r="347" spans="1:18" x14ac:dyDescent="0.3">
      <c r="A347" s="1">
        <f t="shared" si="102"/>
        <v>5</v>
      </c>
      <c r="B347" s="2" t="s">
        <v>312</v>
      </c>
      <c r="C347" s="3" t="s">
        <v>304</v>
      </c>
      <c r="D347" s="12" t="s">
        <v>40</v>
      </c>
      <c r="E347" s="12" t="s">
        <v>40</v>
      </c>
      <c r="F347" s="12"/>
      <c r="G347" s="12"/>
      <c r="H347" s="12" t="s">
        <v>40</v>
      </c>
      <c r="I347" s="12"/>
      <c r="J347" s="12"/>
      <c r="K347" s="12" t="s">
        <v>40</v>
      </c>
      <c r="L347" s="12">
        <v>58000</v>
      </c>
      <c r="M347" s="15">
        <f t="shared" si="98"/>
        <v>5</v>
      </c>
      <c r="N347" s="15">
        <f t="shared" si="99"/>
        <v>1</v>
      </c>
      <c r="O347" s="12">
        <v>58000</v>
      </c>
      <c r="P347" s="12">
        <f t="shared" si="100"/>
        <v>4833.333333333333</v>
      </c>
      <c r="Q347" s="12">
        <f t="shared" si="101"/>
        <v>4833.333333333333</v>
      </c>
    </row>
    <row r="348" spans="1:18" x14ac:dyDescent="0.3">
      <c r="A348" s="1">
        <f t="shared" si="102"/>
        <v>6</v>
      </c>
      <c r="B348" s="2">
        <v>41879544</v>
      </c>
      <c r="C348" s="3" t="s">
        <v>304</v>
      </c>
      <c r="D348" s="12"/>
      <c r="E348" s="12"/>
      <c r="F348" s="12"/>
      <c r="G348" s="12"/>
      <c r="H348" s="12"/>
      <c r="I348" s="12"/>
      <c r="J348" s="12"/>
      <c r="K348" s="12"/>
      <c r="L348" s="12">
        <v>0</v>
      </c>
      <c r="M348" s="15">
        <f t="shared" si="98"/>
        <v>0</v>
      </c>
      <c r="N348" s="15">
        <f t="shared" si="99"/>
        <v>0</v>
      </c>
      <c r="O348" s="20"/>
      <c r="P348" s="12">
        <f t="shared" si="100"/>
        <v>0</v>
      </c>
      <c r="Q348" s="20"/>
    </row>
    <row r="349" spans="1:18" x14ac:dyDescent="0.3">
      <c r="A349" s="1">
        <f t="shared" si="102"/>
        <v>7</v>
      </c>
      <c r="B349" s="2">
        <v>80668107</v>
      </c>
      <c r="C349" s="3" t="s">
        <v>304</v>
      </c>
      <c r="D349" s="12" t="s">
        <v>40</v>
      </c>
      <c r="E349" s="12" t="s">
        <v>40</v>
      </c>
      <c r="F349" s="12" t="s">
        <v>40</v>
      </c>
      <c r="G349" s="12"/>
      <c r="H349" s="12" t="s">
        <v>40</v>
      </c>
      <c r="I349" s="12"/>
      <c r="J349" s="12"/>
      <c r="K349" s="12"/>
      <c r="L349" s="12">
        <v>30000</v>
      </c>
      <c r="M349" s="15">
        <f t="shared" si="98"/>
        <v>7</v>
      </c>
      <c r="N349" s="15">
        <f t="shared" si="99"/>
        <v>0</v>
      </c>
      <c r="O349" s="12">
        <v>30000</v>
      </c>
      <c r="P349" s="12">
        <f t="shared" si="100"/>
        <v>2500</v>
      </c>
      <c r="Q349" s="12">
        <f t="shared" si="101"/>
        <v>2500</v>
      </c>
    </row>
    <row r="350" spans="1:18" x14ac:dyDescent="0.3">
      <c r="A350" s="1">
        <f t="shared" si="102"/>
        <v>8</v>
      </c>
      <c r="B350" s="10"/>
      <c r="C350" s="9"/>
      <c r="D350" s="13"/>
      <c r="E350" s="13"/>
      <c r="F350" s="13"/>
      <c r="G350" s="13"/>
      <c r="H350" s="13"/>
      <c r="I350" s="13"/>
      <c r="J350" s="13"/>
      <c r="K350" s="13"/>
      <c r="L350" s="13"/>
      <c r="M350" s="16"/>
      <c r="N350" s="16"/>
      <c r="O350" s="13"/>
      <c r="P350" s="13"/>
      <c r="Q350" s="13"/>
    </row>
    <row r="351" spans="1:18" x14ac:dyDescent="0.3">
      <c r="A351" s="1">
        <f t="shared" si="102"/>
        <v>9</v>
      </c>
      <c r="B351" s="2" t="s">
        <v>313</v>
      </c>
      <c r="C351" s="3" t="s">
        <v>304</v>
      </c>
      <c r="D351" s="12" t="s">
        <v>40</v>
      </c>
      <c r="E351" s="12" t="s">
        <v>40</v>
      </c>
      <c r="F351" s="12"/>
      <c r="G351" s="12"/>
      <c r="H351" s="12"/>
      <c r="I351" s="12"/>
      <c r="J351" s="12"/>
      <c r="K351" s="12"/>
      <c r="L351" s="12">
        <v>15600</v>
      </c>
      <c r="M351" s="15">
        <f t="shared" ref="M351:M359" si="107">+IF(D351="X",1,0)+IF(E351="X",1,0)+IF(F351="X",2,0)+IF(G351="X",2,0)+IF(H351="X",3,IF(H351="Y",1.5,0))+IF(I351="X",5,IF(I351="Y",2.5,0))+IF(J351="X",10,IF(J351="Y",5,0))</f>
        <v>2</v>
      </c>
      <c r="N351" s="15">
        <f t="shared" ref="N351:N359" si="108">+IF(K351="X",1,0)</f>
        <v>0</v>
      </c>
      <c r="O351" s="12">
        <v>15600</v>
      </c>
      <c r="P351" s="12">
        <f t="shared" ref="P351:P359" si="109">+L351/12</f>
        <v>1300</v>
      </c>
      <c r="Q351" s="12">
        <f t="shared" ref="Q351:Q359" si="110">+O351/12</f>
        <v>1300</v>
      </c>
    </row>
    <row r="352" spans="1:18" x14ac:dyDescent="0.3">
      <c r="A352" s="1">
        <f t="shared" si="102"/>
        <v>10</v>
      </c>
      <c r="B352" s="2" t="s">
        <v>306</v>
      </c>
      <c r="C352" s="3" t="s">
        <v>304</v>
      </c>
      <c r="D352" s="12" t="s">
        <v>40</v>
      </c>
      <c r="E352" s="12" t="s">
        <v>40</v>
      </c>
      <c r="F352" s="12"/>
      <c r="G352" s="12"/>
      <c r="H352" s="12"/>
      <c r="I352" s="12"/>
      <c r="J352" s="12"/>
      <c r="K352" s="12"/>
      <c r="L352" s="12">
        <v>33140</v>
      </c>
      <c r="M352" s="15">
        <f t="shared" si="107"/>
        <v>2</v>
      </c>
      <c r="N352" s="15">
        <f t="shared" si="108"/>
        <v>0</v>
      </c>
      <c r="O352" s="12">
        <v>33140</v>
      </c>
      <c r="P352" s="12">
        <f t="shared" si="109"/>
        <v>2761.6666666666665</v>
      </c>
      <c r="Q352" s="12">
        <f t="shared" si="110"/>
        <v>2761.6666666666665</v>
      </c>
    </row>
    <row r="353" spans="1:17" x14ac:dyDescent="0.3">
      <c r="A353" s="1">
        <f t="shared" si="102"/>
        <v>11</v>
      </c>
      <c r="B353" s="2" t="s">
        <v>314</v>
      </c>
      <c r="C353" s="3" t="s">
        <v>304</v>
      </c>
      <c r="D353" s="12" t="s">
        <v>40</v>
      </c>
      <c r="E353" s="12" t="s">
        <v>40</v>
      </c>
      <c r="F353" s="12"/>
      <c r="G353" s="12"/>
      <c r="H353" s="12" t="s">
        <v>40</v>
      </c>
      <c r="I353" s="12" t="s">
        <v>40</v>
      </c>
      <c r="J353" s="12" t="s">
        <v>40</v>
      </c>
      <c r="K353" s="12"/>
      <c r="L353" s="12">
        <v>178800</v>
      </c>
      <c r="M353" s="15">
        <f t="shared" si="107"/>
        <v>20</v>
      </c>
      <c r="N353" s="15">
        <f t="shared" si="108"/>
        <v>0</v>
      </c>
      <c r="O353" s="20"/>
      <c r="P353" s="12">
        <f t="shared" si="109"/>
        <v>14900</v>
      </c>
      <c r="Q353" s="20"/>
    </row>
    <row r="354" spans="1:17" x14ac:dyDescent="0.3">
      <c r="A354" s="1">
        <f t="shared" si="102"/>
        <v>12</v>
      </c>
      <c r="B354" s="10"/>
      <c r="C354" s="9"/>
      <c r="D354" s="13"/>
      <c r="E354" s="13"/>
      <c r="F354" s="13"/>
      <c r="G354" s="13"/>
      <c r="H354" s="13"/>
      <c r="I354" s="13"/>
      <c r="J354" s="13"/>
      <c r="K354" s="13"/>
      <c r="L354" s="13"/>
      <c r="M354" s="16"/>
      <c r="N354" s="16"/>
      <c r="O354" s="13"/>
      <c r="P354" s="13"/>
      <c r="Q354" s="13"/>
    </row>
    <row r="355" spans="1:17" x14ac:dyDescent="0.3">
      <c r="A355" s="1">
        <f t="shared" si="102"/>
        <v>13</v>
      </c>
      <c r="B355" s="2">
        <v>44315446</v>
      </c>
      <c r="C355" s="3" t="s">
        <v>304</v>
      </c>
      <c r="D355" s="12" t="s">
        <v>40</v>
      </c>
      <c r="E355" s="12" t="s">
        <v>40</v>
      </c>
      <c r="F355" s="12" t="s">
        <v>40</v>
      </c>
      <c r="G355" s="12"/>
      <c r="H355" s="12"/>
      <c r="I355" s="12"/>
      <c r="J355" s="12"/>
      <c r="K355" s="12"/>
      <c r="L355" s="12">
        <v>35424</v>
      </c>
      <c r="M355" s="15">
        <f t="shared" ref="M355" si="111">+IF(D355="X",1,0)+IF(E355="X",1,0)+IF(F355="X",2,0)+IF(G355="X",2,0)+IF(H355="X",3,IF(H355="Y",1.5,0))+IF(I355="X",5,IF(I355="Y",2.5,0))+IF(J355="X",10,IF(J355="Y",5,0))</f>
        <v>4</v>
      </c>
      <c r="N355" s="15">
        <f t="shared" ref="N355" si="112">+IF(K355="X",1,0)</f>
        <v>0</v>
      </c>
      <c r="O355" s="12">
        <v>35424</v>
      </c>
      <c r="P355" s="12">
        <f t="shared" ref="P355" si="113">+L355/12</f>
        <v>2952</v>
      </c>
      <c r="Q355" s="12">
        <f t="shared" ref="Q355" si="114">+O355/12</f>
        <v>2952</v>
      </c>
    </row>
    <row r="356" spans="1:17" x14ac:dyDescent="0.3">
      <c r="A356" s="1">
        <f t="shared" si="102"/>
        <v>14</v>
      </c>
      <c r="B356" s="10"/>
      <c r="C356" s="9"/>
      <c r="D356" s="13"/>
      <c r="E356" s="13"/>
      <c r="F356" s="13"/>
      <c r="G356" s="13"/>
      <c r="H356" s="13"/>
      <c r="I356" s="13"/>
      <c r="J356" s="13"/>
      <c r="K356" s="13"/>
      <c r="L356" s="13"/>
      <c r="M356" s="16"/>
      <c r="N356" s="16"/>
      <c r="O356" s="13"/>
      <c r="P356" s="13"/>
      <c r="Q356" s="13"/>
    </row>
    <row r="357" spans="1:17" x14ac:dyDescent="0.3">
      <c r="A357" s="1">
        <f t="shared" si="102"/>
        <v>15</v>
      </c>
      <c r="B357" s="2" t="s">
        <v>315</v>
      </c>
      <c r="C357" s="3" t="s">
        <v>304</v>
      </c>
      <c r="D357" s="12" t="s">
        <v>40</v>
      </c>
      <c r="E357" s="12" t="s">
        <v>40</v>
      </c>
      <c r="F357" s="12"/>
      <c r="G357" s="12" t="s">
        <v>40</v>
      </c>
      <c r="H357" s="12"/>
      <c r="I357" s="12"/>
      <c r="J357" s="12"/>
      <c r="K357" s="12"/>
      <c r="L357" s="12">
        <v>60000</v>
      </c>
      <c r="M357" s="15">
        <f t="shared" ref="M357" si="115">+IF(D357="X",1,0)+IF(E357="X",1,0)+IF(F357="X",2,0)+IF(G357="X",2,0)+IF(H357="X",3,IF(H357="Y",1.5,0))+IF(I357="X",5,IF(I357="Y",2.5,0))+IF(J357="X",10,IF(J357="Y",5,0))</f>
        <v>4</v>
      </c>
      <c r="N357" s="15">
        <f t="shared" ref="N357" si="116">+IF(K357="X",1,0)</f>
        <v>0</v>
      </c>
      <c r="O357" s="12">
        <v>60000</v>
      </c>
      <c r="P357" s="12">
        <f t="shared" ref="P357" si="117">+L357/12</f>
        <v>5000</v>
      </c>
      <c r="Q357" s="12">
        <f t="shared" ref="Q357" si="118">+O357/12</f>
        <v>5000</v>
      </c>
    </row>
    <row r="358" spans="1:17" x14ac:dyDescent="0.3">
      <c r="A358" s="1">
        <f t="shared" si="102"/>
        <v>16</v>
      </c>
      <c r="B358" s="2" t="s">
        <v>307</v>
      </c>
      <c r="C358" s="3" t="s">
        <v>304</v>
      </c>
      <c r="D358" s="12" t="s">
        <v>40</v>
      </c>
      <c r="E358" s="12" t="s">
        <v>40</v>
      </c>
      <c r="F358" s="12" t="s">
        <v>40</v>
      </c>
      <c r="G358" s="12"/>
      <c r="H358" s="12"/>
      <c r="I358" s="12"/>
      <c r="J358" s="12"/>
      <c r="K358" s="12"/>
      <c r="L358" s="12">
        <v>0</v>
      </c>
      <c r="M358" s="15">
        <f t="shared" si="107"/>
        <v>4</v>
      </c>
      <c r="N358" s="15">
        <f t="shared" si="108"/>
        <v>0</v>
      </c>
      <c r="O358" s="20"/>
      <c r="P358" s="12">
        <f t="shared" si="109"/>
        <v>0</v>
      </c>
      <c r="Q358" s="20"/>
    </row>
    <row r="359" spans="1:17" x14ac:dyDescent="0.3">
      <c r="A359" s="1">
        <f t="shared" si="102"/>
        <v>17</v>
      </c>
      <c r="B359" s="2" t="s">
        <v>316</v>
      </c>
      <c r="C359" s="3" t="s">
        <v>304</v>
      </c>
      <c r="D359" s="12" t="s">
        <v>40</v>
      </c>
      <c r="E359" s="12" t="s">
        <v>40</v>
      </c>
      <c r="F359" s="12"/>
      <c r="G359" s="12"/>
      <c r="H359" s="12" t="s">
        <v>40</v>
      </c>
      <c r="I359" s="12" t="s">
        <v>40</v>
      </c>
      <c r="J359" s="12"/>
      <c r="K359" s="12"/>
      <c r="L359" s="12">
        <v>40800</v>
      </c>
      <c r="M359" s="15">
        <f t="shared" si="107"/>
        <v>10</v>
      </c>
      <c r="N359" s="15">
        <f t="shared" si="108"/>
        <v>0</v>
      </c>
      <c r="O359" s="12">
        <v>40800</v>
      </c>
      <c r="P359" s="12">
        <f t="shared" si="109"/>
        <v>3400</v>
      </c>
      <c r="Q359" s="12">
        <f t="shared" si="110"/>
        <v>3400</v>
      </c>
    </row>
    <row r="360" spans="1:17" x14ac:dyDescent="0.3">
      <c r="A360" s="1">
        <f t="shared" si="102"/>
        <v>18</v>
      </c>
      <c r="B360" s="10"/>
      <c r="C360" s="9"/>
      <c r="D360" s="13"/>
      <c r="E360" s="13"/>
      <c r="F360" s="13"/>
      <c r="G360" s="13"/>
      <c r="H360" s="13"/>
      <c r="I360" s="13"/>
      <c r="J360" s="13"/>
      <c r="K360" s="13"/>
      <c r="L360" s="13"/>
      <c r="M360" s="16"/>
      <c r="N360" s="16"/>
      <c r="O360" s="13"/>
      <c r="P360" s="13"/>
      <c r="Q360" s="13"/>
    </row>
    <row r="361" spans="1:17" x14ac:dyDescent="0.3">
      <c r="A361" s="1">
        <f t="shared" si="102"/>
        <v>19</v>
      </c>
      <c r="B361" s="2" t="s">
        <v>305</v>
      </c>
      <c r="C361" s="3" t="s">
        <v>304</v>
      </c>
      <c r="D361" s="12" t="s">
        <v>40</v>
      </c>
      <c r="E361" s="12" t="s">
        <v>40</v>
      </c>
      <c r="F361" s="12"/>
      <c r="G361" s="12"/>
      <c r="H361" s="12" t="s">
        <v>40</v>
      </c>
      <c r="I361" s="12" t="s">
        <v>40</v>
      </c>
      <c r="J361" s="12" t="s">
        <v>40</v>
      </c>
      <c r="K361" s="12"/>
      <c r="L361" s="12">
        <v>42480</v>
      </c>
      <c r="M361" s="15">
        <f>+IF(D361="X",1,0)+IF(E361="X",1,0)+IF(F361="X",2,0)+IF(G361="X",2,0)+IF(H361="X",3,IF(H361="Y",1.5,0))+IF(I361="X",5,IF(I361="Y",2.5,0))+IF(J361="X",10,IF(J361="Y",5,0))</f>
        <v>20</v>
      </c>
      <c r="N361" s="15">
        <f>+IF(K361="X",1,0)</f>
        <v>0</v>
      </c>
      <c r="O361" s="12">
        <v>42480</v>
      </c>
      <c r="P361" s="12">
        <f>+L361/12</f>
        <v>3540</v>
      </c>
      <c r="Q361" s="12">
        <f>+O361/12</f>
        <v>3540</v>
      </c>
    </row>
    <row r="362" spans="1:17" x14ac:dyDescent="0.3">
      <c r="A362" s="1">
        <f t="shared" si="102"/>
        <v>20</v>
      </c>
      <c r="B362" s="10"/>
      <c r="C362" s="9"/>
      <c r="D362" s="13"/>
      <c r="E362" s="13"/>
      <c r="F362" s="13"/>
      <c r="G362" s="13"/>
      <c r="H362" s="13"/>
      <c r="I362" s="13"/>
      <c r="J362" s="13"/>
      <c r="K362" s="13"/>
      <c r="L362" s="13"/>
      <c r="M362" s="16"/>
      <c r="N362" s="16"/>
      <c r="O362" s="13"/>
      <c r="P362" s="13"/>
      <c r="Q362" s="13"/>
    </row>
    <row r="363" spans="1:17" x14ac:dyDescent="0.3">
      <c r="A363" s="1">
        <f t="shared" si="102"/>
        <v>21</v>
      </c>
      <c r="B363" s="2" t="s">
        <v>317</v>
      </c>
      <c r="C363" s="3" t="s">
        <v>304</v>
      </c>
      <c r="D363" s="12" t="s">
        <v>40</v>
      </c>
      <c r="E363" s="12" t="s">
        <v>40</v>
      </c>
      <c r="F363" s="12"/>
      <c r="G363" s="12" t="s">
        <v>40</v>
      </c>
      <c r="H363" s="12" t="s">
        <v>40</v>
      </c>
      <c r="I363" s="12"/>
      <c r="J363" s="12"/>
      <c r="K363" s="12" t="s">
        <v>40</v>
      </c>
      <c r="L363" s="12">
        <v>120000</v>
      </c>
      <c r="M363" s="15">
        <f>+IF(D363="X",1,0)+IF(E363="X",1,0)+IF(F363="X",2,0)+IF(G363="X",2,0)+IF(H363="X",3,IF(H363="Y",1.5,0))+IF(I363="X",5,IF(I363="Y",2.5,0))+IF(J363="X",10,IF(J363="Y",5,0))</f>
        <v>7</v>
      </c>
      <c r="N363" s="15">
        <f>+IF(K363="X",1,0)</f>
        <v>1</v>
      </c>
      <c r="O363" s="12">
        <v>120000</v>
      </c>
      <c r="P363" s="12">
        <f>+L363/12</f>
        <v>10000</v>
      </c>
      <c r="Q363" s="12">
        <f>+O363/12</f>
        <v>10000</v>
      </c>
    </row>
    <row r="364" spans="1:17" x14ac:dyDescent="0.3">
      <c r="A364" s="1">
        <f t="shared" si="102"/>
        <v>22</v>
      </c>
      <c r="B364" s="10"/>
      <c r="C364" s="9"/>
      <c r="D364" s="13"/>
      <c r="E364" s="13"/>
      <c r="F364" s="13"/>
      <c r="G364" s="13"/>
      <c r="H364" s="13"/>
      <c r="I364" s="13"/>
      <c r="J364" s="13"/>
      <c r="K364" s="13"/>
      <c r="L364" s="13"/>
      <c r="M364" s="16"/>
      <c r="N364" s="16"/>
      <c r="O364" s="13"/>
      <c r="P364" s="13"/>
      <c r="Q364" s="13"/>
    </row>
    <row r="365" spans="1:17" x14ac:dyDescent="0.3">
      <c r="A365" s="1">
        <f t="shared" si="102"/>
        <v>23</v>
      </c>
      <c r="B365" s="2" t="s">
        <v>309</v>
      </c>
      <c r="C365" s="3" t="s">
        <v>304</v>
      </c>
      <c r="D365" s="12" t="s">
        <v>40</v>
      </c>
      <c r="E365" s="12" t="s">
        <v>40</v>
      </c>
      <c r="F365" s="12"/>
      <c r="G365" s="12"/>
      <c r="H365" s="12" t="s">
        <v>40</v>
      </c>
      <c r="I365" s="12" t="s">
        <v>40</v>
      </c>
      <c r="J365" s="12"/>
      <c r="K365" s="12"/>
      <c r="L365" s="12">
        <v>118878.75</v>
      </c>
      <c r="M365" s="15">
        <f t="shared" ref="M365:M367" si="119">+IF(D365="X",1,0)+IF(E365="X",1,0)+IF(F365="X",2,0)+IF(G365="X",2,0)+IF(H365="X",3,IF(H365="Y",1.5,0))+IF(I365="X",5,IF(I365="Y",2.5,0))+IF(J365="X",10,IF(J365="Y",5,0))</f>
        <v>10</v>
      </c>
      <c r="N365" s="15">
        <f t="shared" ref="N365:N367" si="120">+IF(K365="X",1,0)</f>
        <v>0</v>
      </c>
      <c r="O365" s="12">
        <v>118878.75</v>
      </c>
      <c r="P365" s="12">
        <f t="shared" ref="P365:P367" si="121">+L365/12</f>
        <v>9906.5625</v>
      </c>
      <c r="Q365" s="12">
        <f t="shared" ref="Q365:Q367" si="122">+O365/12</f>
        <v>9906.5625</v>
      </c>
    </row>
    <row r="366" spans="1:17" x14ac:dyDescent="0.3">
      <c r="A366" s="1">
        <f t="shared" si="102"/>
        <v>24</v>
      </c>
      <c r="B366" s="10"/>
      <c r="C366" s="9"/>
      <c r="D366" s="13"/>
      <c r="E366" s="13"/>
      <c r="F366" s="13"/>
      <c r="G366" s="13"/>
      <c r="H366" s="13"/>
      <c r="I366" s="13"/>
      <c r="J366" s="13"/>
      <c r="K366" s="13"/>
      <c r="L366" s="13"/>
      <c r="M366" s="16"/>
      <c r="N366" s="16"/>
      <c r="O366" s="13"/>
      <c r="P366" s="13"/>
      <c r="Q366" s="13"/>
    </row>
    <row r="367" spans="1:17" x14ac:dyDescent="0.3">
      <c r="A367" s="1">
        <f t="shared" si="102"/>
        <v>25</v>
      </c>
      <c r="B367" s="2" t="s">
        <v>308</v>
      </c>
      <c r="C367" s="3" t="s">
        <v>304</v>
      </c>
      <c r="D367" s="12" t="s">
        <v>40</v>
      </c>
      <c r="E367" s="12" t="s">
        <v>40</v>
      </c>
      <c r="F367" s="12" t="s">
        <v>40</v>
      </c>
      <c r="G367" s="12" t="s">
        <v>40</v>
      </c>
      <c r="H367" s="12" t="s">
        <v>40</v>
      </c>
      <c r="I367" s="12" t="s">
        <v>40</v>
      </c>
      <c r="J367" s="12" t="s">
        <v>43</v>
      </c>
      <c r="K367" s="12"/>
      <c r="L367" s="12">
        <v>18000</v>
      </c>
      <c r="M367" s="15">
        <f t="shared" si="119"/>
        <v>19</v>
      </c>
      <c r="N367" s="15">
        <f t="shared" si="120"/>
        <v>0</v>
      </c>
      <c r="O367" s="12">
        <v>18000</v>
      </c>
      <c r="P367" s="12">
        <f t="shared" si="121"/>
        <v>1500</v>
      </c>
      <c r="Q367" s="12">
        <f t="shared" si="122"/>
        <v>1500</v>
      </c>
    </row>
    <row r="368" spans="1:17" x14ac:dyDescent="0.3">
      <c r="A368" s="1">
        <f t="shared" si="102"/>
        <v>26</v>
      </c>
      <c r="B368" s="10"/>
      <c r="C368" s="9"/>
      <c r="D368" s="13"/>
      <c r="E368" s="13"/>
      <c r="F368" s="13"/>
      <c r="G368" s="13"/>
      <c r="H368" s="13"/>
      <c r="I368" s="13"/>
      <c r="J368" s="13"/>
      <c r="K368" s="13"/>
      <c r="L368" s="13"/>
      <c r="M368" s="16"/>
      <c r="N368" s="16"/>
      <c r="O368" s="13"/>
      <c r="P368" s="13"/>
      <c r="Q368" s="13"/>
    </row>
    <row r="369" spans="1:21" x14ac:dyDescent="0.3">
      <c r="A369" s="1">
        <f t="shared" si="102"/>
        <v>27</v>
      </c>
      <c r="B369" s="10"/>
      <c r="C369" s="9"/>
      <c r="D369" s="13"/>
      <c r="E369" s="13"/>
      <c r="F369" s="13"/>
      <c r="G369" s="13"/>
      <c r="H369" s="13"/>
      <c r="I369" s="13"/>
      <c r="J369" s="13"/>
      <c r="K369" s="13"/>
      <c r="L369" s="13"/>
      <c r="M369" s="16"/>
      <c r="N369" s="16"/>
      <c r="O369" s="13"/>
      <c r="P369" s="13"/>
      <c r="Q369" s="13"/>
    </row>
    <row r="370" spans="1:21" x14ac:dyDescent="0.3">
      <c r="A370" s="1">
        <f t="shared" si="102"/>
        <v>28</v>
      </c>
      <c r="B370" s="10"/>
      <c r="C370" s="9"/>
      <c r="D370" s="13"/>
      <c r="E370" s="13"/>
      <c r="F370" s="13"/>
      <c r="G370" s="13"/>
      <c r="H370" s="13"/>
      <c r="I370" s="13"/>
      <c r="J370" s="13"/>
      <c r="K370" s="13"/>
      <c r="L370" s="13"/>
      <c r="M370" s="16"/>
      <c r="N370" s="16"/>
      <c r="O370" s="13"/>
      <c r="P370" s="13"/>
      <c r="Q370" s="13"/>
    </row>
    <row r="371" spans="1:21" x14ac:dyDescent="0.3">
      <c r="A371" s="1">
        <f t="shared" si="102"/>
        <v>29</v>
      </c>
      <c r="B371" s="10"/>
      <c r="C371" s="9"/>
      <c r="D371" s="13"/>
      <c r="E371" s="13"/>
      <c r="F371" s="13"/>
      <c r="G371" s="13"/>
      <c r="H371" s="13"/>
      <c r="I371" s="13"/>
      <c r="J371" s="13"/>
      <c r="K371" s="13"/>
      <c r="L371" s="13"/>
      <c r="M371" s="16"/>
      <c r="N371" s="16"/>
      <c r="O371" s="13"/>
      <c r="P371" s="13"/>
      <c r="Q371" s="13"/>
    </row>
    <row r="372" spans="1:21" x14ac:dyDescent="0.3">
      <c r="A372" s="1">
        <f t="shared" si="102"/>
        <v>30</v>
      </c>
      <c r="B372" s="10"/>
      <c r="C372" s="9"/>
      <c r="D372" s="13"/>
      <c r="E372" s="13"/>
      <c r="F372" s="13"/>
      <c r="G372" s="13"/>
      <c r="H372" s="13"/>
      <c r="I372" s="13"/>
      <c r="J372" s="13"/>
      <c r="K372" s="13"/>
      <c r="L372" s="13"/>
      <c r="M372" s="16"/>
      <c r="N372" s="16"/>
      <c r="O372" s="13"/>
      <c r="P372" s="13"/>
      <c r="Q372" s="13"/>
    </row>
    <row r="373" spans="1:21" x14ac:dyDescent="0.3">
      <c r="L373" s="14">
        <f>+AVERAGE(L343:L372)</f>
        <v>53268.263888888891</v>
      </c>
      <c r="M373" s="14">
        <f>+AVERAGE(M343:M372)</f>
        <v>8.9166666666666661</v>
      </c>
      <c r="N373" s="14">
        <f>+SUM(N343:N372)</f>
        <v>2</v>
      </c>
      <c r="O373" s="14">
        <f>+AVERAGE(O343:O372)</f>
        <v>49260.716666666667</v>
      </c>
      <c r="P373" s="14">
        <f>+AVERAGE(P343:P372)</f>
        <v>4439.0219907407409</v>
      </c>
      <c r="Q373" s="14">
        <f>+AVERAGE(Q343:Q372)</f>
        <v>4105.0597222222223</v>
      </c>
      <c r="R373" s="14">
        <f>30-COUNTBLANK(R343:R372)</f>
        <v>0</v>
      </c>
    </row>
    <row r="374" spans="1:21" x14ac:dyDescent="0.3">
      <c r="L374" s="14">
        <f>+STDEV(L343:L372)</f>
        <v>45845.143283929872</v>
      </c>
      <c r="M374" s="14">
        <f>+STDEV(M343:M372)</f>
        <v>7.0549315250772926</v>
      </c>
      <c r="N374" s="17"/>
      <c r="O374" s="14">
        <f>+STDEV(O343:O372)</f>
        <v>31659.080872700117</v>
      </c>
      <c r="P374" s="14">
        <f>+STDEV(P343:P372)</f>
        <v>3820.4286069941568</v>
      </c>
      <c r="Q374" s="14">
        <f>+STDEV(Q343:Q372)</f>
        <v>2638.2567393916775</v>
      </c>
    </row>
    <row r="375" spans="1:21" x14ac:dyDescent="0.3">
      <c r="I375" s="15"/>
      <c r="J375" s="15"/>
      <c r="K375" s="11" t="s">
        <v>75</v>
      </c>
      <c r="L375" s="14">
        <f>+COUNTIF(L343:L372,0)</f>
        <v>2</v>
      </c>
      <c r="M375" s="14">
        <f>+COUNT(M343:M372)</f>
        <v>18</v>
      </c>
      <c r="P375" s="14">
        <f>+COUNTIF(P343:P372,0)</f>
        <v>2</v>
      </c>
    </row>
    <row r="377" spans="1:21" x14ac:dyDescent="0.3">
      <c r="A377" s="1">
        <v>1</v>
      </c>
      <c r="B377" s="4" t="s">
        <v>322</v>
      </c>
      <c r="C377" s="3" t="s">
        <v>318</v>
      </c>
      <c r="D377" s="12" t="s">
        <v>40</v>
      </c>
      <c r="E377" s="12" t="s">
        <v>40</v>
      </c>
      <c r="F377" s="12"/>
      <c r="G377" s="12"/>
      <c r="H377" s="12" t="s">
        <v>40</v>
      </c>
      <c r="I377" s="12"/>
      <c r="J377" s="12"/>
      <c r="K377" s="12"/>
      <c r="L377" s="12">
        <v>3399</v>
      </c>
      <c r="M377" s="15">
        <f>+IF(D377="X",1,0)+IF(E377="X",1,0)+IF(F377="X",2,0)+IF(G377="X",2,0)+IF(H377="X",3,IF(H377="Y",1.5,0))+IF(I377="X",5,IF(I377="Y",2.5,0))+IF(J377="X",10,IF(J377="Y",5,0))</f>
        <v>5</v>
      </c>
      <c r="N377" s="15">
        <f>+IF(K377="X",1,0)</f>
        <v>0</v>
      </c>
      <c r="O377" s="12">
        <v>121000</v>
      </c>
      <c r="P377" s="12">
        <f t="shared" ref="P377" si="123">+L377/12</f>
        <v>283.25</v>
      </c>
      <c r="Q377" s="12">
        <f t="shared" ref="Q377" si="124">+O377/12</f>
        <v>10083.333333333334</v>
      </c>
    </row>
    <row r="378" spans="1:21" x14ac:dyDescent="0.3">
      <c r="A378" s="1">
        <f>+A377+1</f>
        <v>2</v>
      </c>
      <c r="B378" s="2">
        <v>40767221</v>
      </c>
      <c r="C378" s="3" t="s">
        <v>318</v>
      </c>
      <c r="D378" s="12" t="s">
        <v>40</v>
      </c>
      <c r="E378" s="12" t="s">
        <v>40</v>
      </c>
      <c r="F378" s="12"/>
      <c r="G378" s="12"/>
      <c r="H378" s="12" t="s">
        <v>40</v>
      </c>
      <c r="I378" s="12"/>
      <c r="J378" s="12"/>
      <c r="K378" s="12" t="s">
        <v>40</v>
      </c>
      <c r="L378" s="12">
        <v>121000</v>
      </c>
      <c r="M378" s="15">
        <f t="shared" ref="M378:M406" si="125">+IF(D378="X",1,0)+IF(E378="X",1,0)+IF(F378="X",2,0)+IF(G378="X",2,0)+IF(H378="X",3,IF(H378="Y",1.5,0))+IF(I378="X",5,IF(I378="Y",2.5,0))+IF(J378="X",10,IF(J378="Y",5,0))</f>
        <v>5</v>
      </c>
      <c r="N378" s="15">
        <f t="shared" ref="N378:N406" si="126">+IF(K378="X",1,0)</f>
        <v>1</v>
      </c>
      <c r="O378" s="12">
        <v>121000</v>
      </c>
      <c r="P378" s="12">
        <f t="shared" ref="P378:P403" si="127">+L378/12</f>
        <v>10083.333333333334</v>
      </c>
      <c r="Q378" s="12">
        <f t="shared" ref="Q378:Q404" si="128">+O378/12</f>
        <v>10083.333333333334</v>
      </c>
    </row>
    <row r="379" spans="1:21" x14ac:dyDescent="0.3">
      <c r="A379" s="1">
        <f t="shared" ref="A379:A406" si="129">+A378+1</f>
        <v>3</v>
      </c>
      <c r="B379" s="4" t="s">
        <v>323</v>
      </c>
      <c r="C379" s="3" t="s">
        <v>318</v>
      </c>
      <c r="D379" s="12" t="s">
        <v>40</v>
      </c>
      <c r="E379" s="12" t="s">
        <v>40</v>
      </c>
      <c r="F379" s="12"/>
      <c r="G379" s="12"/>
      <c r="H379" s="12" t="s">
        <v>40</v>
      </c>
      <c r="I379" s="12" t="s">
        <v>40</v>
      </c>
      <c r="J379" s="12" t="s">
        <v>40</v>
      </c>
      <c r="K379" s="12"/>
      <c r="L379" s="12">
        <v>343782</v>
      </c>
      <c r="M379" s="15">
        <f t="shared" si="125"/>
        <v>20</v>
      </c>
      <c r="N379" s="15">
        <f t="shared" si="126"/>
        <v>0</v>
      </c>
      <c r="O379" s="12">
        <v>343782</v>
      </c>
      <c r="P379" s="12">
        <f t="shared" si="127"/>
        <v>28648.5</v>
      </c>
      <c r="Q379" s="12">
        <f t="shared" si="128"/>
        <v>28648.5</v>
      </c>
    </row>
    <row r="380" spans="1:21" x14ac:dyDescent="0.3">
      <c r="A380" s="1">
        <f t="shared" si="129"/>
        <v>4</v>
      </c>
      <c r="B380" s="4" t="s">
        <v>324</v>
      </c>
      <c r="C380" s="3" t="s">
        <v>318</v>
      </c>
      <c r="D380" s="12" t="s">
        <v>40</v>
      </c>
      <c r="E380" s="12" t="s">
        <v>40</v>
      </c>
      <c r="F380" s="12"/>
      <c r="G380" s="12"/>
      <c r="H380" s="12" t="s">
        <v>40</v>
      </c>
      <c r="I380" s="12" t="s">
        <v>40</v>
      </c>
      <c r="J380" s="12"/>
      <c r="K380" s="12"/>
      <c r="L380" s="12">
        <v>162357</v>
      </c>
      <c r="M380" s="15">
        <f t="shared" si="125"/>
        <v>10</v>
      </c>
      <c r="N380" s="15">
        <f t="shared" si="126"/>
        <v>0</v>
      </c>
      <c r="O380" s="12">
        <v>162357</v>
      </c>
      <c r="P380" s="12">
        <f t="shared" si="127"/>
        <v>13529.75</v>
      </c>
      <c r="Q380" s="12">
        <f t="shared" si="128"/>
        <v>13529.75</v>
      </c>
      <c r="S380" t="s">
        <v>325</v>
      </c>
      <c r="T380" t="s">
        <v>151</v>
      </c>
    </row>
    <row r="381" spans="1:21" x14ac:dyDescent="0.3">
      <c r="A381" s="1">
        <f t="shared" si="129"/>
        <v>5</v>
      </c>
      <c r="B381" s="4" t="s">
        <v>326</v>
      </c>
      <c r="C381" s="3" t="s">
        <v>318</v>
      </c>
      <c r="D381" s="12" t="s">
        <v>40</v>
      </c>
      <c r="E381" s="12" t="s">
        <v>40</v>
      </c>
      <c r="F381" s="12"/>
      <c r="G381" s="12"/>
      <c r="H381" s="12" t="s">
        <v>40</v>
      </c>
      <c r="I381" s="12" t="s">
        <v>40</v>
      </c>
      <c r="J381" s="12" t="s">
        <v>40</v>
      </c>
      <c r="K381" s="12"/>
      <c r="L381" s="12">
        <v>46196</v>
      </c>
      <c r="M381" s="15">
        <f t="shared" si="125"/>
        <v>20</v>
      </c>
      <c r="N381" s="15">
        <f t="shared" si="126"/>
        <v>0</v>
      </c>
      <c r="O381" s="12">
        <v>46196</v>
      </c>
      <c r="P381" s="12">
        <f t="shared" si="127"/>
        <v>3849.6666666666665</v>
      </c>
      <c r="Q381" s="12">
        <f t="shared" si="128"/>
        <v>3849.6666666666665</v>
      </c>
    </row>
    <row r="382" spans="1:21" x14ac:dyDescent="0.3">
      <c r="A382" s="1">
        <f t="shared" si="129"/>
        <v>6</v>
      </c>
      <c r="B382" s="4" t="s">
        <v>327</v>
      </c>
      <c r="C382" s="3" t="s">
        <v>318</v>
      </c>
      <c r="D382" s="12" t="s">
        <v>40</v>
      </c>
      <c r="E382" s="12" t="s">
        <v>40</v>
      </c>
      <c r="F382" s="12"/>
      <c r="G382" s="12"/>
      <c r="H382" s="12" t="s">
        <v>40</v>
      </c>
      <c r="I382" s="12" t="s">
        <v>40</v>
      </c>
      <c r="J382" s="12" t="s">
        <v>40</v>
      </c>
      <c r="K382" s="12"/>
      <c r="L382" s="12">
        <v>559679</v>
      </c>
      <c r="M382" s="15">
        <f t="shared" si="125"/>
        <v>20</v>
      </c>
      <c r="N382" s="15">
        <f t="shared" si="126"/>
        <v>0</v>
      </c>
      <c r="O382" s="20"/>
      <c r="P382" s="12">
        <f t="shared" si="127"/>
        <v>46639.916666666664</v>
      </c>
      <c r="Q382" s="20"/>
    </row>
    <row r="383" spans="1:21" x14ac:dyDescent="0.3">
      <c r="A383" s="1">
        <f t="shared" si="129"/>
        <v>7</v>
      </c>
      <c r="B383" s="2">
        <v>25417613</v>
      </c>
      <c r="C383" s="3" t="s">
        <v>318</v>
      </c>
      <c r="D383" s="12" t="s">
        <v>40</v>
      </c>
      <c r="E383" s="12" t="s">
        <v>40</v>
      </c>
      <c r="F383" s="12" t="s">
        <v>40</v>
      </c>
      <c r="G383" s="12" t="s">
        <v>40</v>
      </c>
      <c r="H383" s="12" t="s">
        <v>40</v>
      </c>
      <c r="I383" s="12" t="s">
        <v>40</v>
      </c>
      <c r="J383" s="12"/>
      <c r="K383" s="12"/>
      <c r="L383" s="12">
        <v>2500</v>
      </c>
      <c r="M383" s="15">
        <f t="shared" si="125"/>
        <v>14</v>
      </c>
      <c r="N383" s="15">
        <f t="shared" si="126"/>
        <v>0</v>
      </c>
      <c r="O383" s="12">
        <v>2500</v>
      </c>
      <c r="P383" s="12">
        <f t="shared" si="127"/>
        <v>208.33333333333334</v>
      </c>
      <c r="Q383" s="12">
        <f t="shared" si="128"/>
        <v>208.33333333333334</v>
      </c>
    </row>
    <row r="384" spans="1:21" x14ac:dyDescent="0.3">
      <c r="A384" s="1">
        <f t="shared" si="129"/>
        <v>8</v>
      </c>
      <c r="B384" s="4" t="s">
        <v>328</v>
      </c>
      <c r="C384" s="3" t="s">
        <v>318</v>
      </c>
      <c r="D384" s="12" t="s">
        <v>40</v>
      </c>
      <c r="E384" s="12" t="s">
        <v>40</v>
      </c>
      <c r="F384" s="12"/>
      <c r="G384" s="12"/>
      <c r="H384" s="12" t="s">
        <v>40</v>
      </c>
      <c r="I384" s="12"/>
      <c r="J384" s="12"/>
      <c r="K384" s="12"/>
      <c r="L384" s="12">
        <v>60000</v>
      </c>
      <c r="M384" s="15">
        <f t="shared" si="125"/>
        <v>5</v>
      </c>
      <c r="N384" s="15">
        <f t="shared" si="126"/>
        <v>0</v>
      </c>
      <c r="O384" s="12">
        <v>60000</v>
      </c>
      <c r="P384" s="12">
        <f t="shared" si="127"/>
        <v>5000</v>
      </c>
      <c r="Q384" s="12">
        <f t="shared" si="128"/>
        <v>5000</v>
      </c>
      <c r="U384" t="s">
        <v>329</v>
      </c>
    </row>
    <row r="385" spans="1:17" x14ac:dyDescent="0.3">
      <c r="A385" s="1">
        <f t="shared" si="129"/>
        <v>9</v>
      </c>
      <c r="B385" s="2">
        <v>22103507</v>
      </c>
      <c r="C385" s="3" t="s">
        <v>318</v>
      </c>
      <c r="D385" s="12" t="s">
        <v>40</v>
      </c>
      <c r="E385" s="12" t="s">
        <v>40</v>
      </c>
      <c r="F385" s="12"/>
      <c r="G385" s="12"/>
      <c r="H385" s="12" t="s">
        <v>40</v>
      </c>
      <c r="I385" s="12"/>
      <c r="J385" s="12"/>
      <c r="K385" s="12"/>
      <c r="L385" s="12">
        <v>38000</v>
      </c>
      <c r="M385" s="15">
        <f t="shared" si="125"/>
        <v>5</v>
      </c>
      <c r="N385" s="15">
        <f t="shared" si="126"/>
        <v>0</v>
      </c>
      <c r="O385" s="12">
        <v>38000</v>
      </c>
      <c r="P385" s="12">
        <f t="shared" si="127"/>
        <v>3166.6666666666665</v>
      </c>
      <c r="Q385" s="12">
        <f t="shared" si="128"/>
        <v>3166.6666666666665</v>
      </c>
    </row>
    <row r="386" spans="1:17" x14ac:dyDescent="0.3">
      <c r="A386" s="1">
        <f t="shared" si="129"/>
        <v>10</v>
      </c>
      <c r="B386" s="4" t="s">
        <v>330</v>
      </c>
      <c r="C386" s="3" t="s">
        <v>318</v>
      </c>
      <c r="D386" s="12" t="s">
        <v>40</v>
      </c>
      <c r="E386" s="12" t="s">
        <v>40</v>
      </c>
      <c r="F386" s="12"/>
      <c r="G386" s="12"/>
      <c r="H386" s="12" t="s">
        <v>40</v>
      </c>
      <c r="I386" s="12"/>
      <c r="J386" s="12" t="s">
        <v>40</v>
      </c>
      <c r="K386" s="12"/>
      <c r="L386" s="12">
        <v>218400</v>
      </c>
      <c r="M386" s="15">
        <f t="shared" si="125"/>
        <v>15</v>
      </c>
      <c r="N386" s="15">
        <f t="shared" si="126"/>
        <v>0</v>
      </c>
      <c r="O386" s="12">
        <v>218400</v>
      </c>
      <c r="P386" s="12">
        <f t="shared" si="127"/>
        <v>18200</v>
      </c>
      <c r="Q386" s="12">
        <f t="shared" si="128"/>
        <v>18200</v>
      </c>
    </row>
    <row r="387" spans="1:17" x14ac:dyDescent="0.3">
      <c r="A387" s="1">
        <f t="shared" si="129"/>
        <v>11</v>
      </c>
      <c r="B387" s="2" t="s">
        <v>319</v>
      </c>
      <c r="C387" s="3" t="s">
        <v>318</v>
      </c>
      <c r="D387" s="12" t="s">
        <v>40</v>
      </c>
      <c r="E387" s="12" t="s">
        <v>40</v>
      </c>
      <c r="F387" s="12" t="s">
        <v>40</v>
      </c>
      <c r="G387" s="12"/>
      <c r="H387" s="12"/>
      <c r="I387" s="12"/>
      <c r="J387" s="12"/>
      <c r="K387" s="12"/>
      <c r="L387" s="12">
        <v>0</v>
      </c>
      <c r="M387" s="15">
        <f t="shared" si="125"/>
        <v>4</v>
      </c>
      <c r="N387" s="15">
        <f t="shared" si="126"/>
        <v>0</v>
      </c>
      <c r="O387" s="20"/>
      <c r="P387" s="12">
        <f t="shared" si="127"/>
        <v>0</v>
      </c>
      <c r="Q387" s="20"/>
    </row>
    <row r="388" spans="1:17" x14ac:dyDescent="0.3">
      <c r="A388" s="1">
        <f t="shared" si="129"/>
        <v>12</v>
      </c>
      <c r="B388" s="2" t="s">
        <v>320</v>
      </c>
      <c r="C388" s="3" t="s">
        <v>318</v>
      </c>
      <c r="D388" s="12" t="s">
        <v>40</v>
      </c>
      <c r="E388" s="12" t="s">
        <v>40</v>
      </c>
      <c r="F388" s="12"/>
      <c r="G388" s="12"/>
      <c r="H388" s="12" t="s">
        <v>40</v>
      </c>
      <c r="I388" s="12" t="s">
        <v>40</v>
      </c>
      <c r="J388" s="12"/>
      <c r="K388" s="12"/>
      <c r="L388" s="12">
        <v>103000</v>
      </c>
      <c r="M388" s="15">
        <f t="shared" si="125"/>
        <v>10</v>
      </c>
      <c r="N388" s="15">
        <f t="shared" si="126"/>
        <v>0</v>
      </c>
      <c r="O388" s="12">
        <v>103000</v>
      </c>
      <c r="P388" s="12">
        <f t="shared" si="127"/>
        <v>8583.3333333333339</v>
      </c>
      <c r="Q388" s="12">
        <f t="shared" si="128"/>
        <v>8583.3333333333339</v>
      </c>
    </row>
    <row r="389" spans="1:17" x14ac:dyDescent="0.3">
      <c r="A389" s="1">
        <f t="shared" si="129"/>
        <v>13</v>
      </c>
      <c r="B389" s="2">
        <v>21567095</v>
      </c>
      <c r="C389" s="3" t="s">
        <v>318</v>
      </c>
      <c r="D389" s="12" t="s">
        <v>40</v>
      </c>
      <c r="E389" s="12" t="s">
        <v>40</v>
      </c>
      <c r="F389" s="12"/>
      <c r="G389" s="12"/>
      <c r="H389" s="12"/>
      <c r="I389" s="12"/>
      <c r="J389" s="12"/>
      <c r="K389" s="12"/>
      <c r="L389" s="12">
        <v>7800</v>
      </c>
      <c r="M389" s="15">
        <f t="shared" si="125"/>
        <v>2</v>
      </c>
      <c r="N389" s="15">
        <f t="shared" si="126"/>
        <v>0</v>
      </c>
      <c r="O389" s="12">
        <v>7800</v>
      </c>
      <c r="P389" s="12">
        <f t="shared" si="127"/>
        <v>650</v>
      </c>
      <c r="Q389" s="12">
        <f t="shared" si="128"/>
        <v>650</v>
      </c>
    </row>
    <row r="390" spans="1:17" x14ac:dyDescent="0.3">
      <c r="A390" s="1">
        <f t="shared" si="129"/>
        <v>14</v>
      </c>
      <c r="B390" s="4" t="s">
        <v>331</v>
      </c>
      <c r="C390" s="3" t="s">
        <v>318</v>
      </c>
      <c r="D390" s="12" t="s">
        <v>40</v>
      </c>
      <c r="E390" s="12" t="s">
        <v>40</v>
      </c>
      <c r="F390" s="12"/>
      <c r="G390" s="12"/>
      <c r="H390" s="12"/>
      <c r="I390" s="12"/>
      <c r="J390" s="12"/>
      <c r="K390" s="12"/>
      <c r="L390" s="12">
        <v>4200</v>
      </c>
      <c r="M390" s="15">
        <f t="shared" si="125"/>
        <v>2</v>
      </c>
      <c r="N390" s="15">
        <f t="shared" si="126"/>
        <v>0</v>
      </c>
      <c r="O390" s="12">
        <v>4200</v>
      </c>
      <c r="P390" s="12">
        <f t="shared" si="127"/>
        <v>350</v>
      </c>
      <c r="Q390" s="12">
        <f t="shared" si="128"/>
        <v>350</v>
      </c>
    </row>
    <row r="391" spans="1:17" x14ac:dyDescent="0.3">
      <c r="A391" s="1">
        <f t="shared" si="129"/>
        <v>15</v>
      </c>
      <c r="B391" s="2" t="s">
        <v>321</v>
      </c>
      <c r="C391" s="3" t="s">
        <v>318</v>
      </c>
      <c r="D391" s="12" t="s">
        <v>40</v>
      </c>
      <c r="E391" s="12" t="s">
        <v>40</v>
      </c>
      <c r="F391" s="12"/>
      <c r="G391" s="12"/>
      <c r="H391" s="12"/>
      <c r="I391" s="12"/>
      <c r="J391" s="12"/>
      <c r="K391" s="12"/>
      <c r="L391" s="12">
        <v>0</v>
      </c>
      <c r="M391" s="15">
        <f t="shared" si="125"/>
        <v>2</v>
      </c>
      <c r="N391" s="15">
        <f t="shared" si="126"/>
        <v>0</v>
      </c>
      <c r="O391" s="20"/>
      <c r="P391" s="12">
        <f t="shared" si="127"/>
        <v>0</v>
      </c>
      <c r="Q391" s="20"/>
    </row>
    <row r="392" spans="1:17" x14ac:dyDescent="0.3">
      <c r="A392" s="1">
        <f t="shared" si="129"/>
        <v>16</v>
      </c>
      <c r="B392" s="2">
        <v>10160561</v>
      </c>
      <c r="C392" s="3" t="s">
        <v>318</v>
      </c>
      <c r="D392" s="12" t="s">
        <v>40</v>
      </c>
      <c r="E392" s="12" t="s">
        <v>40</v>
      </c>
      <c r="F392" s="12" t="s">
        <v>40</v>
      </c>
      <c r="G392" s="12"/>
      <c r="H392" s="12"/>
      <c r="I392" s="12"/>
      <c r="J392" s="12"/>
      <c r="K392" s="12"/>
      <c r="L392" s="12">
        <v>42188.639999999999</v>
      </c>
      <c r="M392" s="15">
        <f t="shared" si="125"/>
        <v>4</v>
      </c>
      <c r="N392" s="15">
        <f t="shared" si="126"/>
        <v>0</v>
      </c>
      <c r="O392" s="12">
        <v>42188.639999999999</v>
      </c>
      <c r="P392" s="12">
        <f t="shared" si="127"/>
        <v>3515.72</v>
      </c>
      <c r="Q392" s="12">
        <f t="shared" si="128"/>
        <v>3515.72</v>
      </c>
    </row>
    <row r="393" spans="1:17" x14ac:dyDescent="0.3">
      <c r="A393" s="1">
        <f t="shared" si="129"/>
        <v>17</v>
      </c>
      <c r="B393" s="2">
        <v>10762325</v>
      </c>
      <c r="C393" s="3" t="s">
        <v>318</v>
      </c>
      <c r="D393" s="12" t="s">
        <v>40</v>
      </c>
      <c r="E393" s="12" t="s">
        <v>40</v>
      </c>
      <c r="F393" s="12"/>
      <c r="G393" s="12"/>
      <c r="H393" s="12"/>
      <c r="I393" s="12"/>
      <c r="J393" s="12"/>
      <c r="K393" s="12"/>
      <c r="L393" s="12">
        <v>0</v>
      </c>
      <c r="M393" s="15">
        <f t="shared" si="125"/>
        <v>2</v>
      </c>
      <c r="N393" s="15">
        <f t="shared" si="126"/>
        <v>0</v>
      </c>
      <c r="O393" s="20"/>
      <c r="P393" s="12">
        <f t="shared" si="127"/>
        <v>0</v>
      </c>
      <c r="Q393" s="20"/>
    </row>
    <row r="394" spans="1:17" x14ac:dyDescent="0.3">
      <c r="A394" s="1">
        <f t="shared" si="129"/>
        <v>18</v>
      </c>
      <c r="B394" s="10"/>
      <c r="C394" s="9"/>
      <c r="D394" s="13"/>
      <c r="E394" s="13"/>
      <c r="F394" s="13"/>
      <c r="G394" s="13"/>
      <c r="H394" s="13"/>
      <c r="I394" s="13"/>
      <c r="J394" s="13"/>
      <c r="K394" s="13"/>
      <c r="L394" s="13"/>
      <c r="M394" s="16"/>
      <c r="N394" s="16"/>
      <c r="O394" s="13"/>
      <c r="P394" s="13"/>
      <c r="Q394" s="13"/>
    </row>
    <row r="395" spans="1:17" x14ac:dyDescent="0.3">
      <c r="A395" s="1">
        <f t="shared" si="129"/>
        <v>19</v>
      </c>
      <c r="B395" s="10"/>
      <c r="C395" s="9"/>
      <c r="D395" s="13"/>
      <c r="E395" s="13"/>
      <c r="F395" s="13"/>
      <c r="G395" s="13"/>
      <c r="H395" s="13"/>
      <c r="I395" s="13"/>
      <c r="J395" s="13"/>
      <c r="K395" s="13"/>
      <c r="L395" s="13"/>
      <c r="M395" s="16"/>
      <c r="N395" s="16"/>
      <c r="O395" s="13"/>
      <c r="P395" s="13"/>
      <c r="Q395" s="13"/>
    </row>
    <row r="396" spans="1:17" x14ac:dyDescent="0.3">
      <c r="A396" s="1">
        <f t="shared" si="129"/>
        <v>20</v>
      </c>
      <c r="B396" s="4" t="s">
        <v>332</v>
      </c>
      <c r="C396" s="3" t="s">
        <v>318</v>
      </c>
      <c r="D396" s="12" t="s">
        <v>40</v>
      </c>
      <c r="E396" s="12" t="s">
        <v>40</v>
      </c>
      <c r="F396" s="12"/>
      <c r="G396" s="12"/>
      <c r="H396" s="12" t="s">
        <v>40</v>
      </c>
      <c r="I396" s="12" t="s">
        <v>40</v>
      </c>
      <c r="J396" s="12" t="s">
        <v>40</v>
      </c>
      <c r="K396" s="12"/>
      <c r="L396" s="12">
        <v>147876</v>
      </c>
      <c r="M396" s="15">
        <f t="shared" si="125"/>
        <v>20</v>
      </c>
      <c r="N396" s="15">
        <f t="shared" si="126"/>
        <v>0</v>
      </c>
      <c r="O396" s="12">
        <v>147876</v>
      </c>
      <c r="P396" s="12">
        <f t="shared" si="127"/>
        <v>12323</v>
      </c>
      <c r="Q396" s="12">
        <f t="shared" si="128"/>
        <v>12323</v>
      </c>
    </row>
    <row r="397" spans="1:17" x14ac:dyDescent="0.3">
      <c r="A397" s="1">
        <f t="shared" si="129"/>
        <v>21</v>
      </c>
      <c r="B397" s="10"/>
      <c r="C397" s="9"/>
      <c r="D397" s="13"/>
      <c r="E397" s="13"/>
      <c r="F397" s="13"/>
      <c r="G397" s="13"/>
      <c r="H397" s="13"/>
      <c r="I397" s="13"/>
      <c r="J397" s="13"/>
      <c r="K397" s="13"/>
      <c r="L397" s="13"/>
      <c r="M397" s="16"/>
      <c r="N397" s="16"/>
      <c r="O397" s="13"/>
      <c r="P397" s="13"/>
      <c r="Q397" s="13"/>
    </row>
    <row r="398" spans="1:17" x14ac:dyDescent="0.3">
      <c r="A398" s="1">
        <f t="shared" si="129"/>
        <v>22</v>
      </c>
      <c r="B398" s="2">
        <v>40469605</v>
      </c>
      <c r="C398" s="3" t="s">
        <v>318</v>
      </c>
      <c r="D398" s="12" t="s">
        <v>40</v>
      </c>
      <c r="E398" s="12" t="s">
        <v>40</v>
      </c>
      <c r="F398" s="12"/>
      <c r="G398" s="12"/>
      <c r="H398" s="12" t="s">
        <v>40</v>
      </c>
      <c r="I398" s="12" t="s">
        <v>40</v>
      </c>
      <c r="J398" s="12"/>
      <c r="K398" s="12"/>
      <c r="L398" s="12">
        <v>60000</v>
      </c>
      <c r="M398" s="15">
        <f t="shared" si="125"/>
        <v>10</v>
      </c>
      <c r="N398" s="15">
        <f t="shared" si="126"/>
        <v>0</v>
      </c>
      <c r="O398" s="12">
        <v>60000</v>
      </c>
      <c r="P398" s="12">
        <f t="shared" si="127"/>
        <v>5000</v>
      </c>
      <c r="Q398" s="12">
        <f t="shared" si="128"/>
        <v>5000</v>
      </c>
    </row>
    <row r="399" spans="1:17" x14ac:dyDescent="0.3">
      <c r="A399" s="1">
        <f t="shared" si="129"/>
        <v>23</v>
      </c>
      <c r="B399" s="10"/>
      <c r="C399" s="9"/>
      <c r="D399" s="13"/>
      <c r="E399" s="13"/>
      <c r="F399" s="13"/>
      <c r="G399" s="13"/>
      <c r="H399" s="13"/>
      <c r="I399" s="13"/>
      <c r="J399" s="13"/>
      <c r="K399" s="13"/>
      <c r="L399" s="13"/>
      <c r="M399" s="16"/>
      <c r="N399" s="16"/>
      <c r="O399" s="13"/>
      <c r="P399" s="13"/>
      <c r="Q399" s="13"/>
    </row>
    <row r="400" spans="1:17" x14ac:dyDescent="0.3">
      <c r="A400" s="1">
        <f t="shared" si="129"/>
        <v>24</v>
      </c>
      <c r="B400" s="10"/>
      <c r="C400" s="9"/>
      <c r="D400" s="13"/>
      <c r="E400" s="13"/>
      <c r="F400" s="13"/>
      <c r="G400" s="13"/>
      <c r="H400" s="13"/>
      <c r="I400" s="13"/>
      <c r="J400" s="13"/>
      <c r="K400" s="13"/>
      <c r="L400" s="13"/>
      <c r="M400" s="16"/>
      <c r="N400" s="16"/>
      <c r="O400" s="13"/>
      <c r="P400" s="13"/>
      <c r="Q400" s="13"/>
    </row>
    <row r="401" spans="1:21" x14ac:dyDescent="0.3">
      <c r="A401" s="1">
        <f t="shared" si="129"/>
        <v>25</v>
      </c>
      <c r="B401" s="2">
        <v>42077582</v>
      </c>
      <c r="C401" s="3" t="s">
        <v>318</v>
      </c>
      <c r="D401" s="12" t="s">
        <v>40</v>
      </c>
      <c r="E401" s="12" t="s">
        <v>40</v>
      </c>
      <c r="F401" s="12"/>
      <c r="G401" s="12"/>
      <c r="H401" s="12"/>
      <c r="I401" s="12"/>
      <c r="J401" s="12"/>
      <c r="K401" s="12"/>
      <c r="L401" s="12">
        <v>0</v>
      </c>
      <c r="M401" s="15">
        <f t="shared" si="125"/>
        <v>2</v>
      </c>
      <c r="N401" s="15">
        <f t="shared" si="126"/>
        <v>0</v>
      </c>
      <c r="O401" s="20"/>
      <c r="P401" s="12">
        <f t="shared" si="127"/>
        <v>0</v>
      </c>
      <c r="Q401" s="20"/>
    </row>
    <row r="402" spans="1:21" x14ac:dyDescent="0.3">
      <c r="A402" s="1">
        <f t="shared" si="129"/>
        <v>26</v>
      </c>
      <c r="B402" s="2">
        <v>32960241</v>
      </c>
      <c r="C402" s="3" t="s">
        <v>318</v>
      </c>
      <c r="D402" s="12" t="s">
        <v>40</v>
      </c>
      <c r="E402" s="12" t="s">
        <v>40</v>
      </c>
      <c r="F402" s="12"/>
      <c r="G402" s="12"/>
      <c r="H402" s="12"/>
      <c r="I402" s="12"/>
      <c r="J402" s="12"/>
      <c r="K402" s="12"/>
      <c r="L402" s="12">
        <v>33600</v>
      </c>
      <c r="M402" s="15">
        <f t="shared" si="125"/>
        <v>2</v>
      </c>
      <c r="N402" s="15">
        <f t="shared" si="126"/>
        <v>0</v>
      </c>
      <c r="O402" s="12">
        <v>33600</v>
      </c>
      <c r="P402" s="12">
        <f t="shared" si="127"/>
        <v>2800</v>
      </c>
      <c r="Q402" s="12">
        <f t="shared" si="128"/>
        <v>2800</v>
      </c>
    </row>
    <row r="403" spans="1:21" x14ac:dyDescent="0.3">
      <c r="A403" s="1">
        <f t="shared" si="129"/>
        <v>27</v>
      </c>
      <c r="B403" s="2">
        <v>25463894</v>
      </c>
      <c r="C403" s="3" t="s">
        <v>318</v>
      </c>
      <c r="D403" s="12" t="s">
        <v>40</v>
      </c>
      <c r="E403" s="12" t="s">
        <v>40</v>
      </c>
      <c r="F403" s="12"/>
      <c r="G403" s="12"/>
      <c r="H403" s="12"/>
      <c r="I403" s="12"/>
      <c r="J403" s="12"/>
      <c r="K403" s="12"/>
      <c r="L403" s="12">
        <v>0</v>
      </c>
      <c r="M403" s="15">
        <f t="shared" si="125"/>
        <v>2</v>
      </c>
      <c r="N403" s="15">
        <f t="shared" si="126"/>
        <v>0</v>
      </c>
      <c r="O403" s="20"/>
      <c r="P403" s="12">
        <f t="shared" si="127"/>
        <v>0</v>
      </c>
      <c r="Q403" s="20"/>
    </row>
    <row r="404" spans="1:21" x14ac:dyDescent="0.3">
      <c r="A404" s="1">
        <f t="shared" si="129"/>
        <v>28</v>
      </c>
      <c r="B404" s="2">
        <v>23012817</v>
      </c>
      <c r="C404" s="3" t="s">
        <v>318</v>
      </c>
      <c r="D404" s="12" t="s">
        <v>40</v>
      </c>
      <c r="E404" s="12" t="s">
        <v>40</v>
      </c>
      <c r="F404" s="12"/>
      <c r="G404" s="12"/>
      <c r="H404" s="12" t="s">
        <v>40</v>
      </c>
      <c r="I404" s="12" t="s">
        <v>40</v>
      </c>
      <c r="J404" s="12"/>
      <c r="K404" s="12"/>
      <c r="L404" s="12">
        <v>36000</v>
      </c>
      <c r="M404" s="15">
        <f t="shared" si="125"/>
        <v>10</v>
      </c>
      <c r="N404" s="15">
        <f t="shared" si="126"/>
        <v>0</v>
      </c>
      <c r="O404" s="12">
        <v>36000</v>
      </c>
      <c r="P404" s="12">
        <f>+L404/12</f>
        <v>3000</v>
      </c>
      <c r="Q404" s="12">
        <f t="shared" si="128"/>
        <v>3000</v>
      </c>
    </row>
    <row r="405" spans="1:21" x14ac:dyDescent="0.3">
      <c r="A405" s="1">
        <f t="shared" si="129"/>
        <v>29</v>
      </c>
      <c r="B405" s="10"/>
      <c r="C405" s="9"/>
      <c r="D405" s="13"/>
      <c r="E405" s="13"/>
      <c r="F405" s="13"/>
      <c r="G405" s="13"/>
      <c r="H405" s="13"/>
      <c r="I405" s="13"/>
      <c r="J405" s="13"/>
      <c r="K405" s="13"/>
      <c r="L405" s="13"/>
      <c r="M405" s="16"/>
      <c r="N405" s="16"/>
      <c r="O405" s="13"/>
      <c r="P405" s="13"/>
      <c r="Q405" s="13"/>
    </row>
    <row r="406" spans="1:21" x14ac:dyDescent="0.3">
      <c r="A406" s="1">
        <f t="shared" si="129"/>
        <v>30</v>
      </c>
      <c r="B406" s="2">
        <v>31012948</v>
      </c>
      <c r="C406" s="3" t="s">
        <v>318</v>
      </c>
      <c r="D406" s="12" t="s">
        <v>40</v>
      </c>
      <c r="E406" s="12" t="s">
        <v>40</v>
      </c>
      <c r="F406" s="12"/>
      <c r="G406" s="12"/>
      <c r="H406" s="12" t="s">
        <v>40</v>
      </c>
      <c r="I406" s="12" t="s">
        <v>40</v>
      </c>
      <c r="J406" s="12" t="s">
        <v>40</v>
      </c>
      <c r="K406" s="12"/>
      <c r="L406" s="12">
        <v>101330</v>
      </c>
      <c r="M406" s="15">
        <f t="shared" si="125"/>
        <v>20</v>
      </c>
      <c r="N406" s="15">
        <f t="shared" si="126"/>
        <v>0</v>
      </c>
      <c r="O406" s="12">
        <v>101330</v>
      </c>
      <c r="P406" s="12">
        <f>+L406/12</f>
        <v>8444.1666666666661</v>
      </c>
      <c r="Q406" s="12">
        <f>+O406/12</f>
        <v>8444.1666666666661</v>
      </c>
    </row>
    <row r="407" spans="1:21" x14ac:dyDescent="0.3">
      <c r="L407" s="14">
        <f>+AVERAGE(L377:L406)</f>
        <v>87137.818333333329</v>
      </c>
      <c r="M407" s="14">
        <f>+AVERAGE(M377:M406)</f>
        <v>8.7916666666666661</v>
      </c>
      <c r="N407" s="14">
        <f>+SUM(N377:N406)</f>
        <v>1</v>
      </c>
      <c r="O407" s="14">
        <f>+AVERAGE(O377:O406)</f>
        <v>91623.868888888886</v>
      </c>
      <c r="P407" s="14">
        <f>+AVERAGE(P377:P406)</f>
        <v>7261.4848611111111</v>
      </c>
      <c r="Q407" s="14">
        <f>+AVERAGE(Q377:Q406)</f>
        <v>7635.3224074074078</v>
      </c>
      <c r="R407" s="14">
        <f>30-COUNTBLANK(R377:R406)</f>
        <v>0</v>
      </c>
    </row>
    <row r="408" spans="1:21" x14ac:dyDescent="0.3">
      <c r="L408" s="14">
        <f>+STDEV(L377:L406)</f>
        <v>131168.21129318236</v>
      </c>
      <c r="M408" s="14">
        <f>+STDEV(M377:M406)</f>
        <v>6.9967642624950237</v>
      </c>
      <c r="N408" s="17"/>
      <c r="O408" s="14">
        <f>+STDEV(O377:O406)</f>
        <v>86849.884251682204</v>
      </c>
      <c r="P408" s="14">
        <f>+STDEV(P377:P406)</f>
        <v>10930.684274431864</v>
      </c>
      <c r="Q408" s="14">
        <f>+STDEV(Q377:Q406)</f>
        <v>7237.4903543068503</v>
      </c>
    </row>
    <row r="409" spans="1:21" x14ac:dyDescent="0.3">
      <c r="I409" s="15"/>
      <c r="J409" s="15"/>
      <c r="K409" s="11" t="s">
        <v>75</v>
      </c>
      <c r="L409" s="14">
        <f>+COUNTIF(L377:L406,0)</f>
        <v>5</v>
      </c>
      <c r="M409" s="14">
        <f>+COUNT(M377:M406)</f>
        <v>24</v>
      </c>
      <c r="P409" s="14">
        <f>+COUNTIF(P377:P406,0)</f>
        <v>5</v>
      </c>
    </row>
    <row r="411" spans="1:21" x14ac:dyDescent="0.3">
      <c r="A411" s="1">
        <v>1</v>
      </c>
      <c r="B411" s="2" t="s">
        <v>334</v>
      </c>
      <c r="C411" s="3" t="s">
        <v>333</v>
      </c>
      <c r="D411" s="12" t="s">
        <v>40</v>
      </c>
      <c r="E411" s="12" t="s">
        <v>40</v>
      </c>
      <c r="F411" s="12"/>
      <c r="G411" s="12"/>
      <c r="H411" s="12" t="s">
        <v>40</v>
      </c>
      <c r="I411" s="12"/>
      <c r="J411" s="12" t="s">
        <v>40</v>
      </c>
      <c r="K411" s="12"/>
      <c r="L411" s="12">
        <v>129000</v>
      </c>
      <c r="M411" s="15">
        <f>+IF(D411="X",1,0)+IF(E411="X",1,0)+IF(F411="X",2,0)+IF(G411="X",2,0)+IF(H411="X",3,IF(H411="Y",1.5,0))+IF(I411="X",5,IF(I411="Y",2.5,0))+IF(J411="X",10,IF(J411="Y",5,0))</f>
        <v>15</v>
      </c>
      <c r="N411" s="15">
        <f>+IF(K411="X",1,0)</f>
        <v>0</v>
      </c>
      <c r="O411" s="12">
        <v>542042.47</v>
      </c>
      <c r="P411" s="12">
        <f t="shared" ref="P411" si="130">+L411/12</f>
        <v>10750</v>
      </c>
      <c r="Q411" s="12">
        <f t="shared" ref="Q411" si="131">+O411/12</f>
        <v>45170.205833333333</v>
      </c>
    </row>
    <row r="412" spans="1:21" x14ac:dyDescent="0.3">
      <c r="A412" s="1">
        <f>+A411+1</f>
        <v>2</v>
      </c>
      <c r="B412" s="2" t="s">
        <v>335</v>
      </c>
      <c r="C412" s="3" t="s">
        <v>333</v>
      </c>
      <c r="D412" s="12" t="s">
        <v>40</v>
      </c>
      <c r="E412" s="12" t="s">
        <v>40</v>
      </c>
      <c r="F412" s="12"/>
      <c r="G412" s="12"/>
      <c r="H412" s="12"/>
      <c r="I412" s="12"/>
      <c r="J412" s="12"/>
      <c r="K412" s="12"/>
      <c r="L412" s="12">
        <v>0</v>
      </c>
      <c r="M412" s="15">
        <f t="shared" ref="M412:M440" si="132">+IF(D412="X",1,0)+IF(E412="X",1,0)+IF(F412="X",2,0)+IF(G412="X",2,0)+IF(H412="X",3,IF(H412="Y",1.5,0))+IF(I412="X",5,IF(I412="Y",2.5,0))+IF(J412="X",10,IF(J412="Y",5,0))</f>
        <v>2</v>
      </c>
      <c r="N412" s="15">
        <f t="shared" ref="N412:N440" si="133">+IF(K412="X",1,0)</f>
        <v>0</v>
      </c>
      <c r="O412" s="20"/>
      <c r="P412" s="12">
        <f t="shared" ref="P412:P440" si="134">+L412/12</f>
        <v>0</v>
      </c>
      <c r="Q412" s="20"/>
      <c r="U412" t="s">
        <v>345</v>
      </c>
    </row>
    <row r="413" spans="1:21" x14ac:dyDescent="0.3">
      <c r="A413" s="1">
        <f t="shared" ref="A413:A440" si="135">+A412+1</f>
        <v>3</v>
      </c>
      <c r="B413" s="4" t="s">
        <v>346</v>
      </c>
      <c r="C413" s="3" t="s">
        <v>333</v>
      </c>
      <c r="D413" s="12" t="s">
        <v>40</v>
      </c>
      <c r="E413" s="12" t="s">
        <v>40</v>
      </c>
      <c r="F413" s="12"/>
      <c r="G413" s="12"/>
      <c r="H413" s="12" t="s">
        <v>40</v>
      </c>
      <c r="I413" s="12" t="s">
        <v>40</v>
      </c>
      <c r="J413" s="12"/>
      <c r="K413" s="12"/>
      <c r="L413" s="12">
        <v>542042.47</v>
      </c>
      <c r="M413" s="15">
        <f t="shared" si="132"/>
        <v>10</v>
      </c>
      <c r="N413" s="15">
        <f t="shared" si="133"/>
        <v>0</v>
      </c>
      <c r="O413" s="20"/>
      <c r="P413" s="12">
        <f t="shared" ref="P413" si="136">+L413/12</f>
        <v>45170.205833333333</v>
      </c>
      <c r="Q413" s="20"/>
    </row>
    <row r="414" spans="1:21" x14ac:dyDescent="0.3">
      <c r="A414" s="1">
        <f t="shared" si="135"/>
        <v>4</v>
      </c>
      <c r="B414" s="2" t="s">
        <v>336</v>
      </c>
      <c r="C414" s="3" t="s">
        <v>333</v>
      </c>
      <c r="D414" s="12" t="s">
        <v>40</v>
      </c>
      <c r="E414" s="12" t="s">
        <v>40</v>
      </c>
      <c r="F414" s="12"/>
      <c r="G414" s="12"/>
      <c r="H414" s="12" t="s">
        <v>40</v>
      </c>
      <c r="I414" s="12" t="s">
        <v>40</v>
      </c>
      <c r="J414" s="12"/>
      <c r="K414" s="12"/>
      <c r="L414" s="12">
        <v>119000</v>
      </c>
      <c r="M414" s="15">
        <f t="shared" si="132"/>
        <v>10</v>
      </c>
      <c r="N414" s="15">
        <f t="shared" si="133"/>
        <v>0</v>
      </c>
      <c r="O414" s="12">
        <v>119000</v>
      </c>
      <c r="P414" s="12">
        <f t="shared" si="134"/>
        <v>9916.6666666666661</v>
      </c>
      <c r="Q414" s="12">
        <f t="shared" ref="Q414:Q439" si="137">+O414/12</f>
        <v>9916.6666666666661</v>
      </c>
    </row>
    <row r="415" spans="1:21" x14ac:dyDescent="0.3">
      <c r="A415" s="1">
        <f t="shared" si="135"/>
        <v>5</v>
      </c>
      <c r="B415" s="4" t="s">
        <v>347</v>
      </c>
      <c r="C415" s="3" t="s">
        <v>333</v>
      </c>
      <c r="D415" s="12" t="s">
        <v>40</v>
      </c>
      <c r="E415" s="12" t="s">
        <v>40</v>
      </c>
      <c r="F415" s="12"/>
      <c r="G415" s="12"/>
      <c r="H415" s="12" t="s">
        <v>40</v>
      </c>
      <c r="I415" s="12" t="s">
        <v>40</v>
      </c>
      <c r="J415" s="12" t="s">
        <v>40</v>
      </c>
      <c r="K415" s="12"/>
      <c r="L415" s="12">
        <v>75299</v>
      </c>
      <c r="M415" s="15">
        <f t="shared" si="132"/>
        <v>20</v>
      </c>
      <c r="N415" s="15">
        <f t="shared" si="133"/>
        <v>0</v>
      </c>
      <c r="O415" s="12">
        <v>75299</v>
      </c>
      <c r="P415" s="12">
        <f t="shared" si="134"/>
        <v>6274.916666666667</v>
      </c>
      <c r="Q415" s="12">
        <f t="shared" si="137"/>
        <v>6274.916666666667</v>
      </c>
    </row>
    <row r="416" spans="1:21" x14ac:dyDescent="0.3">
      <c r="A416" s="1">
        <f t="shared" si="135"/>
        <v>6</v>
      </c>
      <c r="B416" s="2" t="s">
        <v>337</v>
      </c>
      <c r="C416" s="3" t="s">
        <v>333</v>
      </c>
      <c r="D416" s="12" t="s">
        <v>40</v>
      </c>
      <c r="E416" s="12" t="s">
        <v>40</v>
      </c>
      <c r="F416" s="12"/>
      <c r="G416" s="12"/>
      <c r="H416" s="12" t="s">
        <v>40</v>
      </c>
      <c r="I416" s="12" t="s">
        <v>40</v>
      </c>
      <c r="J416" s="12"/>
      <c r="K416" s="12"/>
      <c r="L416" s="12">
        <v>8000</v>
      </c>
      <c r="M416" s="15">
        <f t="shared" si="132"/>
        <v>10</v>
      </c>
      <c r="N416" s="15">
        <f t="shared" si="133"/>
        <v>0</v>
      </c>
      <c r="O416" s="12">
        <v>8000</v>
      </c>
      <c r="P416" s="12">
        <f t="shared" si="134"/>
        <v>666.66666666666663</v>
      </c>
      <c r="Q416" s="12">
        <f t="shared" si="137"/>
        <v>666.66666666666663</v>
      </c>
    </row>
    <row r="417" spans="1:17" x14ac:dyDescent="0.3">
      <c r="A417" s="1">
        <f t="shared" si="135"/>
        <v>7</v>
      </c>
      <c r="B417" s="2">
        <v>10271096</v>
      </c>
      <c r="C417" s="3" t="s">
        <v>333</v>
      </c>
      <c r="D417" s="12" t="s">
        <v>40</v>
      </c>
      <c r="E417" s="12" t="s">
        <v>40</v>
      </c>
      <c r="F417" s="12"/>
      <c r="G417" s="12"/>
      <c r="H417" s="12" t="s">
        <v>40</v>
      </c>
      <c r="I417" s="12" t="s">
        <v>40</v>
      </c>
      <c r="J417" s="12"/>
      <c r="K417" s="12"/>
      <c r="L417" s="12">
        <v>96695</v>
      </c>
      <c r="M417" s="15">
        <f t="shared" si="132"/>
        <v>10</v>
      </c>
      <c r="N417" s="15">
        <f t="shared" si="133"/>
        <v>0</v>
      </c>
      <c r="O417" s="12">
        <v>96695</v>
      </c>
      <c r="P417" s="12">
        <f t="shared" si="134"/>
        <v>8057.916666666667</v>
      </c>
      <c r="Q417" s="12">
        <f t="shared" si="137"/>
        <v>8057.916666666667</v>
      </c>
    </row>
    <row r="418" spans="1:17" x14ac:dyDescent="0.3">
      <c r="A418" s="1">
        <f t="shared" si="135"/>
        <v>8</v>
      </c>
      <c r="B418" s="2">
        <v>40422398</v>
      </c>
      <c r="C418" s="3" t="s">
        <v>333</v>
      </c>
      <c r="D418" s="12" t="s">
        <v>40</v>
      </c>
      <c r="E418" s="12" t="s">
        <v>40</v>
      </c>
      <c r="F418" s="12"/>
      <c r="G418" s="12"/>
      <c r="H418" s="12" t="s">
        <v>40</v>
      </c>
      <c r="I418" s="12" t="s">
        <v>40</v>
      </c>
      <c r="J418" s="12" t="s">
        <v>40</v>
      </c>
      <c r="K418" s="12"/>
      <c r="L418" s="12">
        <v>133167</v>
      </c>
      <c r="M418" s="15">
        <f t="shared" si="132"/>
        <v>20</v>
      </c>
      <c r="N418" s="15">
        <f t="shared" si="133"/>
        <v>0</v>
      </c>
      <c r="O418" s="12">
        <v>133167</v>
      </c>
      <c r="P418" s="12">
        <f t="shared" si="134"/>
        <v>11097.25</v>
      </c>
      <c r="Q418" s="12">
        <f t="shared" si="137"/>
        <v>11097.25</v>
      </c>
    </row>
    <row r="419" spans="1:17" x14ac:dyDescent="0.3">
      <c r="A419" s="1">
        <f t="shared" si="135"/>
        <v>9</v>
      </c>
      <c r="B419" s="4" t="s">
        <v>348</v>
      </c>
      <c r="C419" s="3" t="s">
        <v>333</v>
      </c>
      <c r="D419" s="12" t="s">
        <v>40</v>
      </c>
      <c r="E419" s="12" t="s">
        <v>40</v>
      </c>
      <c r="F419" s="12"/>
      <c r="G419" s="12"/>
      <c r="H419" s="12" t="s">
        <v>40</v>
      </c>
      <c r="I419" s="12"/>
      <c r="J419" s="12"/>
      <c r="K419" s="12"/>
      <c r="L419" s="12">
        <v>417802</v>
      </c>
      <c r="M419" s="15">
        <f t="shared" si="132"/>
        <v>5</v>
      </c>
      <c r="N419" s="15">
        <f t="shared" si="133"/>
        <v>0</v>
      </c>
      <c r="O419" s="12">
        <v>417802</v>
      </c>
      <c r="P419" s="12">
        <f t="shared" si="134"/>
        <v>34816.833333333336</v>
      </c>
      <c r="Q419" s="12">
        <f t="shared" si="137"/>
        <v>34816.833333333336</v>
      </c>
    </row>
    <row r="420" spans="1:17" x14ac:dyDescent="0.3">
      <c r="A420" s="1">
        <f t="shared" si="135"/>
        <v>10</v>
      </c>
      <c r="B420" s="4" t="s">
        <v>349</v>
      </c>
      <c r="C420" s="3" t="s">
        <v>333</v>
      </c>
      <c r="D420" s="12" t="s">
        <v>40</v>
      </c>
      <c r="E420" s="12" t="s">
        <v>40</v>
      </c>
      <c r="F420" s="12"/>
      <c r="G420" s="12"/>
      <c r="H420" s="12" t="s">
        <v>40</v>
      </c>
      <c r="I420" s="12"/>
      <c r="J420" s="12"/>
      <c r="K420" s="12"/>
      <c r="L420" s="12">
        <v>194000</v>
      </c>
      <c r="M420" s="15">
        <f t="shared" si="132"/>
        <v>5</v>
      </c>
      <c r="N420" s="15">
        <f t="shared" si="133"/>
        <v>0</v>
      </c>
      <c r="O420" s="12">
        <v>194000</v>
      </c>
      <c r="P420" s="12">
        <f t="shared" si="134"/>
        <v>16166.666666666666</v>
      </c>
      <c r="Q420" s="12">
        <f t="shared" si="137"/>
        <v>16166.666666666666</v>
      </c>
    </row>
    <row r="421" spans="1:17" x14ac:dyDescent="0.3">
      <c r="A421" s="1">
        <f t="shared" si="135"/>
        <v>11</v>
      </c>
      <c r="B421" s="2">
        <v>10336504</v>
      </c>
      <c r="C421" s="3" t="s">
        <v>333</v>
      </c>
      <c r="D421" s="12" t="s">
        <v>40</v>
      </c>
      <c r="E421" s="12" t="s">
        <v>40</v>
      </c>
      <c r="F421" s="12"/>
      <c r="G421" s="12"/>
      <c r="H421" s="12" t="s">
        <v>40</v>
      </c>
      <c r="I421" s="12"/>
      <c r="J421" s="12"/>
      <c r="K421" s="12"/>
      <c r="L421" s="12">
        <v>80000</v>
      </c>
      <c r="M421" s="15">
        <f t="shared" si="132"/>
        <v>5</v>
      </c>
      <c r="N421" s="15">
        <f t="shared" si="133"/>
        <v>0</v>
      </c>
      <c r="O421" s="12">
        <v>80000</v>
      </c>
      <c r="P421" s="12">
        <f t="shared" si="134"/>
        <v>6666.666666666667</v>
      </c>
      <c r="Q421" s="12">
        <f t="shared" si="137"/>
        <v>6666.666666666667</v>
      </c>
    </row>
    <row r="422" spans="1:17" x14ac:dyDescent="0.3">
      <c r="A422" s="1">
        <f t="shared" si="135"/>
        <v>12</v>
      </c>
      <c r="B422" s="2" t="s">
        <v>338</v>
      </c>
      <c r="C422" s="3" t="s">
        <v>333</v>
      </c>
      <c r="D422" s="12" t="s">
        <v>40</v>
      </c>
      <c r="E422" s="12" t="s">
        <v>40</v>
      </c>
      <c r="F422" s="12"/>
      <c r="G422" s="12"/>
      <c r="H422" s="12" t="s">
        <v>40</v>
      </c>
      <c r="I422" s="12"/>
      <c r="J422" s="12"/>
      <c r="K422" s="12"/>
      <c r="L422" s="12">
        <v>38000</v>
      </c>
      <c r="M422" s="15">
        <f t="shared" si="132"/>
        <v>5</v>
      </c>
      <c r="N422" s="15">
        <f t="shared" si="133"/>
        <v>0</v>
      </c>
      <c r="O422" s="12">
        <v>38000</v>
      </c>
      <c r="P422" s="12">
        <f t="shared" si="134"/>
        <v>3166.6666666666665</v>
      </c>
      <c r="Q422" s="12">
        <f t="shared" si="137"/>
        <v>3166.6666666666665</v>
      </c>
    </row>
    <row r="423" spans="1:17" x14ac:dyDescent="0.3">
      <c r="A423" s="1">
        <f t="shared" si="135"/>
        <v>13</v>
      </c>
      <c r="B423" s="4" t="s">
        <v>350</v>
      </c>
      <c r="C423" s="3" t="s">
        <v>333</v>
      </c>
      <c r="D423" s="12" t="s">
        <v>40</v>
      </c>
      <c r="E423" s="12" t="s">
        <v>40</v>
      </c>
      <c r="F423" s="12"/>
      <c r="G423" s="12"/>
      <c r="H423" s="12"/>
      <c r="I423" s="12"/>
      <c r="J423" s="12"/>
      <c r="K423" s="12"/>
      <c r="L423" s="12">
        <v>70000</v>
      </c>
      <c r="M423" s="15">
        <f t="shared" si="132"/>
        <v>2</v>
      </c>
      <c r="N423" s="15">
        <f t="shared" si="133"/>
        <v>0</v>
      </c>
      <c r="O423" s="12">
        <v>70000</v>
      </c>
      <c r="P423" s="12">
        <f t="shared" si="134"/>
        <v>5833.333333333333</v>
      </c>
      <c r="Q423" s="12">
        <f t="shared" si="137"/>
        <v>5833.333333333333</v>
      </c>
    </row>
    <row r="424" spans="1:17" x14ac:dyDescent="0.3">
      <c r="A424" s="1">
        <f t="shared" si="135"/>
        <v>14</v>
      </c>
      <c r="B424" s="2" t="s">
        <v>339</v>
      </c>
      <c r="C424" s="3" t="s">
        <v>333</v>
      </c>
      <c r="D424" s="12" t="s">
        <v>40</v>
      </c>
      <c r="E424" s="12" t="s">
        <v>40</v>
      </c>
      <c r="F424" s="12"/>
      <c r="G424" s="12"/>
      <c r="H424" s="12" t="s">
        <v>40</v>
      </c>
      <c r="I424" s="12"/>
      <c r="J424" s="12"/>
      <c r="K424" s="12"/>
      <c r="L424" s="12">
        <v>9600</v>
      </c>
      <c r="M424" s="15">
        <f t="shared" si="132"/>
        <v>5</v>
      </c>
      <c r="N424" s="15">
        <f t="shared" si="133"/>
        <v>0</v>
      </c>
      <c r="O424" s="12">
        <v>9600</v>
      </c>
      <c r="P424" s="12">
        <f t="shared" si="134"/>
        <v>800</v>
      </c>
      <c r="Q424" s="12">
        <f t="shared" si="137"/>
        <v>800</v>
      </c>
    </row>
    <row r="425" spans="1:17" x14ac:dyDescent="0.3">
      <c r="A425" s="1">
        <f t="shared" si="135"/>
        <v>15</v>
      </c>
      <c r="B425" s="4" t="s">
        <v>351</v>
      </c>
      <c r="C425" s="3" t="s">
        <v>333</v>
      </c>
      <c r="D425" s="12" t="s">
        <v>40</v>
      </c>
      <c r="E425" s="12" t="s">
        <v>40</v>
      </c>
      <c r="F425" s="12"/>
      <c r="G425" s="12"/>
      <c r="H425" s="12" t="s">
        <v>40</v>
      </c>
      <c r="I425" s="12" t="s">
        <v>40</v>
      </c>
      <c r="J425" s="12" t="s">
        <v>40</v>
      </c>
      <c r="K425" s="12"/>
      <c r="L425" s="12">
        <v>200744.44</v>
      </c>
      <c r="M425" s="15">
        <f t="shared" si="132"/>
        <v>20</v>
      </c>
      <c r="N425" s="15">
        <f t="shared" si="133"/>
        <v>0</v>
      </c>
      <c r="O425" s="12">
        <v>200744.44</v>
      </c>
      <c r="P425" s="12">
        <f t="shared" si="134"/>
        <v>16728.703333333335</v>
      </c>
      <c r="Q425" s="12">
        <f t="shared" si="137"/>
        <v>16728.703333333335</v>
      </c>
    </row>
    <row r="426" spans="1:17" x14ac:dyDescent="0.3">
      <c r="A426" s="1">
        <f t="shared" si="135"/>
        <v>16</v>
      </c>
      <c r="B426" s="2">
        <v>15449983</v>
      </c>
      <c r="C426" s="3" t="s">
        <v>333</v>
      </c>
      <c r="D426" s="12" t="s">
        <v>40</v>
      </c>
      <c r="E426" s="12" t="s">
        <v>40</v>
      </c>
      <c r="F426" s="12"/>
      <c r="G426" s="12"/>
      <c r="H426" s="12"/>
      <c r="I426" s="12"/>
      <c r="J426" s="12"/>
      <c r="K426" s="12"/>
      <c r="L426" s="12">
        <v>13560</v>
      </c>
      <c r="M426" s="15">
        <f t="shared" si="132"/>
        <v>2</v>
      </c>
      <c r="N426" s="15">
        <f t="shared" si="133"/>
        <v>0</v>
      </c>
      <c r="O426" s="12">
        <v>13560</v>
      </c>
      <c r="P426" s="12">
        <f t="shared" si="134"/>
        <v>1130</v>
      </c>
      <c r="Q426" s="12">
        <f t="shared" si="137"/>
        <v>1130</v>
      </c>
    </row>
    <row r="427" spans="1:17" x14ac:dyDescent="0.3">
      <c r="A427" s="1">
        <f t="shared" si="135"/>
        <v>17</v>
      </c>
      <c r="B427" s="28" t="s">
        <v>352</v>
      </c>
      <c r="C427" s="3" t="s">
        <v>333</v>
      </c>
      <c r="D427" s="12" t="s">
        <v>40</v>
      </c>
      <c r="E427" s="12" t="s">
        <v>40</v>
      </c>
      <c r="F427" s="12"/>
      <c r="G427" s="12"/>
      <c r="H427" s="12" t="s">
        <v>40</v>
      </c>
      <c r="I427" s="12" t="s">
        <v>40</v>
      </c>
      <c r="J427" s="12" t="s">
        <v>40</v>
      </c>
      <c r="K427" s="12"/>
      <c r="L427" s="12">
        <v>252000</v>
      </c>
      <c r="M427" s="15">
        <f t="shared" si="132"/>
        <v>20</v>
      </c>
      <c r="N427" s="15">
        <f t="shared" si="133"/>
        <v>0</v>
      </c>
      <c r="O427" s="12">
        <v>252000</v>
      </c>
      <c r="P427" s="12">
        <f t="shared" si="134"/>
        <v>21000</v>
      </c>
      <c r="Q427" s="12">
        <f t="shared" si="137"/>
        <v>21000</v>
      </c>
    </row>
    <row r="428" spans="1:17" x14ac:dyDescent="0.3">
      <c r="A428" s="1">
        <f t="shared" si="135"/>
        <v>18</v>
      </c>
      <c r="B428" s="2" t="s">
        <v>340</v>
      </c>
      <c r="C428" s="3" t="s">
        <v>333</v>
      </c>
      <c r="D428" s="12" t="s">
        <v>40</v>
      </c>
      <c r="E428" s="12" t="s">
        <v>40</v>
      </c>
      <c r="F428" s="12"/>
      <c r="G428" s="12"/>
      <c r="H428" s="12"/>
      <c r="I428" s="12"/>
      <c r="J428" s="12"/>
      <c r="K428" s="12"/>
      <c r="L428" s="12">
        <v>13560</v>
      </c>
      <c r="M428" s="15">
        <f t="shared" si="132"/>
        <v>2</v>
      </c>
      <c r="N428" s="15">
        <f t="shared" si="133"/>
        <v>0</v>
      </c>
      <c r="O428" s="12">
        <v>13560</v>
      </c>
      <c r="P428" s="12">
        <f t="shared" si="134"/>
        <v>1130</v>
      </c>
      <c r="Q428" s="12">
        <f t="shared" si="137"/>
        <v>1130</v>
      </c>
    </row>
    <row r="429" spans="1:17" x14ac:dyDescent="0.3">
      <c r="A429" s="1">
        <f t="shared" si="135"/>
        <v>19</v>
      </c>
      <c r="B429" s="2" t="s">
        <v>341</v>
      </c>
      <c r="C429" s="3" t="s">
        <v>333</v>
      </c>
      <c r="D429" s="12" t="s">
        <v>40</v>
      </c>
      <c r="E429" s="12" t="s">
        <v>40</v>
      </c>
      <c r="F429" s="12"/>
      <c r="G429" s="12"/>
      <c r="H429" s="12" t="s">
        <v>40</v>
      </c>
      <c r="I429" s="12" t="s">
        <v>40</v>
      </c>
      <c r="J429" s="12"/>
      <c r="K429" s="12"/>
      <c r="L429" s="12">
        <v>37000</v>
      </c>
      <c r="M429" s="15">
        <f t="shared" si="132"/>
        <v>10</v>
      </c>
      <c r="N429" s="15">
        <f t="shared" si="133"/>
        <v>0</v>
      </c>
      <c r="O429" s="12">
        <v>37000</v>
      </c>
      <c r="P429" s="12">
        <f t="shared" si="134"/>
        <v>3083.3333333333335</v>
      </c>
      <c r="Q429" s="12">
        <f t="shared" si="137"/>
        <v>3083.3333333333335</v>
      </c>
    </row>
    <row r="430" spans="1:17" x14ac:dyDescent="0.3">
      <c r="A430" s="1">
        <f t="shared" si="135"/>
        <v>20</v>
      </c>
      <c r="B430" s="2" t="s">
        <v>342</v>
      </c>
      <c r="C430" s="3" t="s">
        <v>333</v>
      </c>
      <c r="D430" s="12" t="s">
        <v>40</v>
      </c>
      <c r="E430" s="12" t="s">
        <v>40</v>
      </c>
      <c r="F430" s="12"/>
      <c r="G430" s="12"/>
      <c r="H430" s="12"/>
      <c r="I430" s="12"/>
      <c r="J430" s="12"/>
      <c r="K430" s="12"/>
      <c r="L430" s="12">
        <v>13560</v>
      </c>
      <c r="M430" s="15">
        <f t="shared" si="132"/>
        <v>2</v>
      </c>
      <c r="N430" s="15">
        <f t="shared" si="133"/>
        <v>0</v>
      </c>
      <c r="O430" s="12">
        <v>13560</v>
      </c>
      <c r="P430" s="12">
        <f t="shared" si="134"/>
        <v>1130</v>
      </c>
      <c r="Q430" s="12">
        <f t="shared" si="137"/>
        <v>1130</v>
      </c>
    </row>
    <row r="431" spans="1:17" x14ac:dyDescent="0.3">
      <c r="A431" s="1">
        <f t="shared" si="135"/>
        <v>21</v>
      </c>
      <c r="B431" s="10"/>
      <c r="C431" s="9"/>
      <c r="D431" s="13"/>
      <c r="E431" s="13"/>
      <c r="F431" s="13"/>
      <c r="G431" s="13"/>
      <c r="H431" s="13"/>
      <c r="I431" s="13"/>
      <c r="J431" s="13"/>
      <c r="K431" s="13"/>
      <c r="L431" s="13"/>
      <c r="M431" s="16"/>
      <c r="N431" s="16"/>
      <c r="O431" s="13"/>
      <c r="P431" s="13"/>
      <c r="Q431" s="13"/>
    </row>
    <row r="432" spans="1:17" x14ac:dyDescent="0.3">
      <c r="A432" s="1">
        <f t="shared" si="135"/>
        <v>22</v>
      </c>
      <c r="B432" s="10"/>
      <c r="C432" s="9"/>
      <c r="D432" s="13"/>
      <c r="E432" s="13"/>
      <c r="F432" s="13"/>
      <c r="G432" s="13"/>
      <c r="H432" s="13"/>
      <c r="I432" s="13"/>
      <c r="J432" s="13"/>
      <c r="K432" s="13"/>
      <c r="L432" s="13"/>
      <c r="M432" s="16"/>
      <c r="N432" s="16"/>
      <c r="O432" s="13"/>
      <c r="P432" s="13"/>
      <c r="Q432" s="13"/>
    </row>
    <row r="433" spans="1:18" x14ac:dyDescent="0.3">
      <c r="A433" s="1">
        <f t="shared" si="135"/>
        <v>23</v>
      </c>
      <c r="B433" s="2">
        <v>10490414</v>
      </c>
      <c r="C433" s="3" t="s">
        <v>333</v>
      </c>
      <c r="D433" s="12" t="s">
        <v>40</v>
      </c>
      <c r="E433" s="12" t="s">
        <v>40</v>
      </c>
      <c r="F433" s="12"/>
      <c r="G433" s="12"/>
      <c r="H433" s="12"/>
      <c r="I433" s="12"/>
      <c r="J433" s="12"/>
      <c r="K433" s="12"/>
      <c r="L433" s="12">
        <v>42397</v>
      </c>
      <c r="M433" s="15">
        <f t="shared" si="132"/>
        <v>2</v>
      </c>
      <c r="N433" s="15">
        <f t="shared" si="133"/>
        <v>0</v>
      </c>
      <c r="O433" s="12">
        <v>42397</v>
      </c>
      <c r="P433" s="12">
        <f t="shared" si="134"/>
        <v>3533.0833333333335</v>
      </c>
      <c r="Q433" s="12">
        <f t="shared" si="137"/>
        <v>3533.0833333333335</v>
      </c>
    </row>
    <row r="434" spans="1:18" x14ac:dyDescent="0.3">
      <c r="A434" s="1">
        <f t="shared" si="135"/>
        <v>24</v>
      </c>
      <c r="B434" s="10"/>
      <c r="C434" s="9"/>
      <c r="D434" s="13"/>
      <c r="E434" s="13"/>
      <c r="F434" s="13"/>
      <c r="G434" s="13"/>
      <c r="H434" s="13"/>
      <c r="I434" s="13"/>
      <c r="J434" s="13"/>
      <c r="K434" s="13"/>
      <c r="L434" s="13"/>
      <c r="M434" s="16"/>
      <c r="N434" s="16"/>
      <c r="O434" s="13"/>
      <c r="P434" s="13"/>
      <c r="Q434" s="13"/>
    </row>
    <row r="435" spans="1:18" x14ac:dyDescent="0.3">
      <c r="A435" s="1">
        <f t="shared" si="135"/>
        <v>25</v>
      </c>
      <c r="B435" s="2">
        <v>10006370</v>
      </c>
      <c r="C435" s="3" t="s">
        <v>333</v>
      </c>
      <c r="D435" s="12" t="s">
        <v>40</v>
      </c>
      <c r="E435" s="12" t="s">
        <v>40</v>
      </c>
      <c r="F435" s="12"/>
      <c r="G435" s="12"/>
      <c r="H435" s="12" t="s">
        <v>40</v>
      </c>
      <c r="I435" s="12" t="s">
        <v>40</v>
      </c>
      <c r="J435" s="12"/>
      <c r="K435" s="12"/>
      <c r="L435" s="12">
        <v>258000</v>
      </c>
      <c r="M435" s="15">
        <f t="shared" si="132"/>
        <v>10</v>
      </c>
      <c r="N435" s="15">
        <f t="shared" si="133"/>
        <v>0</v>
      </c>
      <c r="O435" s="12">
        <v>258000</v>
      </c>
      <c r="P435" s="12">
        <f t="shared" si="134"/>
        <v>21500</v>
      </c>
      <c r="Q435" s="12">
        <f t="shared" si="137"/>
        <v>21500</v>
      </c>
    </row>
    <row r="436" spans="1:18" x14ac:dyDescent="0.3">
      <c r="A436" s="1">
        <f t="shared" si="135"/>
        <v>26</v>
      </c>
      <c r="B436" s="2">
        <v>40095926</v>
      </c>
      <c r="C436" s="3" t="s">
        <v>333</v>
      </c>
      <c r="D436" s="12" t="s">
        <v>40</v>
      </c>
      <c r="E436" s="12" t="s">
        <v>40</v>
      </c>
      <c r="F436" s="12"/>
      <c r="G436" s="12"/>
      <c r="H436" s="12" t="s">
        <v>40</v>
      </c>
      <c r="I436" s="12" t="s">
        <v>40</v>
      </c>
      <c r="J436" s="12" t="s">
        <v>40</v>
      </c>
      <c r="K436" s="12"/>
      <c r="L436" s="12">
        <v>70000</v>
      </c>
      <c r="M436" s="15">
        <f t="shared" si="132"/>
        <v>20</v>
      </c>
      <c r="N436" s="15">
        <f t="shared" si="133"/>
        <v>0</v>
      </c>
      <c r="O436" s="12">
        <v>70000</v>
      </c>
      <c r="P436" s="12">
        <f t="shared" si="134"/>
        <v>5833.333333333333</v>
      </c>
      <c r="Q436" s="12">
        <f t="shared" si="137"/>
        <v>5833.333333333333</v>
      </c>
    </row>
    <row r="437" spans="1:18" x14ac:dyDescent="0.3">
      <c r="A437" s="1">
        <f t="shared" si="135"/>
        <v>27</v>
      </c>
      <c r="B437" s="2" t="s">
        <v>343</v>
      </c>
      <c r="C437" s="3" t="s">
        <v>333</v>
      </c>
      <c r="D437" s="12" t="s">
        <v>40</v>
      </c>
      <c r="E437" s="12" t="s">
        <v>40</v>
      </c>
      <c r="F437" s="12"/>
      <c r="G437" s="12"/>
      <c r="H437" s="12"/>
      <c r="I437" s="12"/>
      <c r="J437" s="12"/>
      <c r="K437" s="12"/>
      <c r="L437" s="12">
        <v>36000</v>
      </c>
      <c r="M437" s="15">
        <f t="shared" si="132"/>
        <v>2</v>
      </c>
      <c r="N437" s="15">
        <f t="shared" si="133"/>
        <v>0</v>
      </c>
      <c r="O437" s="12">
        <v>36000</v>
      </c>
      <c r="P437" s="12">
        <f t="shared" si="134"/>
        <v>3000</v>
      </c>
      <c r="Q437" s="12">
        <f t="shared" si="137"/>
        <v>3000</v>
      </c>
    </row>
    <row r="438" spans="1:18" x14ac:dyDescent="0.3">
      <c r="A438" s="1">
        <f t="shared" si="135"/>
        <v>28</v>
      </c>
      <c r="B438" s="2">
        <v>16002270</v>
      </c>
      <c r="C438" s="3" t="s">
        <v>333</v>
      </c>
      <c r="D438" s="12" t="s">
        <v>40</v>
      </c>
      <c r="E438" s="12" t="s">
        <v>40</v>
      </c>
      <c r="F438" s="12"/>
      <c r="G438" s="12"/>
      <c r="H438" s="12" t="s">
        <v>40</v>
      </c>
      <c r="I438" s="12"/>
      <c r="J438" s="12"/>
      <c r="K438" s="12"/>
      <c r="L438" s="12">
        <v>92000</v>
      </c>
      <c r="M438" s="15">
        <f t="shared" si="132"/>
        <v>5</v>
      </c>
      <c r="N438" s="15">
        <f t="shared" si="133"/>
        <v>0</v>
      </c>
      <c r="O438" s="12">
        <v>92000</v>
      </c>
      <c r="P438" s="12">
        <f t="shared" si="134"/>
        <v>7666.666666666667</v>
      </c>
      <c r="Q438" s="12">
        <f t="shared" si="137"/>
        <v>7666.666666666667</v>
      </c>
    </row>
    <row r="439" spans="1:18" x14ac:dyDescent="0.3">
      <c r="A439" s="1">
        <f t="shared" si="135"/>
        <v>29</v>
      </c>
      <c r="B439" s="2" t="s">
        <v>344</v>
      </c>
      <c r="C439" s="3" t="s">
        <v>333</v>
      </c>
      <c r="D439" s="12" t="s">
        <v>40</v>
      </c>
      <c r="E439" s="12" t="s">
        <v>40</v>
      </c>
      <c r="F439" s="12"/>
      <c r="G439" s="12"/>
      <c r="H439" s="12"/>
      <c r="I439" s="12"/>
      <c r="J439" s="12"/>
      <c r="K439" s="12"/>
      <c r="L439" s="12">
        <v>21600</v>
      </c>
      <c r="M439" s="15">
        <f t="shared" si="132"/>
        <v>2</v>
      </c>
      <c r="N439" s="15">
        <f t="shared" si="133"/>
        <v>0</v>
      </c>
      <c r="O439" s="12">
        <v>21600</v>
      </c>
      <c r="P439" s="12">
        <f t="shared" si="134"/>
        <v>1800</v>
      </c>
      <c r="Q439" s="12">
        <f t="shared" si="137"/>
        <v>1800</v>
      </c>
    </row>
    <row r="440" spans="1:18" x14ac:dyDescent="0.3">
      <c r="A440" s="1">
        <f t="shared" si="135"/>
        <v>30</v>
      </c>
      <c r="B440" s="2">
        <v>28313802</v>
      </c>
      <c r="C440" s="3" t="s">
        <v>333</v>
      </c>
      <c r="D440" s="12" t="s">
        <v>40</v>
      </c>
      <c r="E440" s="12" t="s">
        <v>40</v>
      </c>
      <c r="F440" s="12"/>
      <c r="G440" s="12"/>
      <c r="H440" s="12"/>
      <c r="I440" s="12"/>
      <c r="J440" s="12"/>
      <c r="K440" s="12"/>
      <c r="L440" s="12">
        <v>0</v>
      </c>
      <c r="M440" s="15">
        <f t="shared" si="132"/>
        <v>2</v>
      </c>
      <c r="N440" s="15">
        <f t="shared" si="133"/>
        <v>0</v>
      </c>
      <c r="O440" s="20"/>
      <c r="P440" s="12">
        <f t="shared" si="134"/>
        <v>0</v>
      </c>
      <c r="Q440" s="20"/>
    </row>
    <row r="441" spans="1:18" x14ac:dyDescent="0.3">
      <c r="B441" s="29"/>
      <c r="L441" s="14">
        <f>+AVERAGE(L411:L440)</f>
        <v>109741.73740740742</v>
      </c>
      <c r="M441" s="14">
        <f>+AVERAGE(M411:M440)</f>
        <v>8.2592592592592595</v>
      </c>
      <c r="N441" s="14">
        <f>+SUM(N411:N440)</f>
        <v>0</v>
      </c>
      <c r="O441" s="14">
        <f>+AVERAGE(O411:O440)</f>
        <v>118084.45458333334</v>
      </c>
      <c r="P441" s="14">
        <f>+AVERAGE(P411:P440)</f>
        <v>9145.1447839506181</v>
      </c>
      <c r="Q441" s="14">
        <f>+AVERAGE(Q411:Q440)</f>
        <v>9840.3712152777789</v>
      </c>
      <c r="R441" s="14">
        <f>30-COUNTBLANK(R411:R440)</f>
        <v>0</v>
      </c>
    </row>
    <row r="442" spans="1:18" x14ac:dyDescent="0.3">
      <c r="L442" s="14">
        <f>+STDEV(L411:L440)</f>
        <v>131046.57397486776</v>
      </c>
      <c r="M442" s="14">
        <f>+STDEV(M411:M440)</f>
        <v>6.7058676521879681</v>
      </c>
      <c r="N442" s="17"/>
      <c r="O442" s="14">
        <f>+STDEV(O411:O440)</f>
        <v>135193.18182267196</v>
      </c>
      <c r="P442" s="14">
        <f>+STDEV(P411:P440)</f>
        <v>10920.547831238981</v>
      </c>
      <c r="Q442" s="14">
        <f>+STDEV(Q411:Q440)</f>
        <v>11266.098485222665</v>
      </c>
    </row>
    <row r="443" spans="1:18" x14ac:dyDescent="0.3">
      <c r="I443" s="15"/>
      <c r="J443" s="15"/>
      <c r="K443" s="11" t="s">
        <v>75</v>
      </c>
      <c r="L443" s="14">
        <f>+COUNTIF(L411:L440,0)</f>
        <v>2</v>
      </c>
      <c r="M443" s="14">
        <f>+COUNT(M411:M440)</f>
        <v>27</v>
      </c>
      <c r="P443" s="14">
        <f>+COUNTIF(P411:P440,0)</f>
        <v>2</v>
      </c>
    </row>
    <row r="445" spans="1:18" x14ac:dyDescent="0.3">
      <c r="A445" s="1">
        <v>1</v>
      </c>
      <c r="B445" s="2">
        <v>16468258</v>
      </c>
      <c r="C445" s="3" t="s">
        <v>353</v>
      </c>
      <c r="D445" s="12" t="s">
        <v>40</v>
      </c>
      <c r="E445" s="12" t="s">
        <v>40</v>
      </c>
      <c r="F445" s="12"/>
      <c r="G445" s="12"/>
      <c r="H445" s="12" t="s">
        <v>40</v>
      </c>
      <c r="I445" s="12" t="s">
        <v>40</v>
      </c>
      <c r="J445" s="12"/>
      <c r="K445" s="12"/>
      <c r="L445" s="12">
        <v>769014.91</v>
      </c>
      <c r="M445" s="15">
        <f>+IF(D445="X",1,0)+IF(E445="X",1,0)+IF(F445="X",2,0)+IF(G445="X",2,0)+IF(H445="X",3,IF(H445="Y",1.5,0))+IF(I445="X",5,IF(I445="Y",2.5,0))+IF(J445="X",10,IF(J445="Y",5,0))</f>
        <v>10</v>
      </c>
      <c r="N445" s="15">
        <f>+IF(K445="X",1,0)</f>
        <v>0</v>
      </c>
      <c r="O445" s="20"/>
      <c r="P445" s="12">
        <f t="shared" ref="P445" si="138">+L445/12</f>
        <v>64084.575833333336</v>
      </c>
      <c r="Q445" s="20"/>
    </row>
    <row r="446" spans="1:18" x14ac:dyDescent="0.3">
      <c r="A446" s="1">
        <f>+A445+1</f>
        <v>2</v>
      </c>
      <c r="B446" s="2" t="s">
        <v>354</v>
      </c>
      <c r="C446" s="3" t="s">
        <v>353</v>
      </c>
      <c r="D446" s="12" t="s">
        <v>40</v>
      </c>
      <c r="E446" s="12" t="s">
        <v>40</v>
      </c>
      <c r="F446" s="12"/>
      <c r="G446" s="12"/>
      <c r="H446" s="12" t="s">
        <v>40</v>
      </c>
      <c r="I446" s="12" t="s">
        <v>40</v>
      </c>
      <c r="J446" s="12"/>
      <c r="K446" s="12"/>
      <c r="L446" s="12">
        <v>17658</v>
      </c>
      <c r="M446" s="15">
        <f t="shared" ref="M446:M474" si="139">+IF(D446="X",1,0)+IF(E446="X",1,0)+IF(F446="X",2,0)+IF(G446="X",2,0)+IF(H446="X",3,IF(H446="Y",1.5,0))+IF(I446="X",5,IF(I446="Y",2.5,0))+IF(J446="X",10,IF(J446="Y",5,0))</f>
        <v>10</v>
      </c>
      <c r="N446" s="15">
        <f t="shared" ref="N446:N474" si="140">+IF(K446="X",1,0)</f>
        <v>0</v>
      </c>
      <c r="O446" s="12">
        <v>17658</v>
      </c>
      <c r="P446" s="12">
        <f t="shared" ref="P446:P474" si="141">+L446/12</f>
        <v>1471.5</v>
      </c>
      <c r="Q446" s="12">
        <f t="shared" ref="Q446:Q474" si="142">+O446/12</f>
        <v>1471.5</v>
      </c>
    </row>
    <row r="447" spans="1:18" x14ac:dyDescent="0.3">
      <c r="A447" s="1">
        <f t="shared" ref="A447:A474" si="143">+A446+1</f>
        <v>3</v>
      </c>
      <c r="B447" s="2" t="s">
        <v>355</v>
      </c>
      <c r="C447" s="3" t="s">
        <v>353</v>
      </c>
      <c r="D447" s="12" t="s">
        <v>40</v>
      </c>
      <c r="E447" s="12" t="s">
        <v>40</v>
      </c>
      <c r="F447" s="12" t="s">
        <v>40</v>
      </c>
      <c r="G447" s="12" t="s">
        <v>40</v>
      </c>
      <c r="H447" s="12" t="s">
        <v>40</v>
      </c>
      <c r="I447" s="12" t="s">
        <v>40</v>
      </c>
      <c r="J447" s="12"/>
      <c r="K447" s="12"/>
      <c r="L447" s="12">
        <v>1763.6</v>
      </c>
      <c r="M447" s="15">
        <f t="shared" si="139"/>
        <v>14</v>
      </c>
      <c r="N447" s="15">
        <f t="shared" si="140"/>
        <v>0</v>
      </c>
      <c r="O447" s="12">
        <v>1763.6</v>
      </c>
      <c r="P447" s="12">
        <f t="shared" si="141"/>
        <v>146.96666666666667</v>
      </c>
      <c r="Q447" s="12">
        <f t="shared" si="142"/>
        <v>146.96666666666667</v>
      </c>
    </row>
    <row r="448" spans="1:18" x14ac:dyDescent="0.3">
      <c r="A448" s="1">
        <f t="shared" si="143"/>
        <v>4</v>
      </c>
      <c r="B448" s="2" t="s">
        <v>356</v>
      </c>
      <c r="C448" s="3" t="s">
        <v>353</v>
      </c>
      <c r="D448" s="12" t="s">
        <v>40</v>
      </c>
      <c r="E448" s="12" t="s">
        <v>40</v>
      </c>
      <c r="F448" s="12"/>
      <c r="G448" s="12"/>
      <c r="H448" s="12" t="s">
        <v>40</v>
      </c>
      <c r="I448" s="12"/>
      <c r="J448" s="12"/>
      <c r="K448" s="12"/>
      <c r="L448" s="12">
        <v>77456.039999999994</v>
      </c>
      <c r="M448" s="15">
        <f t="shared" si="139"/>
        <v>5</v>
      </c>
      <c r="N448" s="15">
        <f t="shared" si="140"/>
        <v>0</v>
      </c>
      <c r="O448" s="12">
        <v>77456.039999999994</v>
      </c>
      <c r="P448" s="12">
        <f t="shared" si="141"/>
        <v>6454.6699999999992</v>
      </c>
      <c r="Q448" s="12">
        <f t="shared" si="142"/>
        <v>6454.6699999999992</v>
      </c>
    </row>
    <row r="449" spans="1:21" x14ac:dyDescent="0.3">
      <c r="A449" s="1">
        <f t="shared" si="143"/>
        <v>5</v>
      </c>
      <c r="B449" s="2" t="s">
        <v>357</v>
      </c>
      <c r="C449" s="3" t="s">
        <v>353</v>
      </c>
      <c r="D449" s="12" t="s">
        <v>40</v>
      </c>
      <c r="E449" s="12" t="s">
        <v>40</v>
      </c>
      <c r="F449" s="12"/>
      <c r="G449" s="12"/>
      <c r="H449" s="12" t="s">
        <v>40</v>
      </c>
      <c r="I449" s="12" t="s">
        <v>43</v>
      </c>
      <c r="J449" s="12"/>
      <c r="K449" s="12"/>
      <c r="L449" s="12">
        <v>411650</v>
      </c>
      <c r="M449" s="15">
        <f t="shared" si="139"/>
        <v>7.5</v>
      </c>
      <c r="N449" s="15">
        <f t="shared" si="140"/>
        <v>0</v>
      </c>
      <c r="O449" s="12">
        <v>411650</v>
      </c>
      <c r="P449" s="12">
        <f t="shared" si="141"/>
        <v>34304.166666666664</v>
      </c>
      <c r="Q449" s="12">
        <f t="shared" si="142"/>
        <v>34304.166666666664</v>
      </c>
      <c r="R449" t="s">
        <v>140</v>
      </c>
    </row>
    <row r="450" spans="1:21" x14ac:dyDescent="0.3">
      <c r="A450" s="1">
        <f t="shared" si="143"/>
        <v>6</v>
      </c>
      <c r="B450" s="2" t="s">
        <v>358</v>
      </c>
      <c r="C450" s="3" t="s">
        <v>353</v>
      </c>
      <c r="D450" s="12" t="s">
        <v>40</v>
      </c>
      <c r="E450" s="12" t="s">
        <v>40</v>
      </c>
      <c r="F450" s="12"/>
      <c r="G450" s="12"/>
      <c r="H450" s="12" t="s">
        <v>40</v>
      </c>
      <c r="I450" s="12" t="s">
        <v>40</v>
      </c>
      <c r="J450" s="12"/>
      <c r="K450" s="12"/>
      <c r="L450" s="12">
        <v>49605</v>
      </c>
      <c r="M450" s="15">
        <f t="shared" si="139"/>
        <v>10</v>
      </c>
      <c r="N450" s="15">
        <f t="shared" si="140"/>
        <v>0</v>
      </c>
      <c r="O450" s="12">
        <v>49605</v>
      </c>
      <c r="P450" s="12">
        <f t="shared" si="141"/>
        <v>4133.75</v>
      </c>
      <c r="Q450" s="12">
        <f t="shared" si="142"/>
        <v>4133.75</v>
      </c>
    </row>
    <row r="451" spans="1:21" x14ac:dyDescent="0.3">
      <c r="A451" s="1">
        <f t="shared" si="143"/>
        <v>7</v>
      </c>
      <c r="B451" s="2" t="s">
        <v>359</v>
      </c>
      <c r="C451" s="3" t="s">
        <v>353</v>
      </c>
      <c r="D451" s="12" t="s">
        <v>40</v>
      </c>
      <c r="E451" s="12" t="s">
        <v>40</v>
      </c>
      <c r="F451" s="12"/>
      <c r="G451" s="12"/>
      <c r="H451" s="12"/>
      <c r="I451" s="12"/>
      <c r="J451" s="12"/>
      <c r="K451" s="12"/>
      <c r="L451" s="12">
        <v>0</v>
      </c>
      <c r="M451" s="15">
        <f t="shared" si="139"/>
        <v>2</v>
      </c>
      <c r="N451" s="15">
        <f t="shared" si="140"/>
        <v>0</v>
      </c>
      <c r="O451" s="20"/>
      <c r="P451" s="12">
        <f t="shared" si="141"/>
        <v>0</v>
      </c>
      <c r="Q451" s="20"/>
    </row>
    <row r="452" spans="1:21" x14ac:dyDescent="0.3">
      <c r="A452" s="1">
        <f t="shared" si="143"/>
        <v>8</v>
      </c>
      <c r="B452" s="2" t="s">
        <v>360</v>
      </c>
      <c r="C452" s="3" t="s">
        <v>353</v>
      </c>
      <c r="D452" s="12" t="s">
        <v>40</v>
      </c>
      <c r="E452" s="12" t="s">
        <v>40</v>
      </c>
      <c r="F452" s="12"/>
      <c r="G452" s="12"/>
      <c r="H452" s="12" t="s">
        <v>40</v>
      </c>
      <c r="I452" s="12" t="s">
        <v>40</v>
      </c>
      <c r="J452" s="12"/>
      <c r="K452" s="12"/>
      <c r="L452" s="12">
        <v>54324</v>
      </c>
      <c r="M452" s="15">
        <f t="shared" si="139"/>
        <v>10</v>
      </c>
      <c r="N452" s="15">
        <f t="shared" si="140"/>
        <v>0</v>
      </c>
      <c r="O452" s="12">
        <v>54324</v>
      </c>
      <c r="P452" s="12">
        <f t="shared" si="141"/>
        <v>4527</v>
      </c>
      <c r="Q452" s="12">
        <f t="shared" si="142"/>
        <v>4527</v>
      </c>
    </row>
    <row r="453" spans="1:21" x14ac:dyDescent="0.3">
      <c r="A453" s="1">
        <f t="shared" si="143"/>
        <v>9</v>
      </c>
      <c r="B453" s="2" t="s">
        <v>361</v>
      </c>
      <c r="C453" s="3" t="s">
        <v>353</v>
      </c>
      <c r="D453" s="12" t="s">
        <v>40</v>
      </c>
      <c r="E453" s="12" t="s">
        <v>40</v>
      </c>
      <c r="F453" s="12"/>
      <c r="G453" s="12"/>
      <c r="H453" s="12" t="s">
        <v>40</v>
      </c>
      <c r="I453" s="12"/>
      <c r="J453" s="12"/>
      <c r="K453" s="12"/>
      <c r="L453" s="12">
        <v>50200</v>
      </c>
      <c r="M453" s="15">
        <f t="shared" si="139"/>
        <v>5</v>
      </c>
      <c r="N453" s="15">
        <f t="shared" si="140"/>
        <v>0</v>
      </c>
      <c r="O453" s="12">
        <v>50200</v>
      </c>
      <c r="P453" s="12">
        <f t="shared" si="141"/>
        <v>4183.333333333333</v>
      </c>
      <c r="Q453" s="12">
        <f t="shared" si="142"/>
        <v>4183.333333333333</v>
      </c>
    </row>
    <row r="454" spans="1:21" x14ac:dyDescent="0.3">
      <c r="A454" s="1">
        <f t="shared" si="143"/>
        <v>10</v>
      </c>
      <c r="B454" s="2" t="s">
        <v>362</v>
      </c>
      <c r="C454" s="3" t="s">
        <v>353</v>
      </c>
      <c r="D454" s="12" t="s">
        <v>40</v>
      </c>
      <c r="E454" s="12" t="s">
        <v>40</v>
      </c>
      <c r="F454" s="12" t="s">
        <v>40</v>
      </c>
      <c r="G454" s="12"/>
      <c r="H454" s="12"/>
      <c r="I454" s="12"/>
      <c r="J454" s="12"/>
      <c r="K454" s="12"/>
      <c r="L454" s="12">
        <v>12000</v>
      </c>
      <c r="M454" s="15">
        <f t="shared" si="139"/>
        <v>4</v>
      </c>
      <c r="N454" s="15">
        <f t="shared" si="140"/>
        <v>0</v>
      </c>
      <c r="O454" s="12">
        <v>12000</v>
      </c>
      <c r="P454" s="12">
        <f t="shared" si="141"/>
        <v>1000</v>
      </c>
      <c r="Q454" s="12">
        <f t="shared" si="142"/>
        <v>1000</v>
      </c>
    </row>
    <row r="455" spans="1:21" x14ac:dyDescent="0.3">
      <c r="A455" s="1">
        <f t="shared" si="143"/>
        <v>11</v>
      </c>
      <c r="B455" s="2" t="s">
        <v>363</v>
      </c>
      <c r="C455" s="3" t="s">
        <v>353</v>
      </c>
      <c r="D455" s="12" t="s">
        <v>40</v>
      </c>
      <c r="E455" s="12" t="s">
        <v>40</v>
      </c>
      <c r="F455" s="12"/>
      <c r="G455" s="12"/>
      <c r="H455" s="12"/>
      <c r="I455" s="12"/>
      <c r="J455" s="12"/>
      <c r="K455" s="12"/>
      <c r="L455" s="12">
        <v>15000</v>
      </c>
      <c r="M455" s="15">
        <f t="shared" si="139"/>
        <v>2</v>
      </c>
      <c r="N455" s="15">
        <f t="shared" si="140"/>
        <v>0</v>
      </c>
      <c r="O455" s="12">
        <v>15000</v>
      </c>
      <c r="P455" s="12">
        <f t="shared" si="141"/>
        <v>1250</v>
      </c>
      <c r="Q455" s="12">
        <f t="shared" si="142"/>
        <v>1250</v>
      </c>
    </row>
    <row r="456" spans="1:21" x14ac:dyDescent="0.3">
      <c r="A456" s="1">
        <f t="shared" si="143"/>
        <v>12</v>
      </c>
      <c r="B456" s="10"/>
      <c r="C456" s="9"/>
      <c r="D456" s="13"/>
      <c r="E456" s="13"/>
      <c r="F456" s="13"/>
      <c r="G456" s="13"/>
      <c r="H456" s="13"/>
      <c r="I456" s="13"/>
      <c r="J456" s="13"/>
      <c r="K456" s="13"/>
      <c r="L456" s="13"/>
      <c r="M456" s="16"/>
      <c r="N456" s="16"/>
      <c r="O456" s="13"/>
      <c r="P456" s="13"/>
      <c r="Q456" s="13"/>
    </row>
    <row r="457" spans="1:21" x14ac:dyDescent="0.3">
      <c r="A457" s="1">
        <f t="shared" si="143"/>
        <v>13</v>
      </c>
      <c r="B457" s="2" t="s">
        <v>364</v>
      </c>
      <c r="C457" s="3" t="s">
        <v>353</v>
      </c>
      <c r="D457" s="12" t="s">
        <v>40</v>
      </c>
      <c r="E457" s="12" t="s">
        <v>40</v>
      </c>
      <c r="F457" s="12"/>
      <c r="G457" s="12"/>
      <c r="H457" s="12" t="s">
        <v>40</v>
      </c>
      <c r="I457" s="12" t="s">
        <v>40</v>
      </c>
      <c r="J457" s="12"/>
      <c r="K457" s="12"/>
      <c r="L457" s="12">
        <v>267531</v>
      </c>
      <c r="M457" s="15">
        <f t="shared" si="139"/>
        <v>10</v>
      </c>
      <c r="N457" s="15">
        <f t="shared" si="140"/>
        <v>0</v>
      </c>
      <c r="O457" s="12">
        <v>267531</v>
      </c>
      <c r="P457" s="12">
        <f t="shared" si="141"/>
        <v>22294.25</v>
      </c>
      <c r="Q457" s="12">
        <f t="shared" si="142"/>
        <v>22294.25</v>
      </c>
      <c r="U457" t="s">
        <v>365</v>
      </c>
    </row>
    <row r="458" spans="1:21" x14ac:dyDescent="0.3">
      <c r="A458" s="1">
        <f t="shared" si="143"/>
        <v>14</v>
      </c>
      <c r="B458" s="2" t="s">
        <v>366</v>
      </c>
      <c r="C458" s="3" t="s">
        <v>353</v>
      </c>
      <c r="D458" s="12" t="s">
        <v>40</v>
      </c>
      <c r="E458" s="12" t="s">
        <v>40</v>
      </c>
      <c r="F458" s="12"/>
      <c r="G458" s="12"/>
      <c r="H458" s="12" t="s">
        <v>40</v>
      </c>
      <c r="I458" s="12" t="s">
        <v>40</v>
      </c>
      <c r="J458" s="12"/>
      <c r="K458" s="12"/>
      <c r="L458" s="12">
        <v>33000</v>
      </c>
      <c r="M458" s="15">
        <f t="shared" si="139"/>
        <v>10</v>
      </c>
      <c r="N458" s="15">
        <f t="shared" si="140"/>
        <v>0</v>
      </c>
      <c r="O458" s="12">
        <v>33000</v>
      </c>
      <c r="P458" s="12">
        <f t="shared" si="141"/>
        <v>2750</v>
      </c>
      <c r="Q458" s="12">
        <f t="shared" si="142"/>
        <v>2750</v>
      </c>
    </row>
    <row r="459" spans="1:21" x14ac:dyDescent="0.3">
      <c r="A459" s="1">
        <f t="shared" si="143"/>
        <v>15</v>
      </c>
      <c r="B459" s="2" t="s">
        <v>367</v>
      </c>
      <c r="C459" s="3" t="s">
        <v>353</v>
      </c>
      <c r="D459" s="12" t="s">
        <v>40</v>
      </c>
      <c r="E459" s="12" t="s">
        <v>40</v>
      </c>
      <c r="F459" s="12"/>
      <c r="G459" s="12"/>
      <c r="H459" s="12"/>
      <c r="I459" s="12"/>
      <c r="J459" s="12"/>
      <c r="K459" s="12"/>
      <c r="L459" s="12">
        <v>0</v>
      </c>
      <c r="M459" s="15">
        <f t="shared" si="139"/>
        <v>2</v>
      </c>
      <c r="N459" s="15">
        <f t="shared" si="140"/>
        <v>0</v>
      </c>
      <c r="O459" s="20"/>
      <c r="P459" s="12">
        <f t="shared" si="141"/>
        <v>0</v>
      </c>
      <c r="Q459" s="20"/>
    </row>
    <row r="460" spans="1:21" x14ac:dyDescent="0.3">
      <c r="A460" s="1">
        <f t="shared" si="143"/>
        <v>16</v>
      </c>
      <c r="B460" s="2" t="s">
        <v>368</v>
      </c>
      <c r="C460" s="3" t="s">
        <v>353</v>
      </c>
      <c r="D460" s="12" t="s">
        <v>40</v>
      </c>
      <c r="E460" s="12" t="s">
        <v>40</v>
      </c>
      <c r="F460" s="12"/>
      <c r="G460" s="12"/>
      <c r="H460" s="12" t="s">
        <v>40</v>
      </c>
      <c r="I460" s="12"/>
      <c r="J460" s="12"/>
      <c r="K460" s="12"/>
      <c r="L460" s="12">
        <v>71916</v>
      </c>
      <c r="M460" s="15">
        <f t="shared" si="139"/>
        <v>5</v>
      </c>
      <c r="N460" s="15">
        <f t="shared" si="140"/>
        <v>0</v>
      </c>
      <c r="O460" s="12">
        <v>71916</v>
      </c>
      <c r="P460" s="12">
        <f t="shared" si="141"/>
        <v>5993</v>
      </c>
      <c r="Q460" s="12">
        <f t="shared" si="142"/>
        <v>5993</v>
      </c>
    </row>
    <row r="461" spans="1:21" x14ac:dyDescent="0.3">
      <c r="A461" s="1">
        <f t="shared" si="143"/>
        <v>17</v>
      </c>
      <c r="B461" s="2" t="s">
        <v>369</v>
      </c>
      <c r="C461" s="3" t="s">
        <v>353</v>
      </c>
      <c r="D461" s="12" t="s">
        <v>40</v>
      </c>
      <c r="E461" s="12" t="s">
        <v>40</v>
      </c>
      <c r="F461" s="12"/>
      <c r="G461" s="12"/>
      <c r="H461" s="12"/>
      <c r="I461" s="12"/>
      <c r="J461" s="12"/>
      <c r="K461" s="12"/>
      <c r="L461" s="12">
        <v>0</v>
      </c>
      <c r="M461" s="15">
        <f t="shared" si="139"/>
        <v>2</v>
      </c>
      <c r="N461" s="15">
        <f t="shared" si="140"/>
        <v>0</v>
      </c>
      <c r="O461" s="20"/>
      <c r="P461" s="12">
        <f t="shared" si="141"/>
        <v>0</v>
      </c>
      <c r="Q461" s="20"/>
      <c r="U461" t="s">
        <v>370</v>
      </c>
    </row>
    <row r="462" spans="1:21" x14ac:dyDescent="0.3">
      <c r="A462" s="1">
        <f t="shared" si="143"/>
        <v>18</v>
      </c>
      <c r="B462" s="2" t="s">
        <v>371</v>
      </c>
      <c r="C462" s="3" t="s">
        <v>353</v>
      </c>
      <c r="D462" s="12" t="s">
        <v>40</v>
      </c>
      <c r="E462" s="12" t="s">
        <v>40</v>
      </c>
      <c r="F462" s="12"/>
      <c r="G462" s="12"/>
      <c r="H462" s="12"/>
      <c r="I462" s="12"/>
      <c r="J462" s="12"/>
      <c r="K462" s="12"/>
      <c r="L462" s="12">
        <v>0</v>
      </c>
      <c r="M462" s="15">
        <f t="shared" si="139"/>
        <v>2</v>
      </c>
      <c r="N462" s="15">
        <f t="shared" si="140"/>
        <v>0</v>
      </c>
      <c r="O462" s="20"/>
      <c r="P462" s="12">
        <f t="shared" si="141"/>
        <v>0</v>
      </c>
      <c r="Q462" s="20"/>
    </row>
    <row r="463" spans="1:21" x14ac:dyDescent="0.3">
      <c r="A463" s="1">
        <f t="shared" si="143"/>
        <v>19</v>
      </c>
      <c r="B463" s="2" t="s">
        <v>372</v>
      </c>
      <c r="C463" s="3" t="s">
        <v>353</v>
      </c>
      <c r="D463" s="12" t="s">
        <v>40</v>
      </c>
      <c r="E463" s="12" t="s">
        <v>40</v>
      </c>
      <c r="F463" s="12"/>
      <c r="G463" s="12"/>
      <c r="H463" s="12"/>
      <c r="I463" s="12"/>
      <c r="J463" s="12"/>
      <c r="K463" s="12"/>
      <c r="L463" s="12">
        <v>17400</v>
      </c>
      <c r="M463" s="15">
        <f t="shared" si="139"/>
        <v>2</v>
      </c>
      <c r="N463" s="15">
        <f t="shared" si="140"/>
        <v>0</v>
      </c>
      <c r="O463" s="12">
        <v>17400</v>
      </c>
      <c r="P463" s="12">
        <f t="shared" si="141"/>
        <v>1450</v>
      </c>
      <c r="Q463" s="12">
        <f t="shared" si="142"/>
        <v>1450</v>
      </c>
    </row>
    <row r="464" spans="1:21" x14ac:dyDescent="0.3">
      <c r="A464" s="1">
        <f t="shared" si="143"/>
        <v>20</v>
      </c>
      <c r="B464" s="2" t="s">
        <v>373</v>
      </c>
      <c r="C464" s="3" t="s">
        <v>353</v>
      </c>
      <c r="D464" s="12" t="s">
        <v>40</v>
      </c>
      <c r="E464" s="12" t="s">
        <v>40</v>
      </c>
      <c r="F464" s="12"/>
      <c r="G464" s="12"/>
      <c r="H464" s="12" t="s">
        <v>40</v>
      </c>
      <c r="I464" s="12"/>
      <c r="J464" s="12"/>
      <c r="K464" s="12"/>
      <c r="L464" s="12">
        <v>177326.49</v>
      </c>
      <c r="M464" s="15">
        <f t="shared" si="139"/>
        <v>5</v>
      </c>
      <c r="N464" s="15">
        <f t="shared" si="140"/>
        <v>0</v>
      </c>
      <c r="O464" s="12">
        <v>177326.49</v>
      </c>
      <c r="P464" s="12">
        <f t="shared" si="141"/>
        <v>14777.207499999999</v>
      </c>
      <c r="Q464" s="12">
        <f t="shared" si="142"/>
        <v>14777.207499999999</v>
      </c>
    </row>
    <row r="465" spans="1:21" x14ac:dyDescent="0.3">
      <c r="A465" s="1">
        <f t="shared" si="143"/>
        <v>21</v>
      </c>
      <c r="B465" s="2" t="s">
        <v>374</v>
      </c>
      <c r="C465" s="3" t="s">
        <v>353</v>
      </c>
      <c r="D465" s="12" t="s">
        <v>40</v>
      </c>
      <c r="E465" s="12" t="s">
        <v>40</v>
      </c>
      <c r="F465" s="12"/>
      <c r="G465" s="12"/>
      <c r="H465" s="12" t="s">
        <v>40</v>
      </c>
      <c r="I465" s="12"/>
      <c r="J465" s="12"/>
      <c r="K465" s="12"/>
      <c r="L465" s="12">
        <v>30000</v>
      </c>
      <c r="M465" s="15">
        <f t="shared" si="139"/>
        <v>5</v>
      </c>
      <c r="N465" s="15">
        <f t="shared" si="140"/>
        <v>0</v>
      </c>
      <c r="O465" s="12">
        <v>30000</v>
      </c>
      <c r="P465" s="12">
        <f t="shared" si="141"/>
        <v>2500</v>
      </c>
      <c r="Q465" s="12">
        <f t="shared" si="142"/>
        <v>2500</v>
      </c>
      <c r="S465" t="s">
        <v>375</v>
      </c>
      <c r="T465" t="s">
        <v>151</v>
      </c>
    </row>
    <row r="466" spans="1:21" x14ac:dyDescent="0.3">
      <c r="A466" s="1">
        <f t="shared" si="143"/>
        <v>22</v>
      </c>
      <c r="B466" s="2" t="s">
        <v>376</v>
      </c>
      <c r="C466" s="3" t="s">
        <v>353</v>
      </c>
      <c r="D466" s="12" t="s">
        <v>40</v>
      </c>
      <c r="E466" s="12" t="s">
        <v>40</v>
      </c>
      <c r="F466" s="12"/>
      <c r="G466" s="12"/>
      <c r="H466" s="12"/>
      <c r="I466" s="12"/>
      <c r="J466" s="12"/>
      <c r="K466" s="12"/>
      <c r="L466" s="12">
        <v>0</v>
      </c>
      <c r="M466" s="15">
        <f t="shared" si="139"/>
        <v>2</v>
      </c>
      <c r="N466" s="15">
        <f t="shared" si="140"/>
        <v>0</v>
      </c>
      <c r="O466" s="20"/>
      <c r="P466" s="12">
        <f t="shared" si="141"/>
        <v>0</v>
      </c>
      <c r="Q466" s="20"/>
    </row>
    <row r="467" spans="1:21" x14ac:dyDescent="0.3">
      <c r="A467" s="1">
        <f t="shared" si="143"/>
        <v>23</v>
      </c>
      <c r="B467" s="2" t="s">
        <v>377</v>
      </c>
      <c r="C467" s="3" t="s">
        <v>353</v>
      </c>
      <c r="D467" s="12" t="s">
        <v>40</v>
      </c>
      <c r="E467" s="12" t="s">
        <v>40</v>
      </c>
      <c r="F467" s="12"/>
      <c r="G467" s="12"/>
      <c r="H467" s="12"/>
      <c r="I467" s="12"/>
      <c r="J467" s="12"/>
      <c r="K467" s="12"/>
      <c r="L467" s="12">
        <v>0</v>
      </c>
      <c r="M467" s="15">
        <f t="shared" si="139"/>
        <v>2</v>
      </c>
      <c r="N467" s="15">
        <f t="shared" si="140"/>
        <v>0</v>
      </c>
      <c r="O467" s="20"/>
      <c r="P467" s="12">
        <f t="shared" si="141"/>
        <v>0</v>
      </c>
      <c r="Q467" s="20"/>
    </row>
    <row r="468" spans="1:21" x14ac:dyDescent="0.3">
      <c r="A468" s="1">
        <f t="shared" si="143"/>
        <v>24</v>
      </c>
      <c r="B468" s="2" t="s">
        <v>378</v>
      </c>
      <c r="C468" s="3" t="s">
        <v>353</v>
      </c>
      <c r="D468" s="12" t="s">
        <v>40</v>
      </c>
      <c r="E468" s="12" t="s">
        <v>40</v>
      </c>
      <c r="F468" s="12"/>
      <c r="G468" s="12"/>
      <c r="H468" s="12"/>
      <c r="I468" s="12"/>
      <c r="J468" s="12"/>
      <c r="K468" s="12"/>
      <c r="L468" s="12">
        <v>0</v>
      </c>
      <c r="M468" s="15">
        <f t="shared" si="139"/>
        <v>2</v>
      </c>
      <c r="N468" s="15">
        <f t="shared" si="140"/>
        <v>0</v>
      </c>
      <c r="O468" s="20"/>
      <c r="P468" s="12">
        <f t="shared" si="141"/>
        <v>0</v>
      </c>
      <c r="Q468" s="20"/>
    </row>
    <row r="469" spans="1:21" x14ac:dyDescent="0.3">
      <c r="A469" s="1">
        <f t="shared" si="143"/>
        <v>25</v>
      </c>
      <c r="B469" s="2" t="s">
        <v>379</v>
      </c>
      <c r="C469" s="3" t="s">
        <v>353</v>
      </c>
      <c r="D469" s="12" t="s">
        <v>40</v>
      </c>
      <c r="E469" s="12" t="s">
        <v>40</v>
      </c>
      <c r="F469" s="12"/>
      <c r="G469" s="12"/>
      <c r="H469" s="12" t="s">
        <v>40</v>
      </c>
      <c r="I469" s="12"/>
      <c r="J469" s="12"/>
      <c r="K469" s="12"/>
      <c r="L469" s="12">
        <v>70400</v>
      </c>
      <c r="M469" s="15">
        <f t="shared" si="139"/>
        <v>5</v>
      </c>
      <c r="N469" s="15">
        <f t="shared" si="140"/>
        <v>0</v>
      </c>
      <c r="O469" s="12">
        <v>70400</v>
      </c>
      <c r="P469" s="12">
        <f t="shared" si="141"/>
        <v>5866.666666666667</v>
      </c>
      <c r="Q469" s="12">
        <f t="shared" si="142"/>
        <v>5866.666666666667</v>
      </c>
    </row>
    <row r="470" spans="1:21" x14ac:dyDescent="0.3">
      <c r="A470" s="1">
        <f t="shared" si="143"/>
        <v>26</v>
      </c>
      <c r="B470" s="2" t="s">
        <v>380</v>
      </c>
      <c r="C470" s="3" t="s">
        <v>353</v>
      </c>
      <c r="D470" s="12" t="s">
        <v>40</v>
      </c>
      <c r="E470" s="12" t="s">
        <v>40</v>
      </c>
      <c r="F470" s="12"/>
      <c r="G470" s="12"/>
      <c r="H470" s="12"/>
      <c r="I470" s="12"/>
      <c r="J470" s="12"/>
      <c r="K470" s="12"/>
      <c r="L470" s="12">
        <v>20400</v>
      </c>
      <c r="M470" s="15">
        <f t="shared" si="139"/>
        <v>2</v>
      </c>
      <c r="N470" s="15">
        <f t="shared" si="140"/>
        <v>0</v>
      </c>
      <c r="O470" s="12">
        <v>20400</v>
      </c>
      <c r="P470" s="12">
        <f t="shared" si="141"/>
        <v>1700</v>
      </c>
      <c r="Q470" s="12">
        <f t="shared" si="142"/>
        <v>1700</v>
      </c>
    </row>
    <row r="471" spans="1:21" x14ac:dyDescent="0.3">
      <c r="A471" s="1">
        <f t="shared" si="143"/>
        <v>27</v>
      </c>
      <c r="B471" s="2" t="s">
        <v>381</v>
      </c>
      <c r="C471" s="3" t="s">
        <v>353</v>
      </c>
      <c r="D471" s="12" t="s">
        <v>40</v>
      </c>
      <c r="E471" s="12" t="s">
        <v>40</v>
      </c>
      <c r="F471" s="12"/>
      <c r="G471" s="12"/>
      <c r="H471" s="12" t="s">
        <v>40</v>
      </c>
      <c r="I471" s="12" t="s">
        <v>40</v>
      </c>
      <c r="J471" s="12"/>
      <c r="K471" s="12"/>
      <c r="L471" s="12">
        <v>117494</v>
      </c>
      <c r="M471" s="15">
        <f t="shared" si="139"/>
        <v>10</v>
      </c>
      <c r="N471" s="15">
        <f t="shared" si="140"/>
        <v>0</v>
      </c>
      <c r="O471" s="12">
        <v>117494</v>
      </c>
      <c r="P471" s="12">
        <f t="shared" si="141"/>
        <v>9791.1666666666661</v>
      </c>
      <c r="Q471" s="12">
        <f t="shared" si="142"/>
        <v>9791.1666666666661</v>
      </c>
    </row>
    <row r="472" spans="1:21" x14ac:dyDescent="0.3">
      <c r="A472" s="1">
        <f t="shared" si="143"/>
        <v>28</v>
      </c>
      <c r="B472" s="2" t="s">
        <v>382</v>
      </c>
      <c r="C472" s="3" t="s">
        <v>353</v>
      </c>
      <c r="D472" s="12" t="s">
        <v>40</v>
      </c>
      <c r="E472" s="12" t="s">
        <v>40</v>
      </c>
      <c r="F472" s="12"/>
      <c r="G472" s="12"/>
      <c r="H472" s="12"/>
      <c r="I472" s="12"/>
      <c r="J472" s="12"/>
      <c r="K472" s="12"/>
      <c r="L472" s="12">
        <v>92953.32</v>
      </c>
      <c r="M472" s="15">
        <f t="shared" si="139"/>
        <v>2</v>
      </c>
      <c r="N472" s="15">
        <f t="shared" si="140"/>
        <v>0</v>
      </c>
      <c r="O472" s="12">
        <v>92953.32</v>
      </c>
      <c r="P472" s="12">
        <f t="shared" si="141"/>
        <v>7746.1100000000006</v>
      </c>
      <c r="Q472" s="12">
        <f t="shared" si="142"/>
        <v>7746.1100000000006</v>
      </c>
      <c r="U472" t="s">
        <v>383</v>
      </c>
    </row>
    <row r="473" spans="1:21" x14ac:dyDescent="0.3">
      <c r="A473" s="1">
        <f t="shared" si="143"/>
        <v>29</v>
      </c>
      <c r="B473" s="10"/>
      <c r="C473" s="9"/>
      <c r="D473" s="13"/>
      <c r="E473" s="13"/>
      <c r="F473" s="13"/>
      <c r="G473" s="13"/>
      <c r="H473" s="13"/>
      <c r="I473" s="13"/>
      <c r="J473" s="13"/>
      <c r="K473" s="13"/>
      <c r="L473" s="13"/>
      <c r="M473" s="16"/>
      <c r="N473" s="16"/>
      <c r="O473" s="13"/>
      <c r="P473" s="13"/>
      <c r="Q473" s="13"/>
    </row>
    <row r="474" spans="1:21" x14ac:dyDescent="0.3">
      <c r="A474" s="1">
        <f t="shared" si="143"/>
        <v>30</v>
      </c>
      <c r="B474" s="2" t="s">
        <v>384</v>
      </c>
      <c r="C474" s="3" t="s">
        <v>353</v>
      </c>
      <c r="D474" s="12" t="s">
        <v>40</v>
      </c>
      <c r="E474" s="12" t="s">
        <v>40</v>
      </c>
      <c r="F474" s="12"/>
      <c r="G474" s="12"/>
      <c r="H474" s="12" t="s">
        <v>40</v>
      </c>
      <c r="I474" s="12" t="s">
        <v>40</v>
      </c>
      <c r="J474" s="12"/>
      <c r="K474" s="12"/>
      <c r="L474" s="12">
        <v>3000</v>
      </c>
      <c r="M474" s="15">
        <f t="shared" si="139"/>
        <v>10</v>
      </c>
      <c r="N474" s="15">
        <f t="shared" si="140"/>
        <v>0</v>
      </c>
      <c r="O474" s="12">
        <v>3000</v>
      </c>
      <c r="P474" s="12">
        <f t="shared" si="141"/>
        <v>250</v>
      </c>
      <c r="Q474" s="12">
        <f t="shared" si="142"/>
        <v>250</v>
      </c>
    </row>
    <row r="475" spans="1:21" x14ac:dyDescent="0.3">
      <c r="B475" s="29"/>
      <c r="L475" s="14">
        <f>+AVERAGE(L445:L474)</f>
        <v>84289.01285714285</v>
      </c>
      <c r="M475" s="14">
        <f>+AVERAGE(M445:M474)</f>
        <v>5.625</v>
      </c>
      <c r="N475" s="14">
        <f>+SUM(N445:N474)</f>
        <v>0</v>
      </c>
      <c r="O475" s="14">
        <f>+AVERAGE(O445:O474)</f>
        <v>79553.872500000012</v>
      </c>
      <c r="P475" s="14">
        <f>+AVERAGE(P445:P474)</f>
        <v>7024.084404761903</v>
      </c>
      <c r="Q475" s="14">
        <f>+AVERAGE(Q445:Q474)</f>
        <v>6629.4893750000001</v>
      </c>
      <c r="R475" s="14">
        <f>30-COUNTBLANK(R445:R474)</f>
        <v>1</v>
      </c>
    </row>
    <row r="476" spans="1:21" x14ac:dyDescent="0.3">
      <c r="L476" s="14">
        <f>+STDEV(L445:L474)</f>
        <v>162712.26776764303</v>
      </c>
      <c r="M476" s="14">
        <f>+STDEV(M445:M474)</f>
        <v>3.7332961307670196</v>
      </c>
      <c r="N476" s="17"/>
      <c r="O476" s="14">
        <f>+STDEV(O445:O474)</f>
        <v>101515.40383380221</v>
      </c>
      <c r="P476" s="14">
        <f>+STDEV(P445:P474)</f>
        <v>13559.35564730359</v>
      </c>
      <c r="Q476" s="14">
        <f>+STDEV(Q445:Q474)</f>
        <v>8459.6169861501839</v>
      </c>
    </row>
    <row r="477" spans="1:21" x14ac:dyDescent="0.3">
      <c r="I477" s="15"/>
      <c r="J477" s="15"/>
      <c r="K477" s="11" t="s">
        <v>75</v>
      </c>
      <c r="L477" s="14">
        <f>+COUNTIF(L445:L474,0)</f>
        <v>7</v>
      </c>
      <c r="M477" s="14">
        <f>+COUNT(M445:M474)</f>
        <v>28</v>
      </c>
      <c r="P477" s="14">
        <f>+COUNTIF(P445:P474,0)</f>
        <v>7</v>
      </c>
    </row>
    <row r="479" spans="1:21" x14ac:dyDescent="0.3">
      <c r="A479" s="1">
        <v>1</v>
      </c>
      <c r="B479" s="1" t="s">
        <v>386</v>
      </c>
      <c r="C479" s="3" t="s">
        <v>385</v>
      </c>
      <c r="D479" s="12" t="s">
        <v>40</v>
      </c>
      <c r="E479" s="12" t="s">
        <v>40</v>
      </c>
      <c r="F479" s="12"/>
      <c r="G479" s="12"/>
      <c r="H479" s="12" t="s">
        <v>40</v>
      </c>
      <c r="I479" s="12" t="s">
        <v>40</v>
      </c>
      <c r="J479" s="12"/>
      <c r="K479" s="12" t="s">
        <v>40</v>
      </c>
      <c r="L479" s="12">
        <v>117684</v>
      </c>
      <c r="M479" s="15">
        <f>+IF(D479="X",1,0)+IF(E479="X",1,0)+IF(F479="X",2,0)+IF(G479="X",2,0)+IF(H479="X",3,IF(H479="Y",1.5,0))+IF(I479="X",5,IF(I479="Y",2.5,0))+IF(J479="X",10,IF(J479="Y",5,0))</f>
        <v>10</v>
      </c>
      <c r="N479" s="15">
        <f>+IF(K479="X",1,0)</f>
        <v>1</v>
      </c>
      <c r="O479" s="12">
        <v>164424.09</v>
      </c>
      <c r="P479" s="12">
        <f t="shared" ref="P479" si="144">+L479/12</f>
        <v>9807</v>
      </c>
      <c r="Q479" s="12">
        <f t="shared" ref="Q479" si="145">+O479/12</f>
        <v>13702.0075</v>
      </c>
    </row>
    <row r="480" spans="1:21" x14ac:dyDescent="0.3">
      <c r="A480" s="1">
        <f>+A479+1</f>
        <v>2</v>
      </c>
      <c r="B480" s="27" t="s">
        <v>387</v>
      </c>
      <c r="C480" s="3" t="s">
        <v>385</v>
      </c>
      <c r="D480" s="12" t="s">
        <v>40</v>
      </c>
      <c r="E480" s="12" t="s">
        <v>40</v>
      </c>
      <c r="F480" s="12"/>
      <c r="G480" s="12"/>
      <c r="H480" s="12" t="s">
        <v>40</v>
      </c>
      <c r="I480" s="12" t="s">
        <v>40</v>
      </c>
      <c r="J480" s="12"/>
      <c r="K480" s="12"/>
      <c r="L480" s="12">
        <v>347076</v>
      </c>
      <c r="M480" s="15">
        <f t="shared" ref="M480:M508" si="146">+IF(D480="X",1,0)+IF(E480="X",1,0)+IF(F480="X",2,0)+IF(G480="X",2,0)+IF(H480="X",3,IF(H480="Y",1.5,0))+IF(I480="X",5,IF(I480="Y",2.5,0))+IF(J480="X",10,IF(J480="Y",5,0))</f>
        <v>10</v>
      </c>
      <c r="N480" s="15">
        <f t="shared" ref="N480:N508" si="147">+IF(K480="X",1,0)</f>
        <v>0</v>
      </c>
      <c r="O480" s="12">
        <v>347076</v>
      </c>
      <c r="P480" s="12">
        <f t="shared" ref="P480:P508" si="148">+L480/12</f>
        <v>28923</v>
      </c>
      <c r="Q480" s="12">
        <f t="shared" ref="Q480:Q508" si="149">+O480/12</f>
        <v>28923</v>
      </c>
      <c r="U480" t="s">
        <v>388</v>
      </c>
    </row>
    <row r="481" spans="1:21" x14ac:dyDescent="0.3">
      <c r="A481" s="1">
        <f t="shared" ref="A481:A508" si="150">+A480+1</f>
        <v>3</v>
      </c>
      <c r="B481" s="1" t="s">
        <v>389</v>
      </c>
      <c r="C481" s="3" t="s">
        <v>385</v>
      </c>
      <c r="D481" s="12" t="s">
        <v>40</v>
      </c>
      <c r="E481" s="12" t="s">
        <v>40</v>
      </c>
      <c r="F481" s="12"/>
      <c r="G481" s="12"/>
      <c r="H481" s="12" t="s">
        <v>40</v>
      </c>
      <c r="I481" s="12" t="s">
        <v>40</v>
      </c>
      <c r="J481" s="12"/>
      <c r="K481" s="12"/>
      <c r="L481" s="12">
        <v>164424.09</v>
      </c>
      <c r="M481" s="15">
        <f t="shared" si="146"/>
        <v>10</v>
      </c>
      <c r="N481" s="15">
        <f t="shared" si="147"/>
        <v>0</v>
      </c>
      <c r="O481" s="12">
        <v>164424.09</v>
      </c>
      <c r="P481" s="12">
        <f t="shared" si="148"/>
        <v>13702.0075</v>
      </c>
      <c r="Q481" s="12">
        <f t="shared" si="149"/>
        <v>13702.0075</v>
      </c>
      <c r="U481" t="s">
        <v>390</v>
      </c>
    </row>
    <row r="482" spans="1:21" x14ac:dyDescent="0.3">
      <c r="A482" s="1">
        <f t="shared" si="150"/>
        <v>4</v>
      </c>
      <c r="B482" s="27" t="s">
        <v>391</v>
      </c>
      <c r="C482" s="3" t="s">
        <v>385</v>
      </c>
      <c r="D482" s="12" t="s">
        <v>40</v>
      </c>
      <c r="E482" s="12" t="s">
        <v>40</v>
      </c>
      <c r="F482" s="12"/>
      <c r="G482" s="12"/>
      <c r="H482" s="12" t="s">
        <v>40</v>
      </c>
      <c r="I482" s="12"/>
      <c r="J482" s="12"/>
      <c r="K482" s="12"/>
      <c r="L482" s="12">
        <v>442917.99</v>
      </c>
      <c r="M482" s="15">
        <f t="shared" si="146"/>
        <v>5</v>
      </c>
      <c r="N482" s="15">
        <f t="shared" si="147"/>
        <v>0</v>
      </c>
      <c r="O482" s="20"/>
      <c r="P482" s="12">
        <f t="shared" si="148"/>
        <v>36909.832499999997</v>
      </c>
      <c r="Q482" s="20"/>
      <c r="R482" t="s">
        <v>140</v>
      </c>
    </row>
    <row r="483" spans="1:21" x14ac:dyDescent="0.3">
      <c r="A483" s="1">
        <f t="shared" si="150"/>
        <v>5</v>
      </c>
      <c r="B483" s="1" t="s">
        <v>392</v>
      </c>
      <c r="C483" s="3" t="s">
        <v>385</v>
      </c>
      <c r="D483" s="12" t="s">
        <v>40</v>
      </c>
      <c r="E483" s="12" t="s">
        <v>40</v>
      </c>
      <c r="F483" s="12"/>
      <c r="G483" s="12"/>
      <c r="H483" s="12" t="s">
        <v>40</v>
      </c>
      <c r="I483" s="12" t="s">
        <v>43</v>
      </c>
      <c r="J483" s="12"/>
      <c r="K483" s="12"/>
      <c r="L483" s="12">
        <v>51480</v>
      </c>
      <c r="M483" s="15">
        <f t="shared" si="146"/>
        <v>7.5</v>
      </c>
      <c r="N483" s="15">
        <f t="shared" si="147"/>
        <v>0</v>
      </c>
      <c r="O483" s="12">
        <v>51480</v>
      </c>
      <c r="P483" s="12">
        <f t="shared" si="148"/>
        <v>4290</v>
      </c>
      <c r="Q483" s="12">
        <f t="shared" si="149"/>
        <v>4290</v>
      </c>
    </row>
    <row r="484" spans="1:21" x14ac:dyDescent="0.3">
      <c r="A484" s="1">
        <f t="shared" si="150"/>
        <v>6</v>
      </c>
      <c r="B484" s="27">
        <v>10129700</v>
      </c>
      <c r="C484" s="3" t="s">
        <v>385</v>
      </c>
      <c r="D484" s="12" t="s">
        <v>40</v>
      </c>
      <c r="E484" s="12" t="s">
        <v>40</v>
      </c>
      <c r="F484" s="12"/>
      <c r="G484" s="12"/>
      <c r="H484" s="12"/>
      <c r="I484" s="12"/>
      <c r="J484" s="12"/>
      <c r="K484" s="12"/>
      <c r="L484" s="12">
        <v>343007.5</v>
      </c>
      <c r="M484" s="15">
        <f t="shared" si="146"/>
        <v>2</v>
      </c>
      <c r="N484" s="15">
        <f t="shared" si="147"/>
        <v>0</v>
      </c>
      <c r="O484" s="12">
        <v>343007.5</v>
      </c>
      <c r="P484" s="12">
        <f t="shared" si="148"/>
        <v>28583.958333333332</v>
      </c>
      <c r="Q484" s="12">
        <f t="shared" si="149"/>
        <v>28583.958333333332</v>
      </c>
      <c r="R484" t="s">
        <v>401</v>
      </c>
    </row>
    <row r="485" spans="1:21" x14ac:dyDescent="0.3">
      <c r="A485" s="1">
        <f t="shared" si="150"/>
        <v>7</v>
      </c>
      <c r="B485" s="2">
        <v>10613285</v>
      </c>
      <c r="C485" s="3" t="s">
        <v>385</v>
      </c>
      <c r="D485" s="12" t="s">
        <v>40</v>
      </c>
      <c r="E485" s="12" t="s">
        <v>40</v>
      </c>
      <c r="F485" s="12"/>
      <c r="G485" s="12"/>
      <c r="H485" s="12"/>
      <c r="I485" s="12"/>
      <c r="J485" s="12"/>
      <c r="K485" s="12"/>
      <c r="L485" s="12">
        <v>71280</v>
      </c>
      <c r="M485" s="15">
        <f t="shared" si="146"/>
        <v>2</v>
      </c>
      <c r="N485" s="15">
        <f t="shared" si="147"/>
        <v>0</v>
      </c>
      <c r="O485" s="12">
        <v>71280</v>
      </c>
      <c r="P485" s="12">
        <f t="shared" si="148"/>
        <v>5940</v>
      </c>
      <c r="Q485" s="12">
        <f t="shared" si="149"/>
        <v>5940</v>
      </c>
      <c r="U485" t="s">
        <v>402</v>
      </c>
    </row>
    <row r="486" spans="1:21" x14ac:dyDescent="0.3">
      <c r="A486" s="1">
        <f t="shared" si="150"/>
        <v>8</v>
      </c>
      <c r="B486" s="2" t="s">
        <v>393</v>
      </c>
      <c r="C486" s="3" t="s">
        <v>385</v>
      </c>
      <c r="D486" s="12" t="s">
        <v>40</v>
      </c>
      <c r="E486" s="12" t="s">
        <v>40</v>
      </c>
      <c r="F486" s="12"/>
      <c r="G486" s="12"/>
      <c r="H486" s="12" t="s">
        <v>40</v>
      </c>
      <c r="I486" s="12"/>
      <c r="J486" s="12" t="s">
        <v>40</v>
      </c>
      <c r="K486" s="12"/>
      <c r="L486" s="12">
        <v>269221</v>
      </c>
      <c r="M486" s="15">
        <f t="shared" si="146"/>
        <v>15</v>
      </c>
      <c r="N486" s="15">
        <f t="shared" si="147"/>
        <v>0</v>
      </c>
      <c r="O486" s="12">
        <v>269221</v>
      </c>
      <c r="P486" s="12">
        <f t="shared" si="148"/>
        <v>22435.083333333332</v>
      </c>
      <c r="Q486" s="12">
        <f t="shared" si="149"/>
        <v>22435.083333333332</v>
      </c>
      <c r="S486" t="s">
        <v>76</v>
      </c>
      <c r="T486" t="s">
        <v>151</v>
      </c>
    </row>
    <row r="487" spans="1:21" x14ac:dyDescent="0.3">
      <c r="A487" s="1">
        <f t="shared" si="150"/>
        <v>9</v>
      </c>
      <c r="B487" s="2">
        <v>23999250</v>
      </c>
      <c r="C487" s="3" t="s">
        <v>385</v>
      </c>
      <c r="D487" s="12" t="s">
        <v>40</v>
      </c>
      <c r="E487" s="12" t="s">
        <v>40</v>
      </c>
      <c r="F487" s="12"/>
      <c r="G487" s="12"/>
      <c r="H487" s="12" t="s">
        <v>40</v>
      </c>
      <c r="I487" s="12"/>
      <c r="J487" s="12"/>
      <c r="K487" s="12"/>
      <c r="L487" s="12">
        <v>65388</v>
      </c>
      <c r="M487" s="15">
        <f t="shared" si="146"/>
        <v>5</v>
      </c>
      <c r="N487" s="15">
        <f t="shared" si="147"/>
        <v>0</v>
      </c>
      <c r="O487" s="12">
        <v>65388</v>
      </c>
      <c r="P487" s="12">
        <f t="shared" si="148"/>
        <v>5449</v>
      </c>
      <c r="Q487" s="12">
        <f t="shared" si="149"/>
        <v>5449</v>
      </c>
      <c r="S487" t="s">
        <v>150</v>
      </c>
      <c r="T487" t="s">
        <v>151</v>
      </c>
    </row>
    <row r="488" spans="1:21" x14ac:dyDescent="0.3">
      <c r="A488" s="1">
        <f t="shared" si="150"/>
        <v>10</v>
      </c>
      <c r="B488" s="2" t="s">
        <v>394</v>
      </c>
      <c r="C488" s="3" t="s">
        <v>385</v>
      </c>
      <c r="D488" s="12" t="s">
        <v>40</v>
      </c>
      <c r="E488" s="12" t="s">
        <v>40</v>
      </c>
      <c r="F488" s="12"/>
      <c r="G488" s="12"/>
      <c r="H488" s="12" t="s">
        <v>40</v>
      </c>
      <c r="I488" s="12" t="s">
        <v>40</v>
      </c>
      <c r="J488" s="12"/>
      <c r="K488" s="12"/>
      <c r="L488" s="12">
        <v>178196.65</v>
      </c>
      <c r="M488" s="15">
        <f t="shared" si="146"/>
        <v>10</v>
      </c>
      <c r="N488" s="15">
        <f t="shared" si="147"/>
        <v>0</v>
      </c>
      <c r="O488" s="12">
        <v>178196.65</v>
      </c>
      <c r="P488" s="12">
        <f t="shared" si="148"/>
        <v>14849.720833333333</v>
      </c>
      <c r="Q488" s="12">
        <f t="shared" si="149"/>
        <v>14849.720833333333</v>
      </c>
      <c r="U488" t="s">
        <v>403</v>
      </c>
    </row>
    <row r="489" spans="1:21" x14ac:dyDescent="0.3">
      <c r="A489" s="1">
        <f t="shared" si="150"/>
        <v>11</v>
      </c>
      <c r="B489" s="4" t="s">
        <v>404</v>
      </c>
      <c r="C489" s="3" t="s">
        <v>385</v>
      </c>
      <c r="D489" s="12" t="s">
        <v>40</v>
      </c>
      <c r="E489" s="12" t="s">
        <v>40</v>
      </c>
      <c r="F489" s="12"/>
      <c r="G489" s="12"/>
      <c r="H489" s="12" t="s">
        <v>40</v>
      </c>
      <c r="I489" s="12" t="s">
        <v>40</v>
      </c>
      <c r="J489" s="12" t="s">
        <v>40</v>
      </c>
      <c r="K489" s="12"/>
      <c r="L489" s="12">
        <v>92017</v>
      </c>
      <c r="M489" s="15">
        <f t="shared" si="146"/>
        <v>20</v>
      </c>
      <c r="N489" s="15">
        <f t="shared" si="147"/>
        <v>0</v>
      </c>
      <c r="O489" s="12">
        <v>92017</v>
      </c>
      <c r="P489" s="12">
        <f t="shared" si="148"/>
        <v>7668.083333333333</v>
      </c>
      <c r="Q489" s="12">
        <f t="shared" si="149"/>
        <v>7668.083333333333</v>
      </c>
      <c r="U489" t="s">
        <v>405</v>
      </c>
    </row>
    <row r="490" spans="1:21" x14ac:dyDescent="0.3">
      <c r="A490" s="1">
        <f t="shared" si="150"/>
        <v>12</v>
      </c>
      <c r="B490" s="10"/>
      <c r="C490" s="9"/>
      <c r="D490" s="13"/>
      <c r="E490" s="13"/>
      <c r="F490" s="13"/>
      <c r="G490" s="13"/>
      <c r="H490" s="13"/>
      <c r="I490" s="13"/>
      <c r="J490" s="13"/>
      <c r="K490" s="13"/>
      <c r="L490" s="13"/>
      <c r="M490" s="16"/>
      <c r="N490" s="16"/>
      <c r="O490" s="13"/>
      <c r="P490" s="13"/>
      <c r="Q490" s="13"/>
    </row>
    <row r="491" spans="1:21" x14ac:dyDescent="0.3">
      <c r="A491" s="1">
        <f t="shared" si="150"/>
        <v>13</v>
      </c>
      <c r="B491" s="4" t="s">
        <v>406</v>
      </c>
      <c r="C491" s="3" t="s">
        <v>385</v>
      </c>
      <c r="D491" s="12" t="s">
        <v>40</v>
      </c>
      <c r="E491" s="12" t="s">
        <v>40</v>
      </c>
      <c r="F491" s="12"/>
      <c r="G491" s="12"/>
      <c r="H491" s="12" t="s">
        <v>40</v>
      </c>
      <c r="I491" s="12"/>
      <c r="J491" s="12"/>
      <c r="K491" s="12"/>
      <c r="L491" s="12">
        <v>12300</v>
      </c>
      <c r="M491" s="15">
        <f t="shared" si="146"/>
        <v>5</v>
      </c>
      <c r="N491" s="15">
        <f t="shared" si="147"/>
        <v>0</v>
      </c>
      <c r="O491" s="12">
        <v>12300</v>
      </c>
      <c r="P491" s="12">
        <f t="shared" si="148"/>
        <v>1025</v>
      </c>
      <c r="Q491" s="12">
        <f t="shared" si="149"/>
        <v>1025</v>
      </c>
    </row>
    <row r="492" spans="1:21" x14ac:dyDescent="0.3">
      <c r="A492" s="1">
        <f t="shared" si="150"/>
        <v>14</v>
      </c>
      <c r="B492" s="2" t="s">
        <v>395</v>
      </c>
      <c r="C492" s="3" t="s">
        <v>385</v>
      </c>
      <c r="D492" s="12" t="s">
        <v>40</v>
      </c>
      <c r="E492" s="12" t="s">
        <v>40</v>
      </c>
      <c r="F492" s="12"/>
      <c r="G492" s="12"/>
      <c r="H492" s="12" t="s">
        <v>40</v>
      </c>
      <c r="I492" s="12"/>
      <c r="J492" s="12"/>
      <c r="K492" s="12"/>
      <c r="L492" s="12">
        <v>0</v>
      </c>
      <c r="M492" s="15">
        <f t="shared" si="146"/>
        <v>5</v>
      </c>
      <c r="N492" s="15">
        <f t="shared" si="147"/>
        <v>0</v>
      </c>
      <c r="O492" s="20"/>
      <c r="P492" s="12">
        <f t="shared" si="148"/>
        <v>0</v>
      </c>
      <c r="Q492" s="20"/>
    </row>
    <row r="493" spans="1:21" x14ac:dyDescent="0.3">
      <c r="A493" s="1">
        <f t="shared" si="150"/>
        <v>15</v>
      </c>
      <c r="B493" s="4" t="s">
        <v>407</v>
      </c>
      <c r="C493" s="3" t="s">
        <v>385</v>
      </c>
      <c r="D493" s="12" t="s">
        <v>40</v>
      </c>
      <c r="E493" s="12" t="s">
        <v>40</v>
      </c>
      <c r="F493" s="12"/>
      <c r="G493" s="12"/>
      <c r="H493" s="12" t="s">
        <v>40</v>
      </c>
      <c r="I493" s="12" t="s">
        <v>40</v>
      </c>
      <c r="J493" s="12"/>
      <c r="K493" s="12"/>
      <c r="L493" s="12">
        <v>130319</v>
      </c>
      <c r="M493" s="15">
        <f t="shared" si="146"/>
        <v>10</v>
      </c>
      <c r="N493" s="15">
        <f t="shared" si="147"/>
        <v>0</v>
      </c>
      <c r="O493" s="12">
        <v>130319</v>
      </c>
      <c r="P493" s="12">
        <f t="shared" si="148"/>
        <v>10859.916666666666</v>
      </c>
      <c r="Q493" s="12">
        <f t="shared" si="149"/>
        <v>10859.916666666666</v>
      </c>
    </row>
    <row r="494" spans="1:21" x14ac:dyDescent="0.3">
      <c r="A494" s="1">
        <f t="shared" si="150"/>
        <v>16</v>
      </c>
      <c r="B494" s="4" t="s">
        <v>408</v>
      </c>
      <c r="C494" s="3" t="s">
        <v>385</v>
      </c>
      <c r="D494" s="12" t="s">
        <v>40</v>
      </c>
      <c r="E494" s="12" t="s">
        <v>40</v>
      </c>
      <c r="F494" s="12" t="s">
        <v>40</v>
      </c>
      <c r="G494" s="12" t="s">
        <v>40</v>
      </c>
      <c r="H494" s="12"/>
      <c r="I494" s="12"/>
      <c r="J494" s="12"/>
      <c r="K494" s="12"/>
      <c r="L494" s="12">
        <v>12300</v>
      </c>
      <c r="M494" s="15">
        <f t="shared" si="146"/>
        <v>6</v>
      </c>
      <c r="N494" s="15">
        <f t="shared" si="147"/>
        <v>0</v>
      </c>
      <c r="O494" s="12">
        <v>12300</v>
      </c>
      <c r="P494" s="12">
        <f t="shared" si="148"/>
        <v>1025</v>
      </c>
      <c r="Q494" s="12">
        <f t="shared" si="149"/>
        <v>1025</v>
      </c>
    </row>
    <row r="495" spans="1:21" x14ac:dyDescent="0.3">
      <c r="A495" s="1">
        <f t="shared" si="150"/>
        <v>17</v>
      </c>
      <c r="B495" s="4" t="s">
        <v>409</v>
      </c>
      <c r="C495" s="3" t="s">
        <v>385</v>
      </c>
      <c r="D495" s="12" t="s">
        <v>40</v>
      </c>
      <c r="E495" s="12" t="s">
        <v>40</v>
      </c>
      <c r="F495" s="12"/>
      <c r="G495" s="12"/>
      <c r="H495" s="12" t="s">
        <v>40</v>
      </c>
      <c r="I495" s="12" t="s">
        <v>43</v>
      </c>
      <c r="J495" s="12"/>
      <c r="K495" s="12"/>
      <c r="L495" s="12">
        <v>68350</v>
      </c>
      <c r="M495" s="15">
        <f t="shared" si="146"/>
        <v>7.5</v>
      </c>
      <c r="N495" s="15">
        <f t="shared" si="147"/>
        <v>0</v>
      </c>
      <c r="O495" s="12">
        <v>68350</v>
      </c>
      <c r="P495" s="12">
        <f t="shared" si="148"/>
        <v>5695.833333333333</v>
      </c>
      <c r="Q495" s="12">
        <f t="shared" si="149"/>
        <v>5695.833333333333</v>
      </c>
      <c r="U495" t="s">
        <v>410</v>
      </c>
    </row>
    <row r="496" spans="1:21" x14ac:dyDescent="0.3">
      <c r="A496" s="1">
        <f t="shared" si="150"/>
        <v>18</v>
      </c>
      <c r="B496" s="2">
        <v>32838183</v>
      </c>
      <c r="C496" s="3" t="s">
        <v>385</v>
      </c>
      <c r="D496" s="12" t="s">
        <v>40</v>
      </c>
      <c r="E496" s="12" t="s">
        <v>40</v>
      </c>
      <c r="F496" s="12"/>
      <c r="G496" s="12" t="s">
        <v>40</v>
      </c>
      <c r="H496" s="12" t="s">
        <v>40</v>
      </c>
      <c r="I496" s="12"/>
      <c r="J496" s="12"/>
      <c r="K496" s="12" t="s">
        <v>40</v>
      </c>
      <c r="L496" s="12">
        <v>55000</v>
      </c>
      <c r="M496" s="15">
        <f t="shared" si="146"/>
        <v>7</v>
      </c>
      <c r="N496" s="15">
        <f t="shared" si="147"/>
        <v>1</v>
      </c>
      <c r="O496" s="12">
        <v>55000</v>
      </c>
      <c r="P496" s="12">
        <f t="shared" si="148"/>
        <v>4583.333333333333</v>
      </c>
      <c r="Q496" s="12">
        <f t="shared" si="149"/>
        <v>4583.333333333333</v>
      </c>
      <c r="S496" t="s">
        <v>411</v>
      </c>
      <c r="T496" t="s">
        <v>151</v>
      </c>
    </row>
    <row r="497" spans="1:21" x14ac:dyDescent="0.3">
      <c r="A497" s="1">
        <f t="shared" si="150"/>
        <v>19</v>
      </c>
      <c r="B497" s="2" t="s">
        <v>396</v>
      </c>
      <c r="C497" s="3" t="s">
        <v>385</v>
      </c>
      <c r="D497" s="12" t="s">
        <v>40</v>
      </c>
      <c r="E497" s="12" t="s">
        <v>40</v>
      </c>
      <c r="F497" s="12"/>
      <c r="G497" s="12"/>
      <c r="H497" s="12" t="s">
        <v>40</v>
      </c>
      <c r="I497" s="12" t="s">
        <v>40</v>
      </c>
      <c r="J497" s="12"/>
      <c r="K497" s="12"/>
      <c r="L497" s="12">
        <v>96000</v>
      </c>
      <c r="M497" s="15">
        <f t="shared" si="146"/>
        <v>10</v>
      </c>
      <c r="N497" s="15">
        <f t="shared" si="147"/>
        <v>0</v>
      </c>
      <c r="O497" s="12">
        <v>96000</v>
      </c>
      <c r="P497" s="12">
        <f t="shared" si="148"/>
        <v>8000</v>
      </c>
      <c r="Q497" s="12">
        <f t="shared" si="149"/>
        <v>8000</v>
      </c>
    </row>
    <row r="498" spans="1:21" x14ac:dyDescent="0.3">
      <c r="A498" s="1">
        <f t="shared" si="150"/>
        <v>20</v>
      </c>
      <c r="B498" s="2" t="s">
        <v>397</v>
      </c>
      <c r="C498" s="3" t="s">
        <v>385</v>
      </c>
      <c r="D498" s="12" t="s">
        <v>40</v>
      </c>
      <c r="E498" s="12" t="s">
        <v>40</v>
      </c>
      <c r="F498" s="12"/>
      <c r="G498" s="12"/>
      <c r="H498" s="12" t="s">
        <v>40</v>
      </c>
      <c r="I498" s="12" t="s">
        <v>40</v>
      </c>
      <c r="J498" s="12" t="s">
        <v>40</v>
      </c>
      <c r="K498" s="12"/>
      <c r="L498" s="12">
        <v>145428</v>
      </c>
      <c r="M498" s="15">
        <f t="shared" si="146"/>
        <v>20</v>
      </c>
      <c r="N498" s="15">
        <f t="shared" si="147"/>
        <v>0</v>
      </c>
      <c r="O498" s="12">
        <v>145428</v>
      </c>
      <c r="P498" s="12">
        <f t="shared" si="148"/>
        <v>12119</v>
      </c>
      <c r="Q498" s="12">
        <f t="shared" si="149"/>
        <v>12119</v>
      </c>
    </row>
    <row r="499" spans="1:21" x14ac:dyDescent="0.3">
      <c r="A499" s="1">
        <f t="shared" si="150"/>
        <v>21</v>
      </c>
      <c r="B499" s="2">
        <v>31649147</v>
      </c>
      <c r="C499" s="3" t="s">
        <v>385</v>
      </c>
      <c r="D499" s="12" t="s">
        <v>40</v>
      </c>
      <c r="E499" s="12" t="s">
        <v>40</v>
      </c>
      <c r="F499" s="12"/>
      <c r="G499" s="12"/>
      <c r="H499" s="12" t="s">
        <v>40</v>
      </c>
      <c r="I499" s="12"/>
      <c r="J499" s="12"/>
      <c r="K499" s="12"/>
      <c r="L499" s="12">
        <v>42000</v>
      </c>
      <c r="M499" s="15">
        <f t="shared" si="146"/>
        <v>5</v>
      </c>
      <c r="N499" s="15">
        <f t="shared" si="147"/>
        <v>0</v>
      </c>
      <c r="O499" s="12">
        <v>42000</v>
      </c>
      <c r="P499" s="12">
        <f t="shared" si="148"/>
        <v>3500</v>
      </c>
      <c r="Q499" s="12">
        <f t="shared" si="149"/>
        <v>3500</v>
      </c>
      <c r="U499" t="s">
        <v>412</v>
      </c>
    </row>
    <row r="500" spans="1:21" x14ac:dyDescent="0.3">
      <c r="A500" s="1">
        <f t="shared" si="150"/>
        <v>22</v>
      </c>
      <c r="B500" s="2">
        <v>33262869</v>
      </c>
      <c r="C500" s="3" t="s">
        <v>385</v>
      </c>
      <c r="D500" s="12" t="s">
        <v>40</v>
      </c>
      <c r="E500" s="12" t="s">
        <v>40</v>
      </c>
      <c r="F500" s="12"/>
      <c r="G500" s="12"/>
      <c r="H500" s="12" t="s">
        <v>40</v>
      </c>
      <c r="I500" s="12"/>
      <c r="J500" s="12"/>
      <c r="K500" s="12"/>
      <c r="L500" s="12">
        <v>12300</v>
      </c>
      <c r="M500" s="15">
        <f t="shared" si="146"/>
        <v>5</v>
      </c>
      <c r="N500" s="15">
        <f t="shared" si="147"/>
        <v>0</v>
      </c>
      <c r="O500" s="12">
        <v>12300</v>
      </c>
      <c r="P500" s="12">
        <f t="shared" si="148"/>
        <v>1025</v>
      </c>
      <c r="Q500" s="12">
        <f t="shared" si="149"/>
        <v>1025</v>
      </c>
    </row>
    <row r="501" spans="1:21" x14ac:dyDescent="0.3">
      <c r="A501" s="1">
        <f t="shared" si="150"/>
        <v>23</v>
      </c>
      <c r="B501" s="2" t="s">
        <v>398</v>
      </c>
      <c r="C501" s="3" t="s">
        <v>385</v>
      </c>
      <c r="D501" s="12" t="s">
        <v>40</v>
      </c>
      <c r="E501" s="12" t="s">
        <v>40</v>
      </c>
      <c r="F501" s="12"/>
      <c r="G501" s="12"/>
      <c r="H501" s="12" t="s">
        <v>40</v>
      </c>
      <c r="I501" s="12" t="s">
        <v>40</v>
      </c>
      <c r="J501" s="12"/>
      <c r="K501" s="12" t="s">
        <v>40</v>
      </c>
      <c r="L501" s="12">
        <v>0</v>
      </c>
      <c r="M501" s="15">
        <f t="shared" si="146"/>
        <v>10</v>
      </c>
      <c r="N501" s="15">
        <f t="shared" si="147"/>
        <v>1</v>
      </c>
      <c r="O501" s="20"/>
      <c r="P501" s="12">
        <f t="shared" si="148"/>
        <v>0</v>
      </c>
      <c r="Q501" s="20"/>
    </row>
    <row r="502" spans="1:21" x14ac:dyDescent="0.3">
      <c r="A502" s="1">
        <f t="shared" si="150"/>
        <v>24</v>
      </c>
      <c r="B502" s="2" t="s">
        <v>399</v>
      </c>
      <c r="C502" s="3" t="s">
        <v>385</v>
      </c>
      <c r="D502" s="12" t="s">
        <v>40</v>
      </c>
      <c r="E502" s="12" t="s">
        <v>40</v>
      </c>
      <c r="F502" s="12"/>
      <c r="G502" s="12"/>
      <c r="H502" s="12" t="s">
        <v>40</v>
      </c>
      <c r="I502" s="12"/>
      <c r="J502" s="12"/>
      <c r="K502" s="12"/>
      <c r="L502" s="12">
        <v>12300</v>
      </c>
      <c r="M502" s="15">
        <f t="shared" si="146"/>
        <v>5</v>
      </c>
      <c r="N502" s="15">
        <f t="shared" si="147"/>
        <v>0</v>
      </c>
      <c r="O502" s="12">
        <v>12300</v>
      </c>
      <c r="P502" s="12">
        <f t="shared" si="148"/>
        <v>1025</v>
      </c>
      <c r="Q502" s="12">
        <f t="shared" si="149"/>
        <v>1025</v>
      </c>
    </row>
    <row r="503" spans="1:21" x14ac:dyDescent="0.3">
      <c r="A503" s="1">
        <f t="shared" si="150"/>
        <v>25</v>
      </c>
      <c r="B503" s="4" t="s">
        <v>413</v>
      </c>
      <c r="C503" s="3" t="s">
        <v>385</v>
      </c>
      <c r="D503" s="12" t="s">
        <v>40</v>
      </c>
      <c r="E503" s="12" t="s">
        <v>40</v>
      </c>
      <c r="F503" s="12"/>
      <c r="G503" s="12"/>
      <c r="H503" s="12" t="s">
        <v>40</v>
      </c>
      <c r="I503" s="12" t="s">
        <v>40</v>
      </c>
      <c r="J503" s="12" t="s">
        <v>40</v>
      </c>
      <c r="K503" s="12"/>
      <c r="L503" s="12">
        <v>10362</v>
      </c>
      <c r="M503" s="15">
        <f t="shared" si="146"/>
        <v>20</v>
      </c>
      <c r="N503" s="15">
        <f t="shared" si="147"/>
        <v>0</v>
      </c>
      <c r="O503" s="12">
        <v>10362</v>
      </c>
      <c r="P503" s="12">
        <f t="shared" si="148"/>
        <v>863.5</v>
      </c>
      <c r="Q503" s="12">
        <f t="shared" si="149"/>
        <v>863.5</v>
      </c>
    </row>
    <row r="504" spans="1:21" x14ac:dyDescent="0.3">
      <c r="A504" s="1">
        <f t="shared" si="150"/>
        <v>26</v>
      </c>
      <c r="B504" s="10"/>
      <c r="C504" s="9"/>
      <c r="D504" s="13"/>
      <c r="E504" s="13"/>
      <c r="F504" s="13"/>
      <c r="G504" s="13"/>
      <c r="H504" s="13"/>
      <c r="I504" s="13"/>
      <c r="J504" s="13"/>
      <c r="K504" s="13"/>
      <c r="L504" s="13"/>
      <c r="M504" s="16"/>
      <c r="N504" s="16"/>
      <c r="O504" s="13"/>
      <c r="P504" s="13"/>
      <c r="Q504" s="13"/>
    </row>
    <row r="505" spans="1:21" x14ac:dyDescent="0.3">
      <c r="A505" s="1">
        <f t="shared" si="150"/>
        <v>27</v>
      </c>
      <c r="B505" s="2" t="s">
        <v>400</v>
      </c>
      <c r="C505" s="3" t="s">
        <v>385</v>
      </c>
      <c r="D505" s="12" t="s">
        <v>40</v>
      </c>
      <c r="E505" s="12" t="s">
        <v>40</v>
      </c>
      <c r="F505" s="12"/>
      <c r="G505" s="12"/>
      <c r="H505" s="12" t="s">
        <v>40</v>
      </c>
      <c r="I505" s="12"/>
      <c r="J505" s="12"/>
      <c r="K505" s="12"/>
      <c r="L505" s="12">
        <v>119746.17</v>
      </c>
      <c r="M505" s="15">
        <f t="shared" si="146"/>
        <v>5</v>
      </c>
      <c r="N505" s="15">
        <f t="shared" si="147"/>
        <v>0</v>
      </c>
      <c r="O505" s="12">
        <v>119746.17</v>
      </c>
      <c r="P505" s="12">
        <f t="shared" si="148"/>
        <v>9978.8474999999999</v>
      </c>
      <c r="Q505" s="12">
        <f t="shared" si="149"/>
        <v>9978.8474999999999</v>
      </c>
    </row>
    <row r="506" spans="1:21" x14ac:dyDescent="0.3">
      <c r="A506" s="1">
        <f t="shared" si="150"/>
        <v>28</v>
      </c>
      <c r="B506" s="2">
        <v>20040086</v>
      </c>
      <c r="C506" s="3" t="s">
        <v>385</v>
      </c>
      <c r="D506" s="12" t="s">
        <v>40</v>
      </c>
      <c r="E506" s="12" t="s">
        <v>40</v>
      </c>
      <c r="F506" s="12"/>
      <c r="G506" s="12"/>
      <c r="H506" s="12" t="s">
        <v>40</v>
      </c>
      <c r="I506" s="12"/>
      <c r="J506" s="12"/>
      <c r="K506" s="12"/>
      <c r="L506" s="12">
        <v>65400</v>
      </c>
      <c r="M506" s="15">
        <f t="shared" si="146"/>
        <v>5</v>
      </c>
      <c r="N506" s="15">
        <f t="shared" si="147"/>
        <v>0</v>
      </c>
      <c r="O506" s="12">
        <v>65400</v>
      </c>
      <c r="P506" s="12">
        <f t="shared" si="148"/>
        <v>5450</v>
      </c>
      <c r="Q506" s="12">
        <f t="shared" si="149"/>
        <v>5450</v>
      </c>
    </row>
    <row r="507" spans="1:21" x14ac:dyDescent="0.3">
      <c r="A507" s="1">
        <f t="shared" si="150"/>
        <v>29</v>
      </c>
      <c r="B507" s="2">
        <v>19909824</v>
      </c>
      <c r="C507" s="3" t="s">
        <v>385</v>
      </c>
      <c r="D507" s="12" t="s">
        <v>40</v>
      </c>
      <c r="E507" s="12" t="s">
        <v>40</v>
      </c>
      <c r="F507" s="12"/>
      <c r="G507" s="12"/>
      <c r="H507" s="12" t="s">
        <v>40</v>
      </c>
      <c r="I507" s="12"/>
      <c r="J507" s="12"/>
      <c r="K507" s="12"/>
      <c r="L507" s="12">
        <v>0</v>
      </c>
      <c r="M507" s="15">
        <f t="shared" si="146"/>
        <v>5</v>
      </c>
      <c r="N507" s="15">
        <f t="shared" si="147"/>
        <v>0</v>
      </c>
      <c r="O507" s="20"/>
      <c r="P507" s="12">
        <f t="shared" si="148"/>
        <v>0</v>
      </c>
      <c r="Q507" s="20"/>
    </row>
    <row r="508" spans="1:21" x14ac:dyDescent="0.3">
      <c r="A508" s="1">
        <f t="shared" si="150"/>
        <v>30</v>
      </c>
      <c r="B508" s="2">
        <v>41128349</v>
      </c>
      <c r="C508" s="3" t="s">
        <v>385</v>
      </c>
      <c r="D508" s="12" t="s">
        <v>40</v>
      </c>
      <c r="E508" s="12" t="s">
        <v>40</v>
      </c>
      <c r="F508" s="12"/>
      <c r="G508" s="12"/>
      <c r="H508" s="12" t="s">
        <v>40</v>
      </c>
      <c r="I508" s="12"/>
      <c r="J508" s="12"/>
      <c r="K508" s="12"/>
      <c r="L508" s="12">
        <v>12300</v>
      </c>
      <c r="M508" s="15">
        <f t="shared" si="146"/>
        <v>5</v>
      </c>
      <c r="N508" s="15">
        <f t="shared" si="147"/>
        <v>0</v>
      </c>
      <c r="O508" s="12">
        <v>12300</v>
      </c>
      <c r="P508" s="12">
        <f t="shared" si="148"/>
        <v>1025</v>
      </c>
      <c r="Q508" s="12">
        <f t="shared" si="149"/>
        <v>1025</v>
      </c>
    </row>
    <row r="509" spans="1:21" x14ac:dyDescent="0.3">
      <c r="B509" s="29"/>
      <c r="L509" s="14">
        <f>+AVERAGE(L479:L508)</f>
        <v>104885.62142857142</v>
      </c>
      <c r="M509" s="14">
        <f>+AVERAGE(M479:M508)</f>
        <v>8.2857142857142865</v>
      </c>
      <c r="N509" s="14">
        <f>+SUM(N479:N508)</f>
        <v>3</v>
      </c>
      <c r="O509" s="14">
        <f>+AVERAGE(O479:O508)</f>
        <v>105859.14583333333</v>
      </c>
      <c r="P509" s="14">
        <f>+AVERAGE(P479:P508)</f>
        <v>8740.4684523809519</v>
      </c>
      <c r="Q509" s="14">
        <f>+AVERAGE(Q479:Q508)</f>
        <v>8821.5954861111113</v>
      </c>
      <c r="R509" s="14">
        <f>30-COUNTBLANK(R479:R508)</f>
        <v>2</v>
      </c>
    </row>
    <row r="510" spans="1:21" x14ac:dyDescent="0.3">
      <c r="L510" s="14">
        <f>+STDEV(L479:L508)</f>
        <v>116769.18668281693</v>
      </c>
      <c r="M510" s="14">
        <f>+STDEV(M479:M508)</f>
        <v>5.0303312817579728</v>
      </c>
      <c r="N510" s="17"/>
      <c r="O510" s="14">
        <f>+STDEV(O479:O508)</f>
        <v>98738.913892470271</v>
      </c>
      <c r="P510" s="14">
        <f>+STDEV(P479:P508)</f>
        <v>9730.7655569014078</v>
      </c>
      <c r="Q510" s="14">
        <f>+STDEV(Q479:Q508)</f>
        <v>8228.2428243725226</v>
      </c>
    </row>
    <row r="511" spans="1:21" x14ac:dyDescent="0.3">
      <c r="I511" s="15"/>
      <c r="J511" s="15"/>
      <c r="K511" s="11" t="s">
        <v>75</v>
      </c>
      <c r="L511" s="14">
        <f>+COUNTIF(L479:L508,0)</f>
        <v>3</v>
      </c>
      <c r="M511" s="14">
        <f>+COUNT(M479:M508)</f>
        <v>28</v>
      </c>
      <c r="P511" s="14">
        <f>+COUNTIF(P479:P508,0)</f>
        <v>3</v>
      </c>
    </row>
    <row r="513" spans="1:21" x14ac:dyDescent="0.3">
      <c r="A513" s="1">
        <v>1</v>
      </c>
      <c r="B513" s="2" t="s">
        <v>416</v>
      </c>
      <c r="C513" s="3" t="s">
        <v>415</v>
      </c>
      <c r="D513" s="12" t="s">
        <v>40</v>
      </c>
      <c r="E513" s="12" t="s">
        <v>40</v>
      </c>
      <c r="F513" s="12"/>
      <c r="G513" s="12"/>
      <c r="H513" s="12" t="s">
        <v>40</v>
      </c>
      <c r="I513" s="12"/>
      <c r="J513" s="12"/>
      <c r="K513" s="12" t="s">
        <v>40</v>
      </c>
      <c r="L513" s="12">
        <v>50000</v>
      </c>
      <c r="M513" s="15">
        <f>+IF(D513="X",1,0)+IF(E513="X",1,0)+IF(F513="X",2,0)+IF(G513="X",2,0)+IF(H513="X",3,IF(H513="Y",1.5,0))+IF(I513="X",5,IF(I513="Y",2.5,0))+IF(J513="X",10,IF(J513="Y",5,0))</f>
        <v>5</v>
      </c>
      <c r="N513" s="15">
        <f>+IF(K513="X",1,0)</f>
        <v>1</v>
      </c>
      <c r="O513" s="12">
        <v>58062</v>
      </c>
      <c r="P513" s="12">
        <f t="shared" ref="P513:P514" si="151">+L513/12</f>
        <v>4166.666666666667</v>
      </c>
      <c r="Q513" s="12">
        <f t="shared" ref="Q513" si="152">+O513/12</f>
        <v>4838.5</v>
      </c>
    </row>
    <row r="514" spans="1:21" x14ac:dyDescent="0.3">
      <c r="A514" s="1">
        <f>+A513+1</f>
        <v>2</v>
      </c>
      <c r="B514" s="2" t="s">
        <v>417</v>
      </c>
      <c r="C514" s="3" t="s">
        <v>415</v>
      </c>
      <c r="D514" s="12" t="s">
        <v>40</v>
      </c>
      <c r="E514" s="12" t="s">
        <v>40</v>
      </c>
      <c r="F514" s="12"/>
      <c r="G514" s="12"/>
      <c r="H514" s="12" t="s">
        <v>40</v>
      </c>
      <c r="I514" s="12"/>
      <c r="J514" s="12"/>
      <c r="K514" s="12"/>
      <c r="L514" s="12">
        <v>4500000</v>
      </c>
      <c r="M514" s="15">
        <f t="shared" ref="M514:M542" si="153">+IF(D514="X",1,0)+IF(E514="X",1,0)+IF(F514="X",2,0)+IF(G514="X",2,0)+IF(H514="X",3,IF(H514="Y",1.5,0))+IF(I514="X",5,IF(I514="Y",2.5,0))+IF(J514="X",10,IF(J514="Y",5,0))</f>
        <v>5</v>
      </c>
      <c r="N514" s="15">
        <f t="shared" ref="N514:N542" si="154">+IF(K514="X",1,0)</f>
        <v>0</v>
      </c>
      <c r="O514" s="20"/>
      <c r="P514" s="12">
        <f t="shared" si="151"/>
        <v>375000</v>
      </c>
      <c r="Q514" s="20"/>
      <c r="S514" t="s">
        <v>325</v>
      </c>
      <c r="T514" t="s">
        <v>151</v>
      </c>
    </row>
    <row r="515" spans="1:21" x14ac:dyDescent="0.3">
      <c r="A515" s="1">
        <f t="shared" ref="A515:A542" si="155">+A514+1</f>
        <v>3</v>
      </c>
      <c r="B515" s="2" t="s">
        <v>418</v>
      </c>
      <c r="C515" s="3" t="s">
        <v>415</v>
      </c>
      <c r="D515" s="12" t="s">
        <v>40</v>
      </c>
      <c r="E515" s="12" t="s">
        <v>40</v>
      </c>
      <c r="F515" s="12" t="s">
        <v>40</v>
      </c>
      <c r="G515" s="12"/>
      <c r="H515" s="12" t="s">
        <v>40</v>
      </c>
      <c r="I515" s="12"/>
      <c r="J515" s="12"/>
      <c r="K515" s="12" t="s">
        <v>40</v>
      </c>
      <c r="L515" s="12">
        <v>58062</v>
      </c>
      <c r="M515" s="15">
        <f t="shared" si="153"/>
        <v>7</v>
      </c>
      <c r="N515" s="15">
        <f t="shared" si="154"/>
        <v>1</v>
      </c>
      <c r="O515" s="12">
        <v>58062</v>
      </c>
      <c r="P515" s="12">
        <f t="shared" ref="P515:P542" si="156">+L515/12</f>
        <v>4838.5</v>
      </c>
      <c r="Q515" s="12">
        <f t="shared" ref="Q515:Q542" si="157">+O515/12</f>
        <v>4838.5</v>
      </c>
    </row>
    <row r="516" spans="1:21" x14ac:dyDescent="0.3">
      <c r="A516" s="1">
        <f t="shared" si="155"/>
        <v>4</v>
      </c>
      <c r="B516" s="2" t="s">
        <v>419</v>
      </c>
      <c r="C516" s="3" t="s">
        <v>415</v>
      </c>
      <c r="D516" s="12" t="s">
        <v>40</v>
      </c>
      <c r="E516" s="12" t="s">
        <v>40</v>
      </c>
      <c r="F516" s="12"/>
      <c r="G516" s="12"/>
      <c r="H516" s="12"/>
      <c r="I516" s="12"/>
      <c r="J516" s="12"/>
      <c r="K516" s="12"/>
      <c r="L516" s="12">
        <v>0</v>
      </c>
      <c r="M516" s="15">
        <f t="shared" si="153"/>
        <v>2</v>
      </c>
      <c r="N516" s="15">
        <f t="shared" si="154"/>
        <v>0</v>
      </c>
      <c r="O516" s="20"/>
      <c r="P516" s="12">
        <f t="shared" si="156"/>
        <v>0</v>
      </c>
      <c r="Q516" s="20"/>
    </row>
    <row r="517" spans="1:21" x14ac:dyDescent="0.3">
      <c r="A517" s="1">
        <f t="shared" si="155"/>
        <v>5</v>
      </c>
      <c r="B517" s="2" t="s">
        <v>420</v>
      </c>
      <c r="C517" s="3" t="s">
        <v>415</v>
      </c>
      <c r="D517" s="12" t="s">
        <v>40</v>
      </c>
      <c r="E517" s="12" t="s">
        <v>40</v>
      </c>
      <c r="F517" s="12"/>
      <c r="G517" s="12"/>
      <c r="H517" s="12" t="s">
        <v>40</v>
      </c>
      <c r="I517" s="12" t="s">
        <v>40</v>
      </c>
      <c r="J517" s="12"/>
      <c r="K517" s="12"/>
      <c r="L517" s="12">
        <v>198269</v>
      </c>
      <c r="M517" s="15">
        <f t="shared" si="153"/>
        <v>10</v>
      </c>
      <c r="N517" s="15">
        <f t="shared" si="154"/>
        <v>0</v>
      </c>
      <c r="O517" s="12">
        <v>198269</v>
      </c>
      <c r="P517" s="12">
        <f t="shared" si="156"/>
        <v>16522.416666666668</v>
      </c>
      <c r="Q517" s="12">
        <f t="shared" si="157"/>
        <v>16522.416666666668</v>
      </c>
      <c r="U517" t="s">
        <v>421</v>
      </c>
    </row>
    <row r="518" spans="1:21" x14ac:dyDescent="0.3">
      <c r="A518" s="1">
        <f t="shared" si="155"/>
        <v>6</v>
      </c>
      <c r="B518" s="2">
        <v>10342732</v>
      </c>
      <c r="C518" s="3" t="s">
        <v>415</v>
      </c>
      <c r="D518" s="12" t="s">
        <v>40</v>
      </c>
      <c r="E518" s="12" t="s">
        <v>40</v>
      </c>
      <c r="F518" s="12"/>
      <c r="G518" s="12"/>
      <c r="H518" s="12" t="s">
        <v>40</v>
      </c>
      <c r="I518" s="12" t="s">
        <v>40</v>
      </c>
      <c r="J518" s="12"/>
      <c r="K518" s="12"/>
      <c r="L518" s="12">
        <v>232522</v>
      </c>
      <c r="M518" s="15">
        <f t="shared" si="153"/>
        <v>10</v>
      </c>
      <c r="N518" s="15">
        <f t="shared" si="154"/>
        <v>0</v>
      </c>
      <c r="O518" s="12">
        <v>232522</v>
      </c>
      <c r="P518" s="12">
        <f t="shared" si="156"/>
        <v>19376.833333333332</v>
      </c>
      <c r="Q518" s="12">
        <f t="shared" si="157"/>
        <v>19376.833333333332</v>
      </c>
    </row>
    <row r="519" spans="1:21" x14ac:dyDescent="0.3">
      <c r="A519" s="1">
        <f t="shared" si="155"/>
        <v>7</v>
      </c>
      <c r="B519" s="2" t="s">
        <v>422</v>
      </c>
      <c r="C519" s="3" t="s">
        <v>415</v>
      </c>
      <c r="D519" s="12" t="s">
        <v>40</v>
      </c>
      <c r="E519" s="12" t="s">
        <v>40</v>
      </c>
      <c r="F519" s="12"/>
      <c r="G519" s="12"/>
      <c r="H519" s="12" t="s">
        <v>40</v>
      </c>
      <c r="I519" s="12" t="s">
        <v>40</v>
      </c>
      <c r="J519" s="12"/>
      <c r="K519" s="12"/>
      <c r="L519" s="12">
        <v>150921</v>
      </c>
      <c r="M519" s="15">
        <f t="shared" si="153"/>
        <v>10</v>
      </c>
      <c r="N519" s="15">
        <f t="shared" si="154"/>
        <v>0</v>
      </c>
      <c r="O519" s="12">
        <v>150921</v>
      </c>
      <c r="P519" s="12">
        <f t="shared" si="156"/>
        <v>12576.75</v>
      </c>
      <c r="Q519" s="12">
        <f t="shared" si="157"/>
        <v>12576.75</v>
      </c>
    </row>
    <row r="520" spans="1:21" x14ac:dyDescent="0.3">
      <c r="A520" s="1">
        <f t="shared" si="155"/>
        <v>8</v>
      </c>
      <c r="B520" s="2" t="s">
        <v>423</v>
      </c>
      <c r="C520" s="3" t="s">
        <v>415</v>
      </c>
      <c r="D520" s="12" t="s">
        <v>40</v>
      </c>
      <c r="E520" s="12" t="s">
        <v>40</v>
      </c>
      <c r="F520" s="12"/>
      <c r="G520" s="12" t="s">
        <v>40</v>
      </c>
      <c r="H520" s="12"/>
      <c r="I520" s="12"/>
      <c r="J520" s="12"/>
      <c r="K520" s="12" t="s">
        <v>40</v>
      </c>
      <c r="L520" s="12">
        <v>202277</v>
      </c>
      <c r="M520" s="15">
        <f t="shared" si="153"/>
        <v>4</v>
      </c>
      <c r="N520" s="15">
        <f t="shared" si="154"/>
        <v>1</v>
      </c>
      <c r="O520" s="12">
        <v>202277</v>
      </c>
      <c r="P520" s="12">
        <f t="shared" si="156"/>
        <v>16856.416666666668</v>
      </c>
      <c r="Q520" s="12">
        <f t="shared" si="157"/>
        <v>16856.416666666668</v>
      </c>
    </row>
    <row r="521" spans="1:21" x14ac:dyDescent="0.3">
      <c r="A521" s="1">
        <f t="shared" si="155"/>
        <v>9</v>
      </c>
      <c r="B521" s="2">
        <v>29666430</v>
      </c>
      <c r="C521" s="3" t="s">
        <v>415</v>
      </c>
      <c r="D521" s="12" t="s">
        <v>40</v>
      </c>
      <c r="E521" s="12" t="s">
        <v>40</v>
      </c>
      <c r="F521" s="12"/>
      <c r="G521" s="12"/>
      <c r="H521" s="12" t="s">
        <v>40</v>
      </c>
      <c r="I521" s="12"/>
      <c r="J521" s="12"/>
      <c r="K521" s="12" t="s">
        <v>40</v>
      </c>
      <c r="L521" s="12">
        <v>32835</v>
      </c>
      <c r="M521" s="15">
        <f t="shared" si="153"/>
        <v>5</v>
      </c>
      <c r="N521" s="15">
        <f t="shared" si="154"/>
        <v>1</v>
      </c>
      <c r="O521" s="12">
        <v>32835</v>
      </c>
      <c r="P521" s="12">
        <f t="shared" si="156"/>
        <v>2736.25</v>
      </c>
      <c r="Q521" s="12">
        <f t="shared" si="157"/>
        <v>2736.25</v>
      </c>
      <c r="S521" t="s">
        <v>424</v>
      </c>
      <c r="T521" t="s">
        <v>151</v>
      </c>
    </row>
    <row r="522" spans="1:21" x14ac:dyDescent="0.3">
      <c r="A522" s="1">
        <f t="shared" si="155"/>
        <v>10</v>
      </c>
      <c r="B522" s="2" t="s">
        <v>425</v>
      </c>
      <c r="C522" s="3" t="s">
        <v>415</v>
      </c>
      <c r="D522" s="12" t="s">
        <v>40</v>
      </c>
      <c r="E522" s="12" t="s">
        <v>40</v>
      </c>
      <c r="F522" s="12" t="s">
        <v>40</v>
      </c>
      <c r="G522" s="12"/>
      <c r="H522" s="12" t="s">
        <v>40</v>
      </c>
      <c r="I522" s="12"/>
      <c r="J522" s="12"/>
      <c r="K522" s="12"/>
      <c r="L522" s="12">
        <v>49560</v>
      </c>
      <c r="M522" s="15">
        <f t="shared" si="153"/>
        <v>7</v>
      </c>
      <c r="N522" s="15">
        <f t="shared" si="154"/>
        <v>0</v>
      </c>
      <c r="O522" s="12">
        <v>49560</v>
      </c>
      <c r="P522" s="12">
        <f t="shared" si="156"/>
        <v>4130</v>
      </c>
      <c r="Q522" s="12">
        <f t="shared" si="157"/>
        <v>4130</v>
      </c>
    </row>
    <row r="523" spans="1:21" x14ac:dyDescent="0.3">
      <c r="A523" s="1">
        <f t="shared" si="155"/>
        <v>11</v>
      </c>
      <c r="B523" s="2" t="s">
        <v>426</v>
      </c>
      <c r="C523" s="3" t="s">
        <v>415</v>
      </c>
      <c r="D523" s="12" t="s">
        <v>40</v>
      </c>
      <c r="E523" s="12" t="s">
        <v>40</v>
      </c>
      <c r="F523" s="12"/>
      <c r="G523" s="12"/>
      <c r="H523" s="12" t="s">
        <v>40</v>
      </c>
      <c r="I523" s="12"/>
      <c r="J523" s="12"/>
      <c r="K523" s="12"/>
      <c r="L523" s="12">
        <v>387637</v>
      </c>
      <c r="M523" s="15">
        <f t="shared" si="153"/>
        <v>5</v>
      </c>
      <c r="N523" s="15">
        <f t="shared" si="154"/>
        <v>0</v>
      </c>
      <c r="O523" s="12">
        <v>387637</v>
      </c>
      <c r="P523" s="12">
        <f t="shared" si="156"/>
        <v>32303.083333333332</v>
      </c>
      <c r="Q523" s="12">
        <f t="shared" si="157"/>
        <v>32303.083333333332</v>
      </c>
    </row>
    <row r="524" spans="1:21" x14ac:dyDescent="0.3">
      <c r="A524" s="1">
        <f t="shared" si="155"/>
        <v>12</v>
      </c>
      <c r="B524" s="10"/>
      <c r="C524" s="9"/>
      <c r="D524" s="13"/>
      <c r="E524" s="13"/>
      <c r="F524" s="13"/>
      <c r="G524" s="13"/>
      <c r="H524" s="13"/>
      <c r="I524" s="13"/>
      <c r="J524" s="13"/>
      <c r="K524" s="13"/>
      <c r="L524" s="13"/>
      <c r="M524" s="16"/>
      <c r="N524" s="16"/>
      <c r="O524" s="13"/>
      <c r="P524" s="13"/>
      <c r="Q524" s="13"/>
    </row>
    <row r="525" spans="1:21" x14ac:dyDescent="0.3">
      <c r="A525" s="1">
        <f t="shared" si="155"/>
        <v>13</v>
      </c>
      <c r="B525" s="2">
        <v>27557657</v>
      </c>
      <c r="C525" s="3" t="s">
        <v>415</v>
      </c>
      <c r="D525" s="12" t="s">
        <v>40</v>
      </c>
      <c r="E525" s="12" t="s">
        <v>40</v>
      </c>
      <c r="F525" s="12" t="s">
        <v>40</v>
      </c>
      <c r="G525" s="12"/>
      <c r="H525" s="12" t="s">
        <v>40</v>
      </c>
      <c r="I525" s="12" t="s">
        <v>40</v>
      </c>
      <c r="J525" s="12"/>
      <c r="K525" s="12"/>
      <c r="L525" s="12">
        <v>0</v>
      </c>
      <c r="M525" s="15">
        <f t="shared" si="153"/>
        <v>12</v>
      </c>
      <c r="N525" s="15">
        <f t="shared" si="154"/>
        <v>0</v>
      </c>
      <c r="O525" s="20"/>
      <c r="P525" s="12">
        <f t="shared" ref="P525" si="158">+L525/12</f>
        <v>0</v>
      </c>
      <c r="Q525" s="20"/>
    </row>
    <row r="526" spans="1:21" x14ac:dyDescent="0.3">
      <c r="A526" s="1">
        <f t="shared" si="155"/>
        <v>14</v>
      </c>
      <c r="B526" s="2">
        <v>20085925</v>
      </c>
      <c r="C526" s="3" t="s">
        <v>415</v>
      </c>
      <c r="D526" s="12" t="s">
        <v>40</v>
      </c>
      <c r="E526" s="12" t="s">
        <v>40</v>
      </c>
      <c r="F526" s="12"/>
      <c r="G526" s="12"/>
      <c r="H526" s="12" t="s">
        <v>40</v>
      </c>
      <c r="I526" s="12"/>
      <c r="J526" s="12"/>
      <c r="K526" s="12"/>
      <c r="L526" s="12">
        <v>42000</v>
      </c>
      <c r="M526" s="15">
        <f t="shared" si="153"/>
        <v>5</v>
      </c>
      <c r="N526" s="15">
        <f t="shared" si="154"/>
        <v>0</v>
      </c>
      <c r="O526" s="12">
        <v>42000</v>
      </c>
      <c r="P526" s="12">
        <f t="shared" si="156"/>
        <v>3500</v>
      </c>
      <c r="Q526" s="12">
        <f t="shared" si="157"/>
        <v>3500</v>
      </c>
    </row>
    <row r="527" spans="1:21" x14ac:dyDescent="0.3">
      <c r="A527" s="1">
        <f t="shared" si="155"/>
        <v>15</v>
      </c>
      <c r="B527" s="2" t="s">
        <v>427</v>
      </c>
      <c r="C527" s="3" t="s">
        <v>415</v>
      </c>
      <c r="D527" s="12" t="s">
        <v>40</v>
      </c>
      <c r="E527" s="12" t="s">
        <v>40</v>
      </c>
      <c r="F527" s="12"/>
      <c r="G527" s="12"/>
      <c r="H527" s="12"/>
      <c r="I527" s="12"/>
      <c r="J527" s="12"/>
      <c r="K527" s="12"/>
      <c r="L527" s="12">
        <v>20572</v>
      </c>
      <c r="M527" s="15">
        <f t="shared" si="153"/>
        <v>2</v>
      </c>
      <c r="N527" s="15">
        <f t="shared" si="154"/>
        <v>0</v>
      </c>
      <c r="O527" s="12">
        <v>20572</v>
      </c>
      <c r="P527" s="12">
        <f t="shared" si="156"/>
        <v>1714.3333333333333</v>
      </c>
      <c r="Q527" s="12">
        <f t="shared" si="157"/>
        <v>1714.3333333333333</v>
      </c>
      <c r="U527" t="s">
        <v>428</v>
      </c>
    </row>
    <row r="528" spans="1:21" x14ac:dyDescent="0.3">
      <c r="A528" s="1">
        <f t="shared" si="155"/>
        <v>16</v>
      </c>
      <c r="B528" s="2" t="s">
        <v>429</v>
      </c>
      <c r="C528" s="3" t="s">
        <v>415</v>
      </c>
      <c r="D528" s="12" t="s">
        <v>40</v>
      </c>
      <c r="E528" s="12" t="s">
        <v>40</v>
      </c>
      <c r="F528" s="12"/>
      <c r="G528" s="12" t="s">
        <v>40</v>
      </c>
      <c r="H528" s="12"/>
      <c r="I528" s="12"/>
      <c r="J528" s="12"/>
      <c r="K528" s="12"/>
      <c r="L528" s="12">
        <v>136500</v>
      </c>
      <c r="M528" s="15">
        <f t="shared" si="153"/>
        <v>4</v>
      </c>
      <c r="N528" s="15">
        <f t="shared" si="154"/>
        <v>0</v>
      </c>
      <c r="O528" s="12">
        <v>136500</v>
      </c>
      <c r="P528" s="12">
        <f t="shared" si="156"/>
        <v>11375</v>
      </c>
      <c r="Q528" s="12">
        <f t="shared" si="157"/>
        <v>11375</v>
      </c>
    </row>
    <row r="529" spans="1:18" x14ac:dyDescent="0.3">
      <c r="A529" s="1">
        <f t="shared" si="155"/>
        <v>17</v>
      </c>
      <c r="B529" s="2">
        <v>10182930</v>
      </c>
      <c r="C529" s="3" t="s">
        <v>415</v>
      </c>
      <c r="D529" s="12" t="s">
        <v>40</v>
      </c>
      <c r="E529" s="12" t="s">
        <v>40</v>
      </c>
      <c r="F529" s="12"/>
      <c r="G529" s="12"/>
      <c r="H529" s="12" t="s">
        <v>40</v>
      </c>
      <c r="I529" s="12"/>
      <c r="J529" s="12"/>
      <c r="K529" s="12"/>
      <c r="L529" s="12">
        <v>29000</v>
      </c>
      <c r="M529" s="15">
        <f t="shared" si="153"/>
        <v>5</v>
      </c>
      <c r="N529" s="15">
        <f t="shared" si="154"/>
        <v>0</v>
      </c>
      <c r="O529" s="12">
        <v>29000</v>
      </c>
      <c r="P529" s="12">
        <f t="shared" si="156"/>
        <v>2416.6666666666665</v>
      </c>
      <c r="Q529" s="12">
        <f t="shared" si="157"/>
        <v>2416.6666666666665</v>
      </c>
    </row>
    <row r="530" spans="1:18" x14ac:dyDescent="0.3">
      <c r="A530" s="1">
        <f t="shared" si="155"/>
        <v>18</v>
      </c>
      <c r="B530" s="2">
        <v>10417514</v>
      </c>
      <c r="C530" s="3" t="s">
        <v>415</v>
      </c>
      <c r="D530" s="12" t="s">
        <v>40</v>
      </c>
      <c r="E530" s="12" t="s">
        <v>40</v>
      </c>
      <c r="F530" s="12" t="s">
        <v>40</v>
      </c>
      <c r="G530" s="12"/>
      <c r="H530" s="12"/>
      <c r="I530" s="12"/>
      <c r="J530" s="12"/>
      <c r="K530" s="12"/>
      <c r="L530" s="12">
        <v>0</v>
      </c>
      <c r="M530" s="15">
        <f t="shared" si="153"/>
        <v>4</v>
      </c>
      <c r="N530" s="15">
        <f t="shared" si="154"/>
        <v>0</v>
      </c>
      <c r="O530" s="20"/>
      <c r="P530" s="12">
        <f t="shared" si="156"/>
        <v>0</v>
      </c>
      <c r="Q530" s="20"/>
    </row>
    <row r="531" spans="1:18" x14ac:dyDescent="0.3">
      <c r="A531" s="1">
        <f t="shared" si="155"/>
        <v>19</v>
      </c>
      <c r="B531" s="2" t="s">
        <v>430</v>
      </c>
      <c r="C531" s="3" t="s">
        <v>415</v>
      </c>
      <c r="D531" s="12" t="s">
        <v>40</v>
      </c>
      <c r="E531" s="12" t="s">
        <v>40</v>
      </c>
      <c r="F531" s="12"/>
      <c r="G531" s="12"/>
      <c r="H531" s="12" t="s">
        <v>40</v>
      </c>
      <c r="I531" s="12" t="s">
        <v>40</v>
      </c>
      <c r="J531" s="12"/>
      <c r="K531" s="12"/>
      <c r="L531" s="12">
        <v>0</v>
      </c>
      <c r="M531" s="15">
        <f t="shared" si="153"/>
        <v>10</v>
      </c>
      <c r="N531" s="15">
        <f t="shared" si="154"/>
        <v>0</v>
      </c>
      <c r="O531" s="20"/>
      <c r="P531" s="12">
        <f t="shared" si="156"/>
        <v>0</v>
      </c>
      <c r="Q531" s="20"/>
    </row>
    <row r="532" spans="1:18" x14ac:dyDescent="0.3">
      <c r="A532" s="1">
        <f t="shared" si="155"/>
        <v>20</v>
      </c>
      <c r="B532" s="2" t="s">
        <v>431</v>
      </c>
      <c r="C532" s="3" t="s">
        <v>415</v>
      </c>
      <c r="D532" s="12" t="s">
        <v>40</v>
      </c>
      <c r="E532" s="12" t="s">
        <v>40</v>
      </c>
      <c r="F532" s="12"/>
      <c r="G532" s="12"/>
      <c r="H532" s="12" t="s">
        <v>40</v>
      </c>
      <c r="I532" s="12"/>
      <c r="J532" s="12"/>
      <c r="K532" s="12"/>
      <c r="L532" s="12">
        <v>10212</v>
      </c>
      <c r="M532" s="15">
        <f t="shared" si="153"/>
        <v>5</v>
      </c>
      <c r="N532" s="15">
        <f t="shared" si="154"/>
        <v>0</v>
      </c>
      <c r="O532" s="12">
        <v>10212</v>
      </c>
      <c r="P532" s="12">
        <f t="shared" si="156"/>
        <v>851</v>
      </c>
      <c r="Q532" s="12">
        <f t="shared" si="157"/>
        <v>851</v>
      </c>
    </row>
    <row r="533" spans="1:18" x14ac:dyDescent="0.3">
      <c r="A533" s="1">
        <f t="shared" si="155"/>
        <v>21</v>
      </c>
      <c r="B533" s="2" t="s">
        <v>432</v>
      </c>
      <c r="C533" s="3" t="s">
        <v>415</v>
      </c>
      <c r="D533" s="12" t="s">
        <v>40</v>
      </c>
      <c r="E533" s="12" t="s">
        <v>40</v>
      </c>
      <c r="F533" s="12"/>
      <c r="G533" s="12"/>
      <c r="H533" s="12" t="s">
        <v>40</v>
      </c>
      <c r="I533" s="12"/>
      <c r="J533" s="12"/>
      <c r="K533" s="12"/>
      <c r="L533" s="12">
        <v>200423</v>
      </c>
      <c r="M533" s="15">
        <f t="shared" si="153"/>
        <v>5</v>
      </c>
      <c r="N533" s="15">
        <f t="shared" si="154"/>
        <v>0</v>
      </c>
      <c r="O533" s="12">
        <v>200423</v>
      </c>
      <c r="P533" s="12">
        <f t="shared" si="156"/>
        <v>16701.916666666668</v>
      </c>
      <c r="Q533" s="12">
        <f t="shared" si="157"/>
        <v>16701.916666666668</v>
      </c>
    </row>
    <row r="534" spans="1:18" x14ac:dyDescent="0.3">
      <c r="A534" s="1">
        <f t="shared" si="155"/>
        <v>22</v>
      </c>
      <c r="B534" s="18" t="s">
        <v>433</v>
      </c>
      <c r="C534" s="3" t="s">
        <v>415</v>
      </c>
      <c r="D534" s="12" t="s">
        <v>40</v>
      </c>
      <c r="E534" s="12" t="s">
        <v>40</v>
      </c>
      <c r="F534" s="12"/>
      <c r="G534" s="12"/>
      <c r="H534" s="12" t="s">
        <v>40</v>
      </c>
      <c r="I534" s="12" t="s">
        <v>40</v>
      </c>
      <c r="J534" s="12"/>
      <c r="K534" s="12"/>
      <c r="L534" s="12">
        <v>48000</v>
      </c>
      <c r="M534" s="15">
        <f t="shared" si="153"/>
        <v>10</v>
      </c>
      <c r="N534" s="15">
        <f t="shared" si="154"/>
        <v>0</v>
      </c>
      <c r="O534" s="12">
        <v>48000</v>
      </c>
      <c r="P534" s="12">
        <f t="shared" si="156"/>
        <v>4000</v>
      </c>
      <c r="Q534" s="12">
        <f t="shared" si="157"/>
        <v>4000</v>
      </c>
    </row>
    <row r="535" spans="1:18" x14ac:dyDescent="0.3">
      <c r="A535" s="1">
        <f t="shared" si="155"/>
        <v>23</v>
      </c>
      <c r="B535" s="2" t="s">
        <v>434</v>
      </c>
      <c r="C535" s="3" t="s">
        <v>415</v>
      </c>
      <c r="D535" s="12" t="s">
        <v>40</v>
      </c>
      <c r="E535" s="12" t="s">
        <v>40</v>
      </c>
      <c r="F535" s="12"/>
      <c r="G535" s="12"/>
      <c r="H535" s="12" t="s">
        <v>40</v>
      </c>
      <c r="I535" s="12"/>
      <c r="J535" s="12"/>
      <c r="K535" s="12"/>
      <c r="L535" s="12">
        <v>103188.91</v>
      </c>
      <c r="M535" s="15">
        <f t="shared" si="153"/>
        <v>5</v>
      </c>
      <c r="N535" s="15">
        <f t="shared" si="154"/>
        <v>0</v>
      </c>
      <c r="O535" s="12">
        <v>103188.91</v>
      </c>
      <c r="P535" s="12">
        <f t="shared" si="156"/>
        <v>8599.0758333333342</v>
      </c>
      <c r="Q535" s="12">
        <f t="shared" si="157"/>
        <v>8599.0758333333342</v>
      </c>
    </row>
    <row r="536" spans="1:18" x14ac:dyDescent="0.3">
      <c r="A536" s="1">
        <f t="shared" si="155"/>
        <v>24</v>
      </c>
      <c r="B536" s="2">
        <v>10257086</v>
      </c>
      <c r="C536" s="3" t="s">
        <v>415</v>
      </c>
      <c r="D536" s="12" t="s">
        <v>40</v>
      </c>
      <c r="E536" s="12" t="s">
        <v>40</v>
      </c>
      <c r="F536" s="12"/>
      <c r="G536" s="12"/>
      <c r="H536" s="12" t="s">
        <v>40</v>
      </c>
      <c r="I536" s="12" t="s">
        <v>40</v>
      </c>
      <c r="J536" s="12"/>
      <c r="K536" s="12"/>
      <c r="L536" s="12">
        <v>22724</v>
      </c>
      <c r="M536" s="15">
        <f t="shared" si="153"/>
        <v>10</v>
      </c>
      <c r="N536" s="15">
        <f t="shared" si="154"/>
        <v>0</v>
      </c>
      <c r="O536" s="12">
        <v>22724</v>
      </c>
      <c r="P536" s="12">
        <f t="shared" si="156"/>
        <v>1893.6666666666667</v>
      </c>
      <c r="Q536" s="12">
        <f t="shared" si="157"/>
        <v>1893.6666666666667</v>
      </c>
    </row>
    <row r="537" spans="1:18" x14ac:dyDescent="0.3">
      <c r="A537" s="1">
        <f t="shared" si="155"/>
        <v>25</v>
      </c>
      <c r="B537" s="18" t="s">
        <v>435</v>
      </c>
      <c r="C537" s="3" t="s">
        <v>415</v>
      </c>
      <c r="D537" s="12" t="s">
        <v>40</v>
      </c>
      <c r="E537" s="12" t="s">
        <v>40</v>
      </c>
      <c r="F537" s="12"/>
      <c r="G537" s="12"/>
      <c r="H537" s="12" t="s">
        <v>40</v>
      </c>
      <c r="I537" s="12"/>
      <c r="J537" s="12"/>
      <c r="K537" s="12"/>
      <c r="L537" s="12">
        <v>270700</v>
      </c>
      <c r="M537" s="15">
        <f t="shared" si="153"/>
        <v>5</v>
      </c>
      <c r="N537" s="15">
        <f t="shared" si="154"/>
        <v>0</v>
      </c>
      <c r="O537" s="12">
        <v>270700</v>
      </c>
      <c r="P537" s="12">
        <f t="shared" si="156"/>
        <v>22558.333333333332</v>
      </c>
      <c r="Q537" s="12">
        <f t="shared" si="157"/>
        <v>22558.333333333332</v>
      </c>
    </row>
    <row r="538" spans="1:18" x14ac:dyDescent="0.3">
      <c r="A538" s="1">
        <f t="shared" si="155"/>
        <v>26</v>
      </c>
      <c r="B538" s="10"/>
      <c r="C538" s="9"/>
      <c r="D538" s="13"/>
      <c r="E538" s="13"/>
      <c r="F538" s="13"/>
      <c r="G538" s="13"/>
      <c r="H538" s="13"/>
      <c r="I538" s="13"/>
      <c r="J538" s="13"/>
      <c r="K538" s="13"/>
      <c r="L538" s="13"/>
      <c r="M538" s="16"/>
      <c r="N538" s="16"/>
      <c r="O538" s="13"/>
      <c r="P538" s="13"/>
      <c r="Q538" s="13"/>
    </row>
    <row r="539" spans="1:18" x14ac:dyDescent="0.3">
      <c r="A539" s="1">
        <f t="shared" si="155"/>
        <v>27</v>
      </c>
      <c r="B539" s="2" t="s">
        <v>436</v>
      </c>
      <c r="C539" s="3" t="s">
        <v>415</v>
      </c>
      <c r="D539" s="12" t="s">
        <v>40</v>
      </c>
      <c r="E539" s="12" t="s">
        <v>40</v>
      </c>
      <c r="F539" s="12"/>
      <c r="G539" s="12"/>
      <c r="H539" s="12" t="s">
        <v>40</v>
      </c>
      <c r="I539" s="12"/>
      <c r="J539" s="12"/>
      <c r="K539" s="12"/>
      <c r="L539" s="12">
        <v>47246</v>
      </c>
      <c r="M539" s="15">
        <f t="shared" si="153"/>
        <v>5</v>
      </c>
      <c r="N539" s="15">
        <f t="shared" si="154"/>
        <v>0</v>
      </c>
      <c r="O539" s="12">
        <v>47246</v>
      </c>
      <c r="P539" s="12">
        <f t="shared" si="156"/>
        <v>3937.1666666666665</v>
      </c>
      <c r="Q539" s="12">
        <f t="shared" si="157"/>
        <v>3937.1666666666665</v>
      </c>
    </row>
    <row r="540" spans="1:18" x14ac:dyDescent="0.3">
      <c r="A540" s="1">
        <f t="shared" si="155"/>
        <v>28</v>
      </c>
      <c r="B540" s="10"/>
      <c r="C540" s="9"/>
      <c r="D540" s="13"/>
      <c r="E540" s="13"/>
      <c r="F540" s="13"/>
      <c r="G540" s="13"/>
      <c r="H540" s="13"/>
      <c r="I540" s="13"/>
      <c r="J540" s="13"/>
      <c r="K540" s="13"/>
      <c r="L540" s="13"/>
      <c r="M540" s="16"/>
      <c r="N540" s="16"/>
      <c r="O540" s="13"/>
      <c r="P540" s="13"/>
      <c r="Q540" s="13"/>
    </row>
    <row r="541" spans="1:18" x14ac:dyDescent="0.3">
      <c r="A541" s="1">
        <f t="shared" si="155"/>
        <v>29</v>
      </c>
      <c r="B541" s="2" t="s">
        <v>437</v>
      </c>
      <c r="C541" s="3" t="s">
        <v>415</v>
      </c>
      <c r="D541" s="12" t="s">
        <v>40</v>
      </c>
      <c r="E541" s="12" t="s">
        <v>40</v>
      </c>
      <c r="F541" s="12"/>
      <c r="G541" s="12"/>
      <c r="H541" s="12" t="s">
        <v>40</v>
      </c>
      <c r="I541" s="12"/>
      <c r="J541" s="12"/>
      <c r="K541" s="12"/>
      <c r="L541" s="12">
        <v>82920</v>
      </c>
      <c r="M541" s="15">
        <f t="shared" si="153"/>
        <v>5</v>
      </c>
      <c r="N541" s="15">
        <f t="shared" si="154"/>
        <v>0</v>
      </c>
      <c r="O541" s="12">
        <v>82920</v>
      </c>
      <c r="P541" s="12">
        <f t="shared" si="156"/>
        <v>6910</v>
      </c>
      <c r="Q541" s="12">
        <f t="shared" si="157"/>
        <v>6910</v>
      </c>
    </row>
    <row r="542" spans="1:18" x14ac:dyDescent="0.3">
      <c r="A542" s="1">
        <f t="shared" si="155"/>
        <v>30</v>
      </c>
      <c r="B542" s="18" t="s">
        <v>438</v>
      </c>
      <c r="C542" s="3" t="s">
        <v>415</v>
      </c>
      <c r="D542" s="12" t="s">
        <v>40</v>
      </c>
      <c r="E542" s="12" t="s">
        <v>40</v>
      </c>
      <c r="F542" s="12"/>
      <c r="G542" s="12"/>
      <c r="H542" s="12" t="s">
        <v>40</v>
      </c>
      <c r="I542" s="12" t="s">
        <v>40</v>
      </c>
      <c r="J542" s="12" t="s">
        <v>40</v>
      </c>
      <c r="K542" s="12"/>
      <c r="L542" s="12">
        <v>150759.1</v>
      </c>
      <c r="M542" s="15">
        <f t="shared" si="153"/>
        <v>20</v>
      </c>
      <c r="N542" s="15">
        <f t="shared" si="154"/>
        <v>0</v>
      </c>
      <c r="O542" s="12">
        <v>150759.1</v>
      </c>
      <c r="P542" s="12">
        <f t="shared" si="156"/>
        <v>12563.258333333333</v>
      </c>
      <c r="Q542" s="12">
        <f t="shared" si="157"/>
        <v>12563.258333333333</v>
      </c>
    </row>
    <row r="543" spans="1:18" x14ac:dyDescent="0.3">
      <c r="B543" s="29"/>
      <c r="L543" s="14">
        <f>+AVERAGE(L513:L542)</f>
        <v>260234.37074074073</v>
      </c>
      <c r="M543" s="14">
        <f>+AVERAGE(M513:M542)</f>
        <v>6.7407407407407405</v>
      </c>
      <c r="N543" s="14">
        <f>+SUM(N513:N542)</f>
        <v>4</v>
      </c>
      <c r="O543" s="14">
        <f>+AVERAGE(O513:O542)</f>
        <v>115199.54590909091</v>
      </c>
      <c r="P543" s="14">
        <f>+AVERAGE(P513:P542)</f>
        <v>21686.197561728393</v>
      </c>
      <c r="Q543" s="14">
        <f>+AVERAGE(Q513:Q542)</f>
        <v>9599.9621590909082</v>
      </c>
      <c r="R543" s="14">
        <f>30-COUNTBLANK(R513:R542)</f>
        <v>0</v>
      </c>
    </row>
    <row r="544" spans="1:18" x14ac:dyDescent="0.3">
      <c r="L544" s="14">
        <f>+STDEV(L513:L542)</f>
        <v>853020.95049304271</v>
      </c>
      <c r="M544" s="14">
        <f>+STDEV(M513:M542)</f>
        <v>3.7784061820234838</v>
      </c>
      <c r="N544" s="17"/>
      <c r="O544" s="14">
        <f>+STDEV(O513:O542)</f>
        <v>99082.927585519094</v>
      </c>
      <c r="P544" s="14">
        <f>+STDEV(P513:P542)</f>
        <v>71085.079207753559</v>
      </c>
      <c r="Q544" s="14">
        <f>+STDEV(Q513:Q542)</f>
        <v>8256.9106321265954</v>
      </c>
    </row>
    <row r="545" spans="1:20" x14ac:dyDescent="0.3">
      <c r="I545" s="15"/>
      <c r="J545" s="15"/>
      <c r="K545" s="11" t="s">
        <v>75</v>
      </c>
      <c r="L545" s="14">
        <f>+COUNTIF(L513:L542,0)</f>
        <v>4</v>
      </c>
      <c r="M545" s="14">
        <f>+COUNT(M513:M542)</f>
        <v>27</v>
      </c>
      <c r="P545" s="14">
        <f>+COUNTIF(P513:P542,0)</f>
        <v>4</v>
      </c>
    </row>
    <row r="547" spans="1:20" x14ac:dyDescent="0.3">
      <c r="A547" s="1">
        <v>1</v>
      </c>
      <c r="B547" s="4" t="s">
        <v>523</v>
      </c>
      <c r="C547" s="3" t="s">
        <v>441</v>
      </c>
      <c r="D547" s="12" t="s">
        <v>40</v>
      </c>
      <c r="E547" s="12" t="s">
        <v>40</v>
      </c>
      <c r="F547" s="12" t="s">
        <v>40</v>
      </c>
      <c r="G547" s="12"/>
      <c r="H547" s="12" t="s">
        <v>40</v>
      </c>
      <c r="I547" s="12"/>
      <c r="J547" s="12"/>
      <c r="K547" s="12"/>
      <c r="L547" s="12">
        <v>7000</v>
      </c>
      <c r="M547" s="15">
        <f>+IF(D547="X",1,0)+IF(E547="X",1,0)+IF(F547="X",2,0)+IF(G547="X",2,0)+IF(H547="X",3,IF(H547="Y",1.5,0))+IF(I547="X",5,IF(I547="Y",2.5,0))+IF(J547="X",10,IF(J547="Y",5,0))</f>
        <v>7</v>
      </c>
      <c r="N547" s="15">
        <f>+IF(K547="X",1,0)</f>
        <v>0</v>
      </c>
      <c r="O547" s="12">
        <v>7000</v>
      </c>
      <c r="P547" s="12">
        <f>+L547/12</f>
        <v>583.33333333333337</v>
      </c>
      <c r="Q547" s="12">
        <f>+O547/12</f>
        <v>583.33333333333337</v>
      </c>
    </row>
    <row r="548" spans="1:20" x14ac:dyDescent="0.3">
      <c r="A548" s="1">
        <f>+A547+1</f>
        <v>2</v>
      </c>
      <c r="B548" s="2" t="s">
        <v>516</v>
      </c>
      <c r="C548" s="3" t="s">
        <v>441</v>
      </c>
      <c r="D548" s="12" t="s">
        <v>40</v>
      </c>
      <c r="E548" s="12" t="s">
        <v>40</v>
      </c>
      <c r="F548" s="12"/>
      <c r="G548" s="12"/>
      <c r="H548" s="12" t="s">
        <v>40</v>
      </c>
      <c r="I548" s="12"/>
      <c r="J548" s="12"/>
      <c r="K548" s="12"/>
      <c r="L548" s="12">
        <v>76598</v>
      </c>
      <c r="M548" s="15">
        <f>+IF(D548="X",1,0)+IF(E548="X",1,0)+IF(F548="X",2,0)+IF(G548="X",2,0)+IF(H548="X",3,IF(H548="Y",1.5,0))+IF(I548="X",5,IF(I548="Y",2.5,0))+IF(J548="X",10,IF(J548="Y",5,0))</f>
        <v>5</v>
      </c>
      <c r="N548" s="15">
        <f>+IF(K548="X",1,0)</f>
        <v>0</v>
      </c>
      <c r="O548" s="12">
        <v>76598</v>
      </c>
      <c r="P548" s="12">
        <f>+L548/12</f>
        <v>6383.166666666667</v>
      </c>
      <c r="Q548" s="12">
        <f>+O548/12</f>
        <v>6383.166666666667</v>
      </c>
    </row>
    <row r="549" spans="1:20" x14ac:dyDescent="0.3">
      <c r="A549" s="1">
        <f t="shared" ref="A549:A576" si="159">+A548+1</f>
        <v>3</v>
      </c>
      <c r="B549" s="2" t="s">
        <v>517</v>
      </c>
      <c r="C549" s="3" t="s">
        <v>441</v>
      </c>
      <c r="D549" s="12" t="s">
        <v>40</v>
      </c>
      <c r="E549" s="12" t="s">
        <v>40</v>
      </c>
      <c r="F549" s="12"/>
      <c r="G549" s="12"/>
      <c r="H549" s="12" t="s">
        <v>40</v>
      </c>
      <c r="I549" s="12" t="s">
        <v>40</v>
      </c>
      <c r="J549" s="12"/>
      <c r="K549" s="12"/>
      <c r="L549" s="12">
        <v>188193</v>
      </c>
      <c r="M549" s="15">
        <f t="shared" ref="M549:M575" si="160">+IF(D549="X",1,0)+IF(E549="X",1,0)+IF(F549="X",2,0)+IF(G549="X",2,0)+IF(H549="X",3,IF(H549="Y",1.5,0))+IF(I549="X",5,IF(I549="Y",2.5,0))+IF(J549="X",10,IF(J549="Y",5,0))</f>
        <v>10</v>
      </c>
      <c r="N549" s="15">
        <f t="shared" ref="N549:N575" si="161">+IF(K549="X",1,0)</f>
        <v>0</v>
      </c>
      <c r="O549" s="20"/>
      <c r="P549" s="12">
        <f t="shared" ref="P549" si="162">+L549/12</f>
        <v>15682.75</v>
      </c>
      <c r="Q549" s="20"/>
    </row>
    <row r="550" spans="1:20" x14ac:dyDescent="0.3">
      <c r="A550" s="1">
        <f t="shared" si="159"/>
        <v>4</v>
      </c>
      <c r="B550" s="2">
        <v>28201257</v>
      </c>
      <c r="C550" s="3" t="s">
        <v>441</v>
      </c>
      <c r="D550" s="12" t="s">
        <v>40</v>
      </c>
      <c r="E550" s="12" t="s">
        <v>40</v>
      </c>
      <c r="F550" s="12"/>
      <c r="G550" s="12"/>
      <c r="H550" s="12" t="s">
        <v>40</v>
      </c>
      <c r="I550" s="12" t="s">
        <v>40</v>
      </c>
      <c r="J550" s="12" t="s">
        <v>40</v>
      </c>
      <c r="K550" s="12"/>
      <c r="L550" s="12">
        <v>130980</v>
      </c>
      <c r="M550" s="15">
        <f t="shared" si="160"/>
        <v>20</v>
      </c>
      <c r="N550" s="15">
        <f t="shared" si="161"/>
        <v>0</v>
      </c>
      <c r="O550" s="12">
        <v>130980</v>
      </c>
      <c r="P550" s="12">
        <f t="shared" ref="P550:P575" si="163">+L550/12</f>
        <v>10915</v>
      </c>
      <c r="Q550" s="12">
        <f t="shared" ref="Q550:Q575" si="164">+O550/12</f>
        <v>10915</v>
      </c>
    </row>
    <row r="551" spans="1:20" x14ac:dyDescent="0.3">
      <c r="A551" s="1">
        <f t="shared" si="159"/>
        <v>5</v>
      </c>
      <c r="B551" s="4" t="s">
        <v>524</v>
      </c>
      <c r="C551" s="3" t="s">
        <v>441</v>
      </c>
      <c r="D551" s="12" t="s">
        <v>40</v>
      </c>
      <c r="E551" s="12" t="s">
        <v>40</v>
      </c>
      <c r="F551" s="12"/>
      <c r="G551" s="12"/>
      <c r="H551" s="12" t="s">
        <v>40</v>
      </c>
      <c r="I551" s="12" t="s">
        <v>40</v>
      </c>
      <c r="J551" s="12"/>
      <c r="K551" s="12"/>
      <c r="L551" s="12">
        <v>99600</v>
      </c>
      <c r="M551" s="15">
        <f t="shared" si="160"/>
        <v>10</v>
      </c>
      <c r="N551" s="15">
        <f t="shared" si="161"/>
        <v>0</v>
      </c>
      <c r="O551" s="12">
        <v>99600</v>
      </c>
      <c r="P551" s="12">
        <f t="shared" si="163"/>
        <v>8300</v>
      </c>
      <c r="Q551" s="12">
        <f t="shared" si="164"/>
        <v>8300</v>
      </c>
    </row>
    <row r="552" spans="1:20" x14ac:dyDescent="0.3">
      <c r="A552" s="1">
        <f t="shared" si="159"/>
        <v>6</v>
      </c>
      <c r="B552" s="4" t="s">
        <v>525</v>
      </c>
      <c r="C552" s="3" t="s">
        <v>441</v>
      </c>
      <c r="D552" s="12" t="s">
        <v>40</v>
      </c>
      <c r="E552" s="12" t="s">
        <v>40</v>
      </c>
      <c r="F552" s="12"/>
      <c r="G552" s="12"/>
      <c r="H552" s="12" t="s">
        <v>40</v>
      </c>
      <c r="I552" s="12"/>
      <c r="J552" s="12"/>
      <c r="K552" s="12"/>
      <c r="L552" s="12">
        <v>86476</v>
      </c>
      <c r="M552" s="15">
        <f>+IF(D552="X",1,0)+IF(E552="X",1,0)+IF(F552="X",2,0)+IF(G552="X",2,0)+IF(H552="X",3,IF(H552="Y",1.5,0))+IF(I552="X",5,IF(I552="Y",2.5,0))+IF(J552="X",10,IF(J552="Y",5,0))</f>
        <v>5</v>
      </c>
      <c r="N552" s="15">
        <f>+IF(K552="X",1,0)</f>
        <v>0</v>
      </c>
      <c r="O552" s="12">
        <v>86476</v>
      </c>
      <c r="P552" s="12">
        <f>+L552/12</f>
        <v>7206.333333333333</v>
      </c>
      <c r="Q552" s="12">
        <f>+O552/12</f>
        <v>7206.333333333333</v>
      </c>
    </row>
    <row r="553" spans="1:20" x14ac:dyDescent="0.3">
      <c r="A553" s="1">
        <f t="shared" si="159"/>
        <v>7</v>
      </c>
      <c r="B553" s="2" t="s">
        <v>518</v>
      </c>
      <c r="C553" s="3" t="s">
        <v>441</v>
      </c>
      <c r="D553" s="12" t="s">
        <v>40</v>
      </c>
      <c r="E553" s="12" t="s">
        <v>40</v>
      </c>
      <c r="F553" s="12"/>
      <c r="G553" s="12"/>
      <c r="H553" s="12" t="s">
        <v>40</v>
      </c>
      <c r="I553" s="12"/>
      <c r="J553" s="12"/>
      <c r="K553" s="12"/>
      <c r="L553" s="12">
        <v>78000</v>
      </c>
      <c r="M553" s="15">
        <f t="shared" si="160"/>
        <v>5</v>
      </c>
      <c r="N553" s="15">
        <f t="shared" si="161"/>
        <v>0</v>
      </c>
      <c r="O553" s="12">
        <v>78000</v>
      </c>
      <c r="P553" s="12">
        <f t="shared" si="163"/>
        <v>6500</v>
      </c>
      <c r="Q553" s="12">
        <f t="shared" si="164"/>
        <v>6500</v>
      </c>
    </row>
    <row r="554" spans="1:20" x14ac:dyDescent="0.3">
      <c r="A554" s="1">
        <f t="shared" si="159"/>
        <v>8</v>
      </c>
      <c r="B554" s="2" t="s">
        <v>519</v>
      </c>
      <c r="C554" s="3" t="s">
        <v>441</v>
      </c>
      <c r="D554" s="12" t="s">
        <v>40</v>
      </c>
      <c r="E554" s="12" t="s">
        <v>40</v>
      </c>
      <c r="F554" s="12"/>
      <c r="G554" s="12"/>
      <c r="H554" s="12"/>
      <c r="I554" s="12"/>
      <c r="J554" s="12"/>
      <c r="K554" s="12"/>
      <c r="L554" s="12">
        <v>0</v>
      </c>
      <c r="M554" s="15">
        <f t="shared" si="160"/>
        <v>2</v>
      </c>
      <c r="N554" s="15">
        <f t="shared" si="161"/>
        <v>0</v>
      </c>
      <c r="O554" s="20"/>
      <c r="P554" s="12">
        <f t="shared" si="163"/>
        <v>0</v>
      </c>
      <c r="Q554" s="20"/>
    </row>
    <row r="555" spans="1:20" x14ac:dyDescent="0.3">
      <c r="A555" s="1">
        <f t="shared" si="159"/>
        <v>9</v>
      </c>
      <c r="B555" s="2">
        <v>25860495</v>
      </c>
      <c r="C555" s="3" t="s">
        <v>441</v>
      </c>
      <c r="D555" s="12" t="s">
        <v>40</v>
      </c>
      <c r="E555" s="12" t="s">
        <v>40</v>
      </c>
      <c r="F555" s="12"/>
      <c r="G555" s="12"/>
      <c r="H555" s="12" t="s">
        <v>40</v>
      </c>
      <c r="I555" s="12"/>
      <c r="J555" s="12"/>
      <c r="K555" s="12"/>
      <c r="L555" s="12">
        <v>58368</v>
      </c>
      <c r="M555" s="15">
        <f t="shared" si="160"/>
        <v>5</v>
      </c>
      <c r="N555" s="15">
        <f t="shared" si="161"/>
        <v>0</v>
      </c>
      <c r="O555" s="12">
        <v>58368</v>
      </c>
      <c r="P555" s="12">
        <f t="shared" si="163"/>
        <v>4864</v>
      </c>
      <c r="Q555" s="12">
        <f t="shared" si="164"/>
        <v>4864</v>
      </c>
      <c r="S555" t="s">
        <v>526</v>
      </c>
      <c r="T555" t="s">
        <v>151</v>
      </c>
    </row>
    <row r="556" spans="1:20" x14ac:dyDescent="0.3">
      <c r="A556" s="1">
        <f t="shared" si="159"/>
        <v>10</v>
      </c>
      <c r="B556" s="4" t="s">
        <v>527</v>
      </c>
      <c r="C556" s="3" t="s">
        <v>441</v>
      </c>
      <c r="D556" s="12" t="s">
        <v>40</v>
      </c>
      <c r="E556" s="12" t="s">
        <v>40</v>
      </c>
      <c r="F556" s="12"/>
      <c r="G556" s="12"/>
      <c r="H556" s="12" t="s">
        <v>40</v>
      </c>
      <c r="I556" s="12"/>
      <c r="J556" s="12"/>
      <c r="K556" s="12"/>
      <c r="L556" s="12">
        <v>88302.9</v>
      </c>
      <c r="M556" s="15">
        <f>+IF(D556="X",1,0)+IF(E556="X",1,0)+IF(F556="X",2,0)+IF(G556="X",2,0)+IF(H556="X",3,IF(H556="Y",1.5,0))+IF(I556="X",5,IF(I556="Y",2.5,0))+IF(J556="X",10,IF(J556="Y",5,0))</f>
        <v>5</v>
      </c>
      <c r="N556" s="15">
        <f>+IF(K556="X",1,0)</f>
        <v>0</v>
      </c>
      <c r="O556" s="12">
        <v>88302.9</v>
      </c>
      <c r="P556" s="12">
        <f>+L556/12</f>
        <v>7358.5749999999998</v>
      </c>
      <c r="Q556" s="12">
        <f>+O556/12</f>
        <v>7358.5749999999998</v>
      </c>
    </row>
    <row r="557" spans="1:20" x14ac:dyDescent="0.3">
      <c r="A557" s="1">
        <f t="shared" si="159"/>
        <v>11</v>
      </c>
      <c r="B557" s="2">
        <v>10557247</v>
      </c>
      <c r="C557" s="3" t="s">
        <v>441</v>
      </c>
      <c r="D557" s="12" t="s">
        <v>40</v>
      </c>
      <c r="E557" s="12" t="s">
        <v>40</v>
      </c>
      <c r="F557" s="12"/>
      <c r="G557" s="12"/>
      <c r="H557" s="12"/>
      <c r="I557" s="12"/>
      <c r="J557" s="12"/>
      <c r="K557" s="12"/>
      <c r="L557" s="12">
        <v>24000</v>
      </c>
      <c r="M557" s="15">
        <f t="shared" si="160"/>
        <v>2</v>
      </c>
      <c r="N557" s="15">
        <f t="shared" si="161"/>
        <v>0</v>
      </c>
      <c r="O557" s="12">
        <v>24000</v>
      </c>
      <c r="P557" s="12">
        <f t="shared" si="163"/>
        <v>2000</v>
      </c>
      <c r="Q557" s="12">
        <f t="shared" si="164"/>
        <v>2000</v>
      </c>
    </row>
    <row r="558" spans="1:20" x14ac:dyDescent="0.3">
      <c r="A558" s="1">
        <f t="shared" si="159"/>
        <v>12</v>
      </c>
      <c r="B558" s="2">
        <v>10058757</v>
      </c>
      <c r="C558" s="3" t="s">
        <v>441</v>
      </c>
      <c r="D558" s="12" t="s">
        <v>40</v>
      </c>
      <c r="E558" s="12" t="s">
        <v>40</v>
      </c>
      <c r="F558" s="12"/>
      <c r="G558" s="12"/>
      <c r="H558" s="12"/>
      <c r="I558" s="12"/>
      <c r="J558" s="12"/>
      <c r="K558" s="12"/>
      <c r="L558" s="12">
        <v>0</v>
      </c>
      <c r="M558" s="15">
        <f>+IF(D558="X",1,0)+IF(E558="X",1,0)+IF(F558="X",2,0)+IF(G558="X",2,0)+IF(H558="X",3,IF(H558="Y",1.5,0))+IF(I558="X",5,IF(I558="Y",2.5,0))+IF(J558="X",10,IF(J558="Y",5,0))</f>
        <v>2</v>
      </c>
      <c r="N558" s="15">
        <f>+IF(K558="X",1,0)</f>
        <v>0</v>
      </c>
      <c r="O558" s="20"/>
      <c r="P558" s="12">
        <f t="shared" si="163"/>
        <v>0</v>
      </c>
      <c r="Q558" s="20"/>
    </row>
    <row r="559" spans="1:20" x14ac:dyDescent="0.3">
      <c r="A559" s="1">
        <f t="shared" si="159"/>
        <v>13</v>
      </c>
      <c r="B559" s="2" t="s">
        <v>520</v>
      </c>
      <c r="C559" s="3" t="s">
        <v>441</v>
      </c>
      <c r="D559" s="12" t="s">
        <v>40</v>
      </c>
      <c r="E559" s="12" t="s">
        <v>40</v>
      </c>
      <c r="F559" s="12"/>
      <c r="G559" s="12"/>
      <c r="H559" s="12"/>
      <c r="I559" s="12"/>
      <c r="J559" s="12"/>
      <c r="K559" s="12"/>
      <c r="L559" s="12">
        <v>24000</v>
      </c>
      <c r="M559" s="15">
        <f t="shared" si="160"/>
        <v>2</v>
      </c>
      <c r="N559" s="15">
        <f t="shared" si="161"/>
        <v>0</v>
      </c>
      <c r="O559" s="12">
        <v>24000</v>
      </c>
      <c r="P559" s="12">
        <f t="shared" si="163"/>
        <v>2000</v>
      </c>
      <c r="Q559" s="12">
        <f t="shared" si="164"/>
        <v>2000</v>
      </c>
    </row>
    <row r="560" spans="1:20" x14ac:dyDescent="0.3">
      <c r="A560" s="1">
        <f t="shared" si="159"/>
        <v>14</v>
      </c>
      <c r="B560" s="10"/>
      <c r="C560" s="9"/>
      <c r="D560" s="13"/>
      <c r="E560" s="13"/>
      <c r="F560" s="13"/>
      <c r="G560" s="13"/>
      <c r="H560" s="13"/>
      <c r="I560" s="13"/>
      <c r="J560" s="13"/>
      <c r="K560" s="13"/>
      <c r="L560" s="13"/>
      <c r="M560" s="16"/>
      <c r="N560" s="16"/>
      <c r="O560" s="13"/>
      <c r="P560" s="13"/>
      <c r="Q560" s="13"/>
    </row>
    <row r="561" spans="1:17" x14ac:dyDescent="0.3">
      <c r="A561" s="1">
        <f t="shared" si="159"/>
        <v>15</v>
      </c>
      <c r="B561" s="10"/>
      <c r="C561" s="9"/>
      <c r="D561" s="13"/>
      <c r="E561" s="13"/>
      <c r="F561" s="13"/>
      <c r="G561" s="13"/>
      <c r="H561" s="13"/>
      <c r="I561" s="13"/>
      <c r="J561" s="13"/>
      <c r="K561" s="13"/>
      <c r="L561" s="13"/>
      <c r="M561" s="16"/>
      <c r="N561" s="16"/>
      <c r="O561" s="13"/>
      <c r="P561" s="13"/>
      <c r="Q561" s="13"/>
    </row>
    <row r="562" spans="1:17" x14ac:dyDescent="0.3">
      <c r="A562" s="1">
        <f t="shared" si="159"/>
        <v>16</v>
      </c>
      <c r="B562" s="10"/>
      <c r="C562" s="9"/>
      <c r="D562" s="13"/>
      <c r="E562" s="13"/>
      <c r="F562" s="13"/>
      <c r="G562" s="13"/>
      <c r="H562" s="13"/>
      <c r="I562" s="13"/>
      <c r="J562" s="13"/>
      <c r="K562" s="13"/>
      <c r="L562" s="13"/>
      <c r="M562" s="16"/>
      <c r="N562" s="16"/>
      <c r="O562" s="13"/>
      <c r="P562" s="13"/>
      <c r="Q562" s="13"/>
    </row>
    <row r="563" spans="1:17" x14ac:dyDescent="0.3">
      <c r="A563" s="1">
        <f t="shared" si="159"/>
        <v>17</v>
      </c>
      <c r="B563" s="10"/>
      <c r="C563" s="9"/>
      <c r="D563" s="13"/>
      <c r="E563" s="13"/>
      <c r="F563" s="13"/>
      <c r="G563" s="13"/>
      <c r="H563" s="13"/>
      <c r="I563" s="13"/>
      <c r="J563" s="13"/>
      <c r="K563" s="13"/>
      <c r="L563" s="13"/>
      <c r="M563" s="16"/>
      <c r="N563" s="16"/>
      <c r="O563" s="13"/>
      <c r="P563" s="13"/>
      <c r="Q563" s="13"/>
    </row>
    <row r="564" spans="1:17" x14ac:dyDescent="0.3">
      <c r="A564" s="1">
        <f t="shared" si="159"/>
        <v>18</v>
      </c>
      <c r="B564" s="10"/>
      <c r="C564" s="9"/>
      <c r="D564" s="13"/>
      <c r="E564" s="13"/>
      <c r="F564" s="13"/>
      <c r="G564" s="13"/>
      <c r="H564" s="13"/>
      <c r="I564" s="13"/>
      <c r="J564" s="13"/>
      <c r="K564" s="13"/>
      <c r="L564" s="13"/>
      <c r="M564" s="16"/>
      <c r="N564" s="16"/>
      <c r="O564" s="13"/>
      <c r="P564" s="13"/>
      <c r="Q564" s="13"/>
    </row>
    <row r="565" spans="1:17" x14ac:dyDescent="0.3">
      <c r="A565" s="1">
        <f t="shared" si="159"/>
        <v>19</v>
      </c>
      <c r="B565" s="10"/>
      <c r="C565" s="9"/>
      <c r="D565" s="13"/>
      <c r="E565" s="13"/>
      <c r="F565" s="13"/>
      <c r="G565" s="13"/>
      <c r="H565" s="13"/>
      <c r="I565" s="13"/>
      <c r="J565" s="13"/>
      <c r="K565" s="13"/>
      <c r="L565" s="13"/>
      <c r="M565" s="16"/>
      <c r="N565" s="16"/>
      <c r="O565" s="13"/>
      <c r="P565" s="13"/>
      <c r="Q565" s="13"/>
    </row>
    <row r="566" spans="1:17" x14ac:dyDescent="0.3">
      <c r="A566" s="1">
        <f t="shared" si="159"/>
        <v>20</v>
      </c>
      <c r="B566" s="2" t="s">
        <v>521</v>
      </c>
      <c r="C566" s="3" t="s">
        <v>441</v>
      </c>
      <c r="D566" s="12" t="s">
        <v>40</v>
      </c>
      <c r="E566" s="12" t="s">
        <v>40</v>
      </c>
      <c r="F566" s="12"/>
      <c r="G566" s="12"/>
      <c r="H566" s="12"/>
      <c r="I566" s="12"/>
      <c r="J566" s="12"/>
      <c r="K566" s="12"/>
      <c r="L566" s="12">
        <v>18000</v>
      </c>
      <c r="M566" s="15">
        <f t="shared" si="160"/>
        <v>2</v>
      </c>
      <c r="N566" s="15">
        <f t="shared" si="161"/>
        <v>0</v>
      </c>
      <c r="O566" s="12">
        <v>18000</v>
      </c>
      <c r="P566" s="12">
        <f t="shared" si="163"/>
        <v>1500</v>
      </c>
      <c r="Q566" s="12">
        <f t="shared" si="164"/>
        <v>1500</v>
      </c>
    </row>
    <row r="567" spans="1:17" x14ac:dyDescent="0.3">
      <c r="A567" s="1">
        <f t="shared" si="159"/>
        <v>21</v>
      </c>
      <c r="B567" s="2" t="s">
        <v>522</v>
      </c>
      <c r="C567" s="3" t="s">
        <v>441</v>
      </c>
      <c r="D567" s="12" t="s">
        <v>40</v>
      </c>
      <c r="E567" s="12" t="s">
        <v>40</v>
      </c>
      <c r="F567" s="12"/>
      <c r="G567" s="12"/>
      <c r="H567" s="12"/>
      <c r="I567" s="12"/>
      <c r="J567" s="12"/>
      <c r="K567" s="12"/>
      <c r="L567" s="12">
        <v>23200</v>
      </c>
      <c r="M567" s="15">
        <f t="shared" si="160"/>
        <v>2</v>
      </c>
      <c r="N567" s="15">
        <f t="shared" si="161"/>
        <v>0</v>
      </c>
      <c r="O567" s="12">
        <v>23200</v>
      </c>
      <c r="P567" s="12">
        <f t="shared" si="163"/>
        <v>1933.3333333333333</v>
      </c>
      <c r="Q567" s="12">
        <f t="shared" si="164"/>
        <v>1933.3333333333333</v>
      </c>
    </row>
    <row r="568" spans="1:17" x14ac:dyDescent="0.3">
      <c r="A568" s="1">
        <f t="shared" si="159"/>
        <v>22</v>
      </c>
      <c r="B568" s="2">
        <v>10140230</v>
      </c>
      <c r="C568" s="3" t="s">
        <v>441</v>
      </c>
      <c r="D568" s="12" t="s">
        <v>40</v>
      </c>
      <c r="E568" s="12" t="s">
        <v>40</v>
      </c>
      <c r="F568" s="12"/>
      <c r="G568" s="12"/>
      <c r="H568" s="12" t="s">
        <v>40</v>
      </c>
      <c r="I568" s="12"/>
      <c r="J568" s="12"/>
      <c r="K568" s="12"/>
      <c r="L568" s="12">
        <v>19600</v>
      </c>
      <c r="M568" s="15">
        <f t="shared" si="160"/>
        <v>5</v>
      </c>
      <c r="N568" s="15">
        <f t="shared" si="161"/>
        <v>0</v>
      </c>
      <c r="O568" s="12">
        <v>19600</v>
      </c>
      <c r="P568" s="12">
        <f t="shared" si="163"/>
        <v>1633.3333333333333</v>
      </c>
      <c r="Q568" s="12">
        <f t="shared" si="164"/>
        <v>1633.3333333333333</v>
      </c>
    </row>
    <row r="569" spans="1:17" x14ac:dyDescent="0.3">
      <c r="A569" s="1">
        <f t="shared" si="159"/>
        <v>23</v>
      </c>
      <c r="B569" s="10"/>
      <c r="C569" s="9"/>
      <c r="D569" s="13"/>
      <c r="E569" s="13"/>
      <c r="F569" s="13"/>
      <c r="G569" s="13"/>
      <c r="H569" s="13"/>
      <c r="I569" s="13"/>
      <c r="J569" s="13"/>
      <c r="K569" s="13"/>
      <c r="L569" s="13"/>
      <c r="M569" s="16"/>
      <c r="N569" s="16"/>
      <c r="O569" s="13"/>
      <c r="P569" s="13"/>
      <c r="Q569" s="13"/>
    </row>
    <row r="570" spans="1:17" x14ac:dyDescent="0.3">
      <c r="A570" s="1">
        <f t="shared" si="159"/>
        <v>24</v>
      </c>
      <c r="B570" s="10"/>
      <c r="C570" s="9"/>
      <c r="D570" s="13"/>
      <c r="E570" s="13"/>
      <c r="F570" s="13"/>
      <c r="G570" s="13"/>
      <c r="H570" s="13"/>
      <c r="I570" s="13"/>
      <c r="J570" s="13"/>
      <c r="K570" s="13"/>
      <c r="L570" s="13"/>
      <c r="M570" s="16"/>
      <c r="N570" s="16"/>
      <c r="O570" s="13"/>
      <c r="P570" s="13"/>
      <c r="Q570" s="13"/>
    </row>
    <row r="571" spans="1:17" x14ac:dyDescent="0.3">
      <c r="A571" s="1">
        <f t="shared" si="159"/>
        <v>25</v>
      </c>
      <c r="B571" s="10"/>
      <c r="C571" s="9"/>
      <c r="D571" s="13"/>
      <c r="E571" s="13"/>
      <c r="F571" s="13"/>
      <c r="G571" s="13"/>
      <c r="H571" s="13"/>
      <c r="I571" s="13"/>
      <c r="J571" s="13"/>
      <c r="K571" s="13"/>
      <c r="L571" s="13"/>
      <c r="M571" s="16"/>
      <c r="N571" s="16"/>
      <c r="O571" s="13"/>
      <c r="P571" s="13"/>
      <c r="Q571" s="13"/>
    </row>
    <row r="572" spans="1:17" x14ac:dyDescent="0.3">
      <c r="A572" s="1">
        <f t="shared" si="159"/>
        <v>26</v>
      </c>
      <c r="B572" s="10"/>
      <c r="C572" s="9"/>
      <c r="D572" s="13"/>
      <c r="E572" s="13"/>
      <c r="F572" s="13"/>
      <c r="G572" s="13"/>
      <c r="H572" s="13"/>
      <c r="I572" s="13"/>
      <c r="J572" s="13"/>
      <c r="K572" s="13"/>
      <c r="L572" s="13"/>
      <c r="M572" s="16"/>
      <c r="N572" s="16"/>
      <c r="O572" s="13"/>
      <c r="P572" s="13"/>
      <c r="Q572" s="13"/>
    </row>
    <row r="573" spans="1:17" x14ac:dyDescent="0.3">
      <c r="A573" s="1">
        <f t="shared" si="159"/>
        <v>27</v>
      </c>
      <c r="B573" s="10"/>
      <c r="C573" s="9"/>
      <c r="D573" s="13"/>
      <c r="E573" s="13"/>
      <c r="F573" s="13"/>
      <c r="G573" s="13"/>
      <c r="H573" s="13"/>
      <c r="I573" s="13"/>
      <c r="J573" s="13"/>
      <c r="K573" s="13"/>
      <c r="L573" s="13"/>
      <c r="M573" s="16"/>
      <c r="N573" s="16"/>
      <c r="O573" s="13"/>
      <c r="P573" s="13"/>
      <c r="Q573" s="13"/>
    </row>
    <row r="574" spans="1:17" x14ac:dyDescent="0.3">
      <c r="A574" s="1">
        <f t="shared" si="159"/>
        <v>28</v>
      </c>
      <c r="B574" s="10"/>
      <c r="C574" s="9"/>
      <c r="D574" s="13"/>
      <c r="E574" s="13"/>
      <c r="F574" s="13"/>
      <c r="G574" s="13"/>
      <c r="H574" s="13"/>
      <c r="I574" s="13"/>
      <c r="J574" s="13"/>
      <c r="K574" s="13"/>
      <c r="L574" s="13"/>
      <c r="M574" s="16"/>
      <c r="N574" s="16"/>
      <c r="O574" s="13"/>
      <c r="P574" s="13"/>
      <c r="Q574" s="13"/>
    </row>
    <row r="575" spans="1:17" x14ac:dyDescent="0.3">
      <c r="A575" s="1">
        <f t="shared" si="159"/>
        <v>29</v>
      </c>
      <c r="B575" s="4" t="s">
        <v>528</v>
      </c>
      <c r="C575" s="3" t="s">
        <v>441</v>
      </c>
      <c r="D575" s="12" t="s">
        <v>40</v>
      </c>
      <c r="E575" s="12" t="s">
        <v>40</v>
      </c>
      <c r="F575" s="12"/>
      <c r="G575" s="12"/>
      <c r="H575" s="12"/>
      <c r="I575" s="12"/>
      <c r="J575" s="12"/>
      <c r="K575" s="12"/>
      <c r="L575" s="12">
        <v>27000</v>
      </c>
      <c r="M575" s="15">
        <f t="shared" si="160"/>
        <v>2</v>
      </c>
      <c r="N575" s="15">
        <f t="shared" si="161"/>
        <v>0</v>
      </c>
      <c r="O575" s="12">
        <v>27000</v>
      </c>
      <c r="P575" s="12">
        <f t="shared" si="163"/>
        <v>2250</v>
      </c>
      <c r="Q575" s="12">
        <f t="shared" si="164"/>
        <v>2250</v>
      </c>
    </row>
    <row r="576" spans="1:17" x14ac:dyDescent="0.3">
      <c r="A576" s="1">
        <f t="shared" si="159"/>
        <v>30</v>
      </c>
      <c r="B576" s="2" t="s">
        <v>529</v>
      </c>
      <c r="C576" s="3" t="s">
        <v>441</v>
      </c>
      <c r="D576" s="12" t="s">
        <v>40</v>
      </c>
      <c r="E576" s="12"/>
      <c r="F576" s="12"/>
      <c r="G576" s="12"/>
      <c r="H576" s="12"/>
      <c r="I576" s="12"/>
      <c r="J576" s="12"/>
      <c r="K576" s="12"/>
      <c r="L576" s="12">
        <v>18000</v>
      </c>
      <c r="M576" s="15">
        <f>+IF(D576="X",1,0)+IF(E576="X",1,0)+IF(F576="X",2,0)+IF(G576="X",2,0)+IF(H576="X",3,IF(H576="Y",1.5,0))+IF(I576="X",5,IF(I576="Y",2.5,0))+IF(J576="X",10,IF(J576="Y",5,0))</f>
        <v>1</v>
      </c>
      <c r="N576" s="15">
        <f>+IF(K576="X",1,0)</f>
        <v>0</v>
      </c>
      <c r="O576" s="12">
        <v>18000</v>
      </c>
      <c r="P576" s="12">
        <f>+L576/12</f>
        <v>1500</v>
      </c>
      <c r="Q576" s="12">
        <f>+O576/12</f>
        <v>1500</v>
      </c>
    </row>
    <row r="577" spans="1:18" x14ac:dyDescent="0.3">
      <c r="B577" s="29"/>
      <c r="L577" s="14">
        <f>+AVERAGE(L549:L575)</f>
        <v>57714.66</v>
      </c>
      <c r="M577" s="14">
        <f>+AVERAGE(M549:M575)</f>
        <v>5.2666666666666666</v>
      </c>
      <c r="N577" s="14">
        <f>+SUM(N549:N575)</f>
        <v>0</v>
      </c>
      <c r="O577" s="14">
        <f>+AVERAGE(O549:O575)</f>
        <v>56460.575000000004</v>
      </c>
      <c r="P577" s="14">
        <f>+AVERAGE(P549:P575)</f>
        <v>4809.5549999999985</v>
      </c>
      <c r="Q577" s="14">
        <f>+AVERAGE(Q549:Q575)</f>
        <v>4705.0479166666664</v>
      </c>
      <c r="R577" s="14">
        <f>30-COUNTBLANK(R547:R576)</f>
        <v>0</v>
      </c>
    </row>
    <row r="578" spans="1:18" x14ac:dyDescent="0.3">
      <c r="L578" s="14">
        <f>+STDEV(L549:L575)</f>
        <v>53733.150258393958</v>
      </c>
      <c r="M578" s="14">
        <f>+STDEV(M549:M575)</f>
        <v>4.905778905196061</v>
      </c>
      <c r="N578" s="17"/>
      <c r="O578" s="14">
        <f>+STDEV(O549:O575)</f>
        <v>38982.61406930774</v>
      </c>
      <c r="P578" s="14">
        <f>+STDEV(P549:P575)</f>
        <v>4477.7625215328317</v>
      </c>
      <c r="Q578" s="14">
        <f>+STDEV(Q549:Q575)</f>
        <v>3248.5511724423136</v>
      </c>
    </row>
    <row r="579" spans="1:18" x14ac:dyDescent="0.3">
      <c r="I579" s="15"/>
      <c r="J579" s="15"/>
      <c r="K579" s="11" t="s">
        <v>75</v>
      </c>
      <c r="L579" s="14">
        <f>+COUNTIF(L549:L575,0)</f>
        <v>2</v>
      </c>
      <c r="M579" s="14">
        <f>+COUNT(M547:M576)</f>
        <v>18</v>
      </c>
      <c r="P579" s="14">
        <f>+COUNTIF(P549:P575,0)</f>
        <v>2</v>
      </c>
    </row>
    <row r="581" spans="1:18" x14ac:dyDescent="0.3">
      <c r="A581" s="1">
        <v>1</v>
      </c>
      <c r="B581" s="2" t="s">
        <v>552</v>
      </c>
      <c r="C581" s="3" t="s">
        <v>442</v>
      </c>
      <c r="D581" s="12" t="s">
        <v>40</v>
      </c>
      <c r="E581" s="12" t="s">
        <v>40</v>
      </c>
      <c r="F581" s="12"/>
      <c r="G581" s="12"/>
      <c r="H581" s="12" t="s">
        <v>40</v>
      </c>
      <c r="I581" s="12" t="s">
        <v>40</v>
      </c>
      <c r="J581" s="12"/>
      <c r="K581" s="12"/>
      <c r="L581" s="12">
        <v>843009</v>
      </c>
      <c r="M581" s="15">
        <f>+IF(D581="X",1,0)+IF(E581="X",1,0)+IF(F581="X",2,0)+IF(G581="X",2,0)+IF(H581="X",3,IF(H581="Y",1.5,0))+IF(I581="X",5,IF(I581="Y",2.5,0))+IF(J581="X",10,IF(J581="Y",5,0))</f>
        <v>10</v>
      </c>
      <c r="N581" s="15">
        <f>+IF(K581="X",1,0)</f>
        <v>0</v>
      </c>
      <c r="O581" s="20"/>
      <c r="P581" s="12">
        <f t="shared" ref="P581" si="165">+L581/12</f>
        <v>70250.75</v>
      </c>
      <c r="Q581" s="20"/>
    </row>
    <row r="582" spans="1:18" x14ac:dyDescent="0.3">
      <c r="A582" s="1">
        <f>+A581+1</f>
        <v>2</v>
      </c>
      <c r="B582" s="2" t="s">
        <v>553</v>
      </c>
      <c r="C582" s="3" t="s">
        <v>442</v>
      </c>
      <c r="D582" s="12" t="s">
        <v>40</v>
      </c>
      <c r="E582" s="12" t="s">
        <v>40</v>
      </c>
      <c r="F582" s="12"/>
      <c r="G582" s="12"/>
      <c r="H582" s="12" t="s">
        <v>40</v>
      </c>
      <c r="I582" s="12"/>
      <c r="J582" s="12"/>
      <c r="K582" s="12"/>
      <c r="L582" s="12">
        <v>423249.6</v>
      </c>
      <c r="M582" s="15">
        <f t="shared" ref="M582:M610" si="166">+IF(D582="X",1,0)+IF(E582="X",1,0)+IF(F582="X",2,0)+IF(G582="X",2,0)+IF(H582="X",3,IF(H582="Y",1.5,0))+IF(I582="X",5,IF(I582="Y",2.5,0))+IF(J582="X",10,IF(J582="Y",5,0))</f>
        <v>5</v>
      </c>
      <c r="N582" s="15">
        <f t="shared" ref="N582:N610" si="167">+IF(K582="X",1,0)</f>
        <v>0</v>
      </c>
      <c r="O582" s="12">
        <v>423249.6</v>
      </c>
      <c r="P582" s="12">
        <f t="shared" ref="P582:P610" si="168">+L582/12</f>
        <v>35270.799999999996</v>
      </c>
      <c r="Q582" s="12">
        <f t="shared" ref="Q582:Q607" si="169">+O582/12</f>
        <v>35270.799999999996</v>
      </c>
      <c r="R582" t="s">
        <v>555</v>
      </c>
    </row>
    <row r="583" spans="1:18" x14ac:dyDescent="0.3">
      <c r="A583" s="1">
        <f t="shared" ref="A583:A610" si="170">+A582+1</f>
        <v>3</v>
      </c>
      <c r="B583" s="2" t="s">
        <v>556</v>
      </c>
      <c r="C583" s="3" t="s">
        <v>442</v>
      </c>
      <c r="D583" s="12" t="s">
        <v>40</v>
      </c>
      <c r="E583" s="12" t="s">
        <v>40</v>
      </c>
      <c r="F583" s="12"/>
      <c r="G583" s="12"/>
      <c r="H583" s="12" t="s">
        <v>40</v>
      </c>
      <c r="I583" s="12" t="s">
        <v>40</v>
      </c>
      <c r="J583" s="12"/>
      <c r="K583" s="12"/>
      <c r="L583" s="12">
        <v>351600</v>
      </c>
      <c r="M583" s="15">
        <f t="shared" si="166"/>
        <v>10</v>
      </c>
      <c r="N583" s="15">
        <f t="shared" si="167"/>
        <v>0</v>
      </c>
      <c r="O583" s="12">
        <v>351600</v>
      </c>
      <c r="P583" s="12">
        <f t="shared" si="168"/>
        <v>29300</v>
      </c>
      <c r="Q583" s="12">
        <f t="shared" si="169"/>
        <v>29300</v>
      </c>
      <c r="R583" t="s">
        <v>554</v>
      </c>
    </row>
    <row r="584" spans="1:18" x14ac:dyDescent="0.3">
      <c r="A584" s="1">
        <f t="shared" si="170"/>
        <v>4</v>
      </c>
      <c r="B584" s="2" t="s">
        <v>557</v>
      </c>
      <c r="C584" s="3" t="s">
        <v>442</v>
      </c>
      <c r="D584" s="12" t="s">
        <v>40</v>
      </c>
      <c r="E584" s="12" t="s">
        <v>40</v>
      </c>
      <c r="F584" s="12"/>
      <c r="G584" s="12"/>
      <c r="H584" s="12" t="s">
        <v>40</v>
      </c>
      <c r="I584" s="12"/>
      <c r="J584" s="12" t="s">
        <v>40</v>
      </c>
      <c r="K584" s="12"/>
      <c r="L584" s="12">
        <v>130130</v>
      </c>
      <c r="M584" s="15">
        <f t="shared" si="166"/>
        <v>15</v>
      </c>
      <c r="N584" s="15">
        <f t="shared" si="167"/>
        <v>0</v>
      </c>
      <c r="O584" s="12">
        <v>130130</v>
      </c>
      <c r="P584" s="12">
        <f t="shared" si="168"/>
        <v>10844.166666666666</v>
      </c>
      <c r="Q584" s="12">
        <f t="shared" si="169"/>
        <v>10844.166666666666</v>
      </c>
    </row>
    <row r="585" spans="1:18" x14ac:dyDescent="0.3">
      <c r="A585" s="1">
        <f t="shared" si="170"/>
        <v>5</v>
      </c>
      <c r="B585" s="2" t="s">
        <v>558</v>
      </c>
      <c r="C585" s="3" t="s">
        <v>442</v>
      </c>
      <c r="D585" s="12" t="s">
        <v>40</v>
      </c>
      <c r="E585" s="12" t="s">
        <v>40</v>
      </c>
      <c r="F585" s="12"/>
      <c r="G585" s="12"/>
      <c r="H585" s="12"/>
      <c r="I585" s="12"/>
      <c r="J585" s="12"/>
      <c r="K585" s="12"/>
      <c r="L585" s="12">
        <v>394953</v>
      </c>
      <c r="M585" s="15">
        <f t="shared" si="166"/>
        <v>2</v>
      </c>
      <c r="N585" s="15">
        <f t="shared" si="167"/>
        <v>0</v>
      </c>
      <c r="O585" s="12">
        <v>394953</v>
      </c>
      <c r="P585" s="12">
        <f t="shared" si="168"/>
        <v>32912.75</v>
      </c>
      <c r="Q585" s="12">
        <f t="shared" si="169"/>
        <v>32912.75</v>
      </c>
    </row>
    <row r="586" spans="1:18" x14ac:dyDescent="0.3">
      <c r="A586" s="1">
        <f t="shared" si="170"/>
        <v>6</v>
      </c>
      <c r="B586" s="2" t="s">
        <v>559</v>
      </c>
      <c r="C586" s="3" t="s">
        <v>442</v>
      </c>
      <c r="D586" s="12" t="s">
        <v>40</v>
      </c>
      <c r="E586" s="12" t="s">
        <v>40</v>
      </c>
      <c r="F586" s="12"/>
      <c r="G586" s="12"/>
      <c r="H586" s="12" t="s">
        <v>40</v>
      </c>
      <c r="I586" s="12"/>
      <c r="J586" s="12"/>
      <c r="K586" s="12"/>
      <c r="L586" s="12">
        <v>169670</v>
      </c>
      <c r="M586" s="15">
        <f t="shared" si="166"/>
        <v>5</v>
      </c>
      <c r="N586" s="15">
        <f t="shared" si="167"/>
        <v>0</v>
      </c>
      <c r="O586" s="12">
        <v>169670</v>
      </c>
      <c r="P586" s="12">
        <f t="shared" si="168"/>
        <v>14139.166666666666</v>
      </c>
      <c r="Q586" s="12">
        <f t="shared" si="169"/>
        <v>14139.166666666666</v>
      </c>
    </row>
    <row r="587" spans="1:18" x14ac:dyDescent="0.3">
      <c r="A587" s="1">
        <f t="shared" si="170"/>
        <v>7</v>
      </c>
      <c r="B587" s="2" t="s">
        <v>560</v>
      </c>
      <c r="C587" s="3" t="s">
        <v>442</v>
      </c>
      <c r="D587" s="12" t="s">
        <v>40</v>
      </c>
      <c r="E587" s="12" t="s">
        <v>40</v>
      </c>
      <c r="F587" s="12"/>
      <c r="G587" s="12"/>
      <c r="H587" s="12" t="s">
        <v>40</v>
      </c>
      <c r="I587" s="12" t="s">
        <v>40</v>
      </c>
      <c r="J587" s="12" t="s">
        <v>40</v>
      </c>
      <c r="K587" s="12"/>
      <c r="L587" s="12">
        <v>0</v>
      </c>
      <c r="M587" s="15">
        <f t="shared" si="166"/>
        <v>20</v>
      </c>
      <c r="N587" s="15">
        <f t="shared" si="167"/>
        <v>0</v>
      </c>
      <c r="O587" s="20"/>
      <c r="P587" s="12">
        <f t="shared" si="168"/>
        <v>0</v>
      </c>
      <c r="Q587" s="20"/>
    </row>
    <row r="588" spans="1:18" x14ac:dyDescent="0.3">
      <c r="A588" s="1">
        <f t="shared" si="170"/>
        <v>8</v>
      </c>
      <c r="B588" s="2" t="s">
        <v>561</v>
      </c>
      <c r="C588" s="3" t="s">
        <v>442</v>
      </c>
      <c r="D588" s="12" t="s">
        <v>40</v>
      </c>
      <c r="E588" s="12" t="s">
        <v>40</v>
      </c>
      <c r="F588" s="12"/>
      <c r="G588" s="12"/>
      <c r="H588" s="12" t="s">
        <v>40</v>
      </c>
      <c r="I588" s="12"/>
      <c r="J588" s="12"/>
      <c r="K588" s="12"/>
      <c r="L588" s="12">
        <v>121824.82</v>
      </c>
      <c r="M588" s="15">
        <f t="shared" si="166"/>
        <v>5</v>
      </c>
      <c r="N588" s="15">
        <f t="shared" si="167"/>
        <v>0</v>
      </c>
      <c r="O588" s="12">
        <v>121824.82</v>
      </c>
      <c r="P588" s="12">
        <f t="shared" si="168"/>
        <v>10152.068333333335</v>
      </c>
      <c r="Q588" s="12">
        <f t="shared" si="169"/>
        <v>10152.068333333335</v>
      </c>
    </row>
    <row r="589" spans="1:18" x14ac:dyDescent="0.3">
      <c r="A589" s="1">
        <f t="shared" si="170"/>
        <v>9</v>
      </c>
      <c r="B589" s="2" t="s">
        <v>562</v>
      </c>
      <c r="C589" s="3" t="s">
        <v>442</v>
      </c>
      <c r="D589" s="12" t="s">
        <v>40</v>
      </c>
      <c r="E589" s="12" t="s">
        <v>40</v>
      </c>
      <c r="F589" s="12"/>
      <c r="G589" s="12"/>
      <c r="H589" s="12" t="s">
        <v>40</v>
      </c>
      <c r="I589" s="12" t="s">
        <v>40</v>
      </c>
      <c r="J589" s="12" t="s">
        <v>40</v>
      </c>
      <c r="K589" s="12"/>
      <c r="L589" s="12">
        <v>429659</v>
      </c>
      <c r="M589" s="15">
        <f t="shared" si="166"/>
        <v>20</v>
      </c>
      <c r="N589" s="15">
        <f t="shared" si="167"/>
        <v>0</v>
      </c>
      <c r="O589" s="12">
        <v>429659</v>
      </c>
      <c r="P589" s="12">
        <f t="shared" si="168"/>
        <v>35804.916666666664</v>
      </c>
      <c r="Q589" s="12">
        <f t="shared" si="169"/>
        <v>35804.916666666664</v>
      </c>
    </row>
    <row r="590" spans="1:18" x14ac:dyDescent="0.3">
      <c r="A590" s="1">
        <f t="shared" si="170"/>
        <v>10</v>
      </c>
      <c r="B590" s="2" t="s">
        <v>563</v>
      </c>
      <c r="C590" s="3" t="s">
        <v>442</v>
      </c>
      <c r="D590" s="12" t="s">
        <v>40</v>
      </c>
      <c r="E590" s="12" t="s">
        <v>40</v>
      </c>
      <c r="F590" s="12"/>
      <c r="G590" s="12"/>
      <c r="H590" s="12" t="s">
        <v>40</v>
      </c>
      <c r="I590" s="12"/>
      <c r="J590" s="12"/>
      <c r="K590" s="12"/>
      <c r="L590" s="12">
        <v>0</v>
      </c>
      <c r="M590" s="15">
        <f t="shared" si="166"/>
        <v>5</v>
      </c>
      <c r="N590" s="15">
        <f t="shared" si="167"/>
        <v>0</v>
      </c>
      <c r="O590" s="20"/>
      <c r="P590" s="12">
        <f t="shared" si="168"/>
        <v>0</v>
      </c>
      <c r="Q590" s="20"/>
    </row>
    <row r="591" spans="1:18" x14ac:dyDescent="0.3">
      <c r="A591" s="1">
        <f t="shared" si="170"/>
        <v>11</v>
      </c>
      <c r="B591" s="2" t="s">
        <v>564</v>
      </c>
      <c r="C591" s="3" t="s">
        <v>442</v>
      </c>
      <c r="D591" s="12" t="s">
        <v>40</v>
      </c>
      <c r="E591" s="12" t="s">
        <v>40</v>
      </c>
      <c r="F591" s="12"/>
      <c r="G591" s="12"/>
      <c r="H591" s="12" t="s">
        <v>40</v>
      </c>
      <c r="I591" s="12" t="s">
        <v>40</v>
      </c>
      <c r="J591" s="12"/>
      <c r="K591" s="12"/>
      <c r="L591" s="12">
        <v>274560</v>
      </c>
      <c r="M591" s="15">
        <f t="shared" si="166"/>
        <v>10</v>
      </c>
      <c r="N591" s="15">
        <f t="shared" si="167"/>
        <v>0</v>
      </c>
      <c r="O591" s="12">
        <v>274560</v>
      </c>
      <c r="P591" s="12">
        <f t="shared" si="168"/>
        <v>22880</v>
      </c>
      <c r="Q591" s="12">
        <f t="shared" si="169"/>
        <v>22880</v>
      </c>
    </row>
    <row r="592" spans="1:18" x14ac:dyDescent="0.3">
      <c r="A592" s="1">
        <f t="shared" si="170"/>
        <v>12</v>
      </c>
      <c r="B592" s="18" t="s">
        <v>565</v>
      </c>
      <c r="C592" s="3" t="s">
        <v>442</v>
      </c>
      <c r="D592" s="12" t="s">
        <v>40</v>
      </c>
      <c r="E592" s="12" t="s">
        <v>40</v>
      </c>
      <c r="F592" s="12"/>
      <c r="G592" s="12"/>
      <c r="H592" s="12"/>
      <c r="I592" s="12"/>
      <c r="J592" s="12"/>
      <c r="K592" s="12"/>
      <c r="L592" s="12">
        <v>0</v>
      </c>
      <c r="M592" s="15">
        <f t="shared" si="166"/>
        <v>2</v>
      </c>
      <c r="N592" s="15">
        <f t="shared" si="167"/>
        <v>0</v>
      </c>
      <c r="O592" s="20"/>
      <c r="P592" s="12">
        <f t="shared" si="168"/>
        <v>0</v>
      </c>
      <c r="Q592" s="20"/>
    </row>
    <row r="593" spans="1:17" x14ac:dyDescent="0.3">
      <c r="A593" s="1">
        <f t="shared" si="170"/>
        <v>13</v>
      </c>
      <c r="B593" s="10"/>
      <c r="C593" s="9"/>
      <c r="D593" s="13"/>
      <c r="E593" s="13"/>
      <c r="F593" s="13"/>
      <c r="G593" s="13"/>
      <c r="H593" s="13"/>
      <c r="I593" s="13"/>
      <c r="J593" s="13"/>
      <c r="K593" s="13"/>
      <c r="L593" s="13"/>
      <c r="M593" s="16"/>
      <c r="N593" s="16"/>
      <c r="O593" s="13"/>
      <c r="P593" s="13"/>
      <c r="Q593" s="13"/>
    </row>
    <row r="594" spans="1:17" x14ac:dyDescent="0.3">
      <c r="A594" s="1">
        <f t="shared" si="170"/>
        <v>14</v>
      </c>
      <c r="B594" s="10"/>
      <c r="C594" s="9"/>
      <c r="D594" s="13"/>
      <c r="E594" s="13"/>
      <c r="F594" s="13"/>
      <c r="G594" s="13"/>
      <c r="H594" s="13"/>
      <c r="I594" s="13"/>
      <c r="J594" s="13"/>
      <c r="K594" s="13"/>
      <c r="L594" s="13"/>
      <c r="M594" s="16"/>
      <c r="N594" s="16"/>
      <c r="O594" s="13"/>
      <c r="P594" s="13"/>
      <c r="Q594" s="13"/>
    </row>
    <row r="595" spans="1:17" x14ac:dyDescent="0.3">
      <c r="A595" s="1">
        <f t="shared" si="170"/>
        <v>15</v>
      </c>
      <c r="B595" s="2" t="s">
        <v>566</v>
      </c>
      <c r="C595" s="3" t="s">
        <v>442</v>
      </c>
      <c r="D595" s="12" t="s">
        <v>40</v>
      </c>
      <c r="E595" s="12" t="s">
        <v>40</v>
      </c>
      <c r="F595" s="12"/>
      <c r="G595" s="12"/>
      <c r="H595" s="12" t="s">
        <v>40</v>
      </c>
      <c r="I595" s="12" t="s">
        <v>40</v>
      </c>
      <c r="J595" s="12" t="s">
        <v>40</v>
      </c>
      <c r="K595" s="12"/>
      <c r="L595" s="12">
        <v>128861.91</v>
      </c>
      <c r="M595" s="15">
        <f t="shared" si="166"/>
        <v>20</v>
      </c>
      <c r="N595" s="15">
        <f t="shared" si="167"/>
        <v>0</v>
      </c>
      <c r="O595" s="12">
        <v>128861.91</v>
      </c>
      <c r="P595" s="12">
        <f t="shared" si="168"/>
        <v>10738.4925</v>
      </c>
      <c r="Q595" s="12">
        <f t="shared" si="169"/>
        <v>10738.4925</v>
      </c>
    </row>
    <row r="596" spans="1:17" x14ac:dyDescent="0.3">
      <c r="A596" s="1">
        <f t="shared" si="170"/>
        <v>16</v>
      </c>
      <c r="B596" s="2" t="s">
        <v>567</v>
      </c>
      <c r="C596" s="3" t="s">
        <v>442</v>
      </c>
      <c r="D596" s="12" t="s">
        <v>40</v>
      </c>
      <c r="E596" s="12" t="s">
        <v>40</v>
      </c>
      <c r="F596" s="12"/>
      <c r="G596" s="12"/>
      <c r="H596" s="12"/>
      <c r="I596" s="12"/>
      <c r="J596" s="12"/>
      <c r="K596" s="12"/>
      <c r="L596" s="12">
        <v>0</v>
      </c>
      <c r="M596" s="15">
        <f t="shared" si="166"/>
        <v>2</v>
      </c>
      <c r="N596" s="15">
        <f t="shared" si="167"/>
        <v>0</v>
      </c>
      <c r="O596" s="20"/>
      <c r="P596" s="12">
        <f t="shared" si="168"/>
        <v>0</v>
      </c>
      <c r="Q596" s="20"/>
    </row>
    <row r="597" spans="1:17" x14ac:dyDescent="0.3">
      <c r="A597" s="1">
        <f t="shared" si="170"/>
        <v>17</v>
      </c>
      <c r="B597" s="2" t="s">
        <v>568</v>
      </c>
      <c r="C597" s="3" t="s">
        <v>442</v>
      </c>
      <c r="D597" s="12" t="s">
        <v>40</v>
      </c>
      <c r="E597" s="12" t="s">
        <v>40</v>
      </c>
      <c r="F597" s="12"/>
      <c r="G597" s="12"/>
      <c r="H597" s="12" t="s">
        <v>40</v>
      </c>
      <c r="I597" s="12"/>
      <c r="J597" s="12"/>
      <c r="K597" s="12"/>
      <c r="L597" s="12">
        <v>488451</v>
      </c>
      <c r="M597" s="15">
        <f t="shared" si="166"/>
        <v>5</v>
      </c>
      <c r="N597" s="15">
        <f t="shared" si="167"/>
        <v>0</v>
      </c>
      <c r="O597" s="12">
        <v>488451</v>
      </c>
      <c r="P597" s="12">
        <f t="shared" si="168"/>
        <v>40704.25</v>
      </c>
      <c r="Q597" s="12">
        <f t="shared" si="169"/>
        <v>40704.25</v>
      </c>
    </row>
    <row r="598" spans="1:17" x14ac:dyDescent="0.3">
      <c r="A598" s="1">
        <f t="shared" si="170"/>
        <v>18</v>
      </c>
      <c r="B598" s="2" t="s">
        <v>569</v>
      </c>
      <c r="C598" s="3" t="s">
        <v>442</v>
      </c>
      <c r="D598" s="12" t="s">
        <v>40</v>
      </c>
      <c r="E598" s="12" t="s">
        <v>40</v>
      </c>
      <c r="F598" s="12"/>
      <c r="G598" s="12"/>
      <c r="H598" s="12"/>
      <c r="I598" s="12"/>
      <c r="J598" s="12"/>
      <c r="K598" s="12"/>
      <c r="L598" s="12">
        <v>0</v>
      </c>
      <c r="M598" s="15">
        <f t="shared" si="166"/>
        <v>2</v>
      </c>
      <c r="N598" s="15">
        <f t="shared" si="167"/>
        <v>0</v>
      </c>
      <c r="O598" s="20"/>
      <c r="P598" s="12">
        <f t="shared" si="168"/>
        <v>0</v>
      </c>
      <c r="Q598" s="20"/>
    </row>
    <row r="599" spans="1:17" x14ac:dyDescent="0.3">
      <c r="A599" s="1">
        <f t="shared" si="170"/>
        <v>19</v>
      </c>
      <c r="B599" s="2" t="s">
        <v>570</v>
      </c>
      <c r="C599" s="3" t="s">
        <v>442</v>
      </c>
      <c r="D599" s="12" t="s">
        <v>40</v>
      </c>
      <c r="E599" s="12" t="s">
        <v>40</v>
      </c>
      <c r="F599" s="12"/>
      <c r="G599" s="12"/>
      <c r="H599" s="12" t="s">
        <v>40</v>
      </c>
      <c r="I599" s="12"/>
      <c r="J599" s="12"/>
      <c r="K599" s="12"/>
      <c r="L599" s="12">
        <v>43601</v>
      </c>
      <c r="M599" s="15">
        <f t="shared" si="166"/>
        <v>5</v>
      </c>
      <c r="N599" s="15">
        <f t="shared" si="167"/>
        <v>0</v>
      </c>
      <c r="O599" s="12">
        <v>43601</v>
      </c>
      <c r="P599" s="12">
        <f t="shared" si="168"/>
        <v>3633.4166666666665</v>
      </c>
      <c r="Q599" s="12">
        <f t="shared" si="169"/>
        <v>3633.4166666666665</v>
      </c>
    </row>
    <row r="600" spans="1:17" x14ac:dyDescent="0.3">
      <c r="A600" s="1">
        <f t="shared" si="170"/>
        <v>20</v>
      </c>
      <c r="B600" s="10"/>
      <c r="C600" s="9"/>
      <c r="D600" s="13"/>
      <c r="E600" s="13"/>
      <c r="F600" s="13"/>
      <c r="G600" s="13"/>
      <c r="H600" s="13"/>
      <c r="I600" s="13"/>
      <c r="J600" s="13"/>
      <c r="K600" s="13"/>
      <c r="L600" s="13"/>
      <c r="M600" s="16"/>
      <c r="N600" s="16"/>
      <c r="O600" s="13"/>
      <c r="P600" s="13"/>
      <c r="Q600" s="13"/>
    </row>
    <row r="601" spans="1:17" x14ac:dyDescent="0.3">
      <c r="A601" s="1">
        <f t="shared" si="170"/>
        <v>21</v>
      </c>
      <c r="B601" s="2" t="s">
        <v>571</v>
      </c>
      <c r="C601" s="3" t="s">
        <v>442</v>
      </c>
      <c r="D601" s="12" t="s">
        <v>40</v>
      </c>
      <c r="E601" s="12" t="s">
        <v>40</v>
      </c>
      <c r="F601" s="12"/>
      <c r="G601" s="12"/>
      <c r="H601" s="12" t="s">
        <v>40</v>
      </c>
      <c r="I601" s="12"/>
      <c r="J601" s="12"/>
      <c r="K601" s="12"/>
      <c r="L601" s="12">
        <v>132577</v>
      </c>
      <c r="M601" s="15">
        <f t="shared" si="166"/>
        <v>5</v>
      </c>
      <c r="N601" s="15">
        <f t="shared" si="167"/>
        <v>0</v>
      </c>
      <c r="O601" s="12">
        <v>132577</v>
      </c>
      <c r="P601" s="12">
        <f t="shared" si="168"/>
        <v>11048.083333333334</v>
      </c>
      <c r="Q601" s="12">
        <f t="shared" si="169"/>
        <v>11048.083333333334</v>
      </c>
    </row>
    <row r="602" spans="1:17" x14ac:dyDescent="0.3">
      <c r="A602" s="1">
        <f t="shared" si="170"/>
        <v>22</v>
      </c>
      <c r="B602" s="2" t="s">
        <v>572</v>
      </c>
      <c r="C602" s="3" t="s">
        <v>442</v>
      </c>
      <c r="D602" s="12" t="s">
        <v>40</v>
      </c>
      <c r="E602" s="12" t="s">
        <v>40</v>
      </c>
      <c r="F602" s="12"/>
      <c r="G602" s="12"/>
      <c r="H602" s="12"/>
      <c r="I602" s="12"/>
      <c r="J602" s="12"/>
      <c r="K602" s="12"/>
      <c r="L602" s="12">
        <v>0</v>
      </c>
      <c r="M602" s="15">
        <f t="shared" si="166"/>
        <v>2</v>
      </c>
      <c r="N602" s="15">
        <f t="shared" si="167"/>
        <v>0</v>
      </c>
      <c r="O602" s="20"/>
      <c r="P602" s="12">
        <f t="shared" si="168"/>
        <v>0</v>
      </c>
      <c r="Q602" s="20"/>
    </row>
    <row r="603" spans="1:17" x14ac:dyDescent="0.3">
      <c r="A603" s="1">
        <f t="shared" si="170"/>
        <v>23</v>
      </c>
      <c r="B603" s="2" t="s">
        <v>573</v>
      </c>
      <c r="C603" s="3" t="s">
        <v>442</v>
      </c>
      <c r="D603" s="12" t="s">
        <v>40</v>
      </c>
      <c r="E603" s="12" t="s">
        <v>40</v>
      </c>
      <c r="F603" s="12"/>
      <c r="G603" s="12"/>
      <c r="H603" s="12" t="s">
        <v>40</v>
      </c>
      <c r="I603" s="12" t="s">
        <v>40</v>
      </c>
      <c r="J603" s="12" t="s">
        <v>40</v>
      </c>
      <c r="K603" s="12"/>
      <c r="L603" s="12">
        <v>204000</v>
      </c>
      <c r="M603" s="15">
        <f t="shared" si="166"/>
        <v>20</v>
      </c>
      <c r="N603" s="15">
        <f t="shared" si="167"/>
        <v>0</v>
      </c>
      <c r="O603" s="12">
        <v>204000</v>
      </c>
      <c r="P603" s="12">
        <f t="shared" si="168"/>
        <v>17000</v>
      </c>
      <c r="Q603" s="12">
        <f t="shared" si="169"/>
        <v>17000</v>
      </c>
    </row>
    <row r="604" spans="1:17" x14ac:dyDescent="0.3">
      <c r="A604" s="1">
        <f t="shared" si="170"/>
        <v>24</v>
      </c>
      <c r="B604" s="10"/>
      <c r="C604" s="9"/>
      <c r="D604" s="13"/>
      <c r="E604" s="13"/>
      <c r="F604" s="13"/>
      <c r="G604" s="13"/>
      <c r="H604" s="13"/>
      <c r="I604" s="13"/>
      <c r="J604" s="13"/>
      <c r="K604" s="13"/>
      <c r="L604" s="13"/>
      <c r="M604" s="16"/>
      <c r="N604" s="16"/>
      <c r="O604" s="13"/>
      <c r="P604" s="13"/>
      <c r="Q604" s="13"/>
    </row>
    <row r="605" spans="1:17" x14ac:dyDescent="0.3">
      <c r="A605" s="1">
        <f t="shared" si="170"/>
        <v>25</v>
      </c>
      <c r="B605" s="10"/>
      <c r="C605" s="9"/>
      <c r="D605" s="13"/>
      <c r="E605" s="13"/>
      <c r="F605" s="13"/>
      <c r="G605" s="13"/>
      <c r="H605" s="13"/>
      <c r="I605" s="13"/>
      <c r="J605" s="13"/>
      <c r="K605" s="13"/>
      <c r="L605" s="13"/>
      <c r="M605" s="16"/>
      <c r="N605" s="16"/>
      <c r="O605" s="13"/>
      <c r="P605" s="13"/>
      <c r="Q605" s="13"/>
    </row>
    <row r="606" spans="1:17" x14ac:dyDescent="0.3">
      <c r="A606" s="1">
        <f t="shared" si="170"/>
        <v>26</v>
      </c>
      <c r="B606" s="2" t="s">
        <v>574</v>
      </c>
      <c r="C606" s="3" t="s">
        <v>442</v>
      </c>
      <c r="D606" s="12" t="s">
        <v>40</v>
      </c>
      <c r="E606" s="12" t="s">
        <v>40</v>
      </c>
      <c r="F606" s="12"/>
      <c r="G606" s="12"/>
      <c r="H606" s="12" t="s">
        <v>40</v>
      </c>
      <c r="I606" s="12" t="s">
        <v>40</v>
      </c>
      <c r="J606" s="12"/>
      <c r="K606" s="12"/>
      <c r="L606" s="12">
        <v>0</v>
      </c>
      <c r="M606" s="15">
        <f t="shared" si="166"/>
        <v>10</v>
      </c>
      <c r="N606" s="15">
        <f t="shared" si="167"/>
        <v>0</v>
      </c>
      <c r="O606" s="20"/>
      <c r="P606" s="12">
        <f t="shared" ref="P606" si="171">+L606/12</f>
        <v>0</v>
      </c>
      <c r="Q606" s="20"/>
    </row>
    <row r="607" spans="1:17" x14ac:dyDescent="0.3">
      <c r="A607" s="1">
        <f t="shared" si="170"/>
        <v>27</v>
      </c>
      <c r="B607" s="2" t="s">
        <v>575</v>
      </c>
      <c r="C607" s="3" t="s">
        <v>442</v>
      </c>
      <c r="D607" s="12" t="s">
        <v>40</v>
      </c>
      <c r="E607" s="12" t="s">
        <v>40</v>
      </c>
      <c r="F607" s="12"/>
      <c r="G607" s="12"/>
      <c r="H607" s="12" t="s">
        <v>40</v>
      </c>
      <c r="I607" s="12"/>
      <c r="J607" s="12"/>
      <c r="K607" s="12"/>
      <c r="L607" s="12">
        <v>86880</v>
      </c>
      <c r="M607" s="15">
        <f t="shared" si="166"/>
        <v>5</v>
      </c>
      <c r="N607" s="15">
        <f t="shared" si="167"/>
        <v>0</v>
      </c>
      <c r="O607" s="12">
        <v>86880</v>
      </c>
      <c r="P607" s="12">
        <f t="shared" si="168"/>
        <v>7240</v>
      </c>
      <c r="Q607" s="12">
        <f t="shared" si="169"/>
        <v>7240</v>
      </c>
    </row>
    <row r="608" spans="1:17" x14ac:dyDescent="0.3">
      <c r="A608" s="1">
        <f t="shared" si="170"/>
        <v>28</v>
      </c>
      <c r="B608" s="18" t="s">
        <v>576</v>
      </c>
      <c r="C608" s="3" t="s">
        <v>442</v>
      </c>
      <c r="D608" s="12" t="s">
        <v>40</v>
      </c>
      <c r="E608" s="12" t="s">
        <v>40</v>
      </c>
      <c r="F608" s="12"/>
      <c r="G608" s="12"/>
      <c r="H608" s="12"/>
      <c r="I608" s="12"/>
      <c r="J608" s="12"/>
      <c r="K608" s="12"/>
      <c r="L608" s="12">
        <v>0</v>
      </c>
      <c r="M608" s="15">
        <f t="shared" si="166"/>
        <v>2</v>
      </c>
      <c r="N608" s="15">
        <f t="shared" si="167"/>
        <v>0</v>
      </c>
      <c r="O608" s="20"/>
      <c r="P608" s="12">
        <f t="shared" si="168"/>
        <v>0</v>
      </c>
      <c r="Q608" s="20"/>
    </row>
    <row r="609" spans="1:18" x14ac:dyDescent="0.3">
      <c r="A609" s="1">
        <f t="shared" si="170"/>
        <v>29</v>
      </c>
      <c r="B609" s="2" t="s">
        <v>577</v>
      </c>
      <c r="C609" s="3" t="s">
        <v>442</v>
      </c>
      <c r="D609" s="12" t="s">
        <v>40</v>
      </c>
      <c r="E609" s="12" t="s">
        <v>40</v>
      </c>
      <c r="F609" s="12"/>
      <c r="G609" s="12"/>
      <c r="H609" s="12"/>
      <c r="I609" s="12"/>
      <c r="J609" s="12"/>
      <c r="K609" s="12"/>
      <c r="L609" s="12">
        <v>0</v>
      </c>
      <c r="M609" s="15">
        <f t="shared" si="166"/>
        <v>2</v>
      </c>
      <c r="N609" s="15">
        <f t="shared" si="167"/>
        <v>0</v>
      </c>
      <c r="O609" s="20"/>
      <c r="P609" s="12">
        <f t="shared" si="168"/>
        <v>0</v>
      </c>
      <c r="Q609" s="20"/>
    </row>
    <row r="610" spans="1:18" x14ac:dyDescent="0.3">
      <c r="A610" s="1">
        <f t="shared" si="170"/>
        <v>30</v>
      </c>
      <c r="B610" s="2" t="s">
        <v>578</v>
      </c>
      <c r="C610" s="3" t="s">
        <v>442</v>
      </c>
      <c r="D610" s="12" t="s">
        <v>40</v>
      </c>
      <c r="E610" s="12" t="s">
        <v>40</v>
      </c>
      <c r="F610" s="12"/>
      <c r="G610" s="12"/>
      <c r="H610" s="12"/>
      <c r="I610" s="12"/>
      <c r="J610" s="12"/>
      <c r="K610" s="12"/>
      <c r="L610" s="12">
        <v>0</v>
      </c>
      <c r="M610" s="15">
        <f t="shared" si="166"/>
        <v>2</v>
      </c>
      <c r="N610" s="15">
        <f t="shared" si="167"/>
        <v>0</v>
      </c>
      <c r="O610" s="20"/>
      <c r="P610" s="12">
        <f t="shared" si="168"/>
        <v>0</v>
      </c>
      <c r="Q610" s="20"/>
    </row>
    <row r="611" spans="1:18" x14ac:dyDescent="0.3">
      <c r="B611" s="29"/>
      <c r="L611" s="14">
        <f>+AVERAGE(L581:L610)</f>
        <v>168921.05319999999</v>
      </c>
      <c r="M611" s="14">
        <f>+AVERAGE(M581:M610)</f>
        <v>7.64</v>
      </c>
      <c r="N611" s="14">
        <f>+SUM(N581:N610)</f>
        <v>0</v>
      </c>
      <c r="O611" s="14">
        <f>+AVERAGE(O581:O610)</f>
        <v>241429.80928571429</v>
      </c>
      <c r="P611" s="14">
        <f>+AVERAGE(P581:P610)</f>
        <v>14076.754433333332</v>
      </c>
      <c r="Q611" s="14">
        <f>+AVERAGE(Q581:Q610)</f>
        <v>20119.150773809524</v>
      </c>
      <c r="R611" s="14">
        <f>30-COUNTBLANK(R581:R610)</f>
        <v>2</v>
      </c>
    </row>
    <row r="612" spans="1:18" x14ac:dyDescent="0.3">
      <c r="L612" s="14">
        <f>+STDEV(L581:L610)</f>
        <v>214130.16398366494</v>
      </c>
      <c r="M612" s="14">
        <f>+STDEV(M581:M610)</f>
        <v>6.4477386216667725</v>
      </c>
      <c r="N612" s="17"/>
      <c r="O612" s="14">
        <f>+STDEV(O581:O610)</f>
        <v>148608.51848803987</v>
      </c>
      <c r="P612" s="14">
        <f>+STDEV(P581:P610)</f>
        <v>17844.180331972078</v>
      </c>
      <c r="Q612" s="14">
        <f>+STDEV(Q581:Q610)</f>
        <v>12384.043207336654</v>
      </c>
    </row>
    <row r="613" spans="1:18" x14ac:dyDescent="0.3">
      <c r="I613" s="15"/>
      <c r="J613" s="15"/>
      <c r="K613" s="11" t="s">
        <v>75</v>
      </c>
      <c r="L613" s="14">
        <f>+COUNTIF(L581:L610,0)</f>
        <v>10</v>
      </c>
      <c r="M613" s="14">
        <f>+COUNT(M581:M610)</f>
        <v>25</v>
      </c>
      <c r="P613" s="14">
        <f>+COUNTIF(P581:P610,0)</f>
        <v>10</v>
      </c>
    </row>
    <row r="615" spans="1:18" x14ac:dyDescent="0.3">
      <c r="A615" s="1">
        <v>1</v>
      </c>
      <c r="B615" s="2" t="s">
        <v>579</v>
      </c>
      <c r="C615" s="3" t="s">
        <v>443</v>
      </c>
      <c r="D615" s="12" t="s">
        <v>40</v>
      </c>
      <c r="E615" s="12" t="s">
        <v>40</v>
      </c>
      <c r="F615" s="12"/>
      <c r="G615" s="12"/>
      <c r="H615" s="12"/>
      <c r="I615" s="12"/>
      <c r="J615" s="12"/>
      <c r="K615" s="12"/>
      <c r="L615" s="12">
        <v>0</v>
      </c>
      <c r="M615" s="15">
        <f>+IF(D615="X",1,0)+IF(E615="X",1,0)+IF(F615="X",2,0)+IF(G615="X",2,0)+IF(H615="X",3,IF(H615="Y",1.5,0))+IF(I615="X",5,IF(I615="Y",2.5,0))+IF(J615="X",10,IF(J615="Y",5,0))</f>
        <v>2</v>
      </c>
      <c r="N615" s="15">
        <f>+IF(K615="X",1,0)</f>
        <v>0</v>
      </c>
      <c r="O615" s="20"/>
      <c r="P615" s="12">
        <f t="shared" ref="P615:P623" si="172">+L615/12</f>
        <v>0</v>
      </c>
      <c r="Q615" s="20"/>
    </row>
    <row r="616" spans="1:18" x14ac:dyDescent="0.3">
      <c r="A616" s="1">
        <f>+A615+1</f>
        <v>2</v>
      </c>
      <c r="B616" s="2" t="s">
        <v>580</v>
      </c>
      <c r="C616" s="3" t="s">
        <v>443</v>
      </c>
      <c r="D616" s="12" t="s">
        <v>40</v>
      </c>
      <c r="E616" s="12" t="s">
        <v>40</v>
      </c>
      <c r="F616" s="12"/>
      <c r="G616" s="12"/>
      <c r="H616" s="12"/>
      <c r="I616" s="12"/>
      <c r="J616" s="12"/>
      <c r="K616" s="12"/>
      <c r="L616" s="12">
        <v>0</v>
      </c>
      <c r="M616" s="15">
        <f t="shared" ref="M616:M644" si="173">+IF(D616="X",1,0)+IF(E616="X",1,0)+IF(F616="X",2,0)+IF(G616="X",2,0)+IF(H616="X",3,IF(H616="Y",1.5,0))+IF(I616="X",5,IF(I616="Y",2.5,0))+IF(J616="X",10,IF(J616="Y",5,0))</f>
        <v>2</v>
      </c>
      <c r="N616" s="15">
        <f t="shared" ref="N616:N644" si="174">+IF(K616="X",1,0)</f>
        <v>0</v>
      </c>
      <c r="O616" s="20"/>
      <c r="P616" s="12">
        <f t="shared" si="172"/>
        <v>0</v>
      </c>
      <c r="Q616" s="20"/>
    </row>
    <row r="617" spans="1:18" x14ac:dyDescent="0.3">
      <c r="A617" s="1">
        <f t="shared" ref="A617:A644" si="175">+A616+1</f>
        <v>3</v>
      </c>
      <c r="B617" s="2" t="s">
        <v>581</v>
      </c>
      <c r="C617" s="3" t="s">
        <v>443</v>
      </c>
      <c r="D617" s="12" t="s">
        <v>40</v>
      </c>
      <c r="E617" s="12" t="s">
        <v>40</v>
      </c>
      <c r="F617" s="12"/>
      <c r="G617" s="12"/>
      <c r="H617" s="12"/>
      <c r="I617" s="12"/>
      <c r="J617" s="12"/>
      <c r="K617" s="12"/>
      <c r="L617" s="12">
        <v>0</v>
      </c>
      <c r="M617" s="15">
        <f t="shared" si="173"/>
        <v>2</v>
      </c>
      <c r="N617" s="15">
        <f t="shared" si="174"/>
        <v>0</v>
      </c>
      <c r="O617" s="20"/>
      <c r="P617" s="12">
        <f t="shared" si="172"/>
        <v>0</v>
      </c>
      <c r="Q617" s="20"/>
    </row>
    <row r="618" spans="1:18" x14ac:dyDescent="0.3">
      <c r="A618" s="1">
        <f t="shared" si="175"/>
        <v>4</v>
      </c>
      <c r="B618" s="18" t="s">
        <v>582</v>
      </c>
      <c r="C618" s="3" t="s">
        <v>443</v>
      </c>
      <c r="D618" s="12" t="s">
        <v>40</v>
      </c>
      <c r="E618" s="12" t="s">
        <v>40</v>
      </c>
      <c r="F618" s="12" t="s">
        <v>40</v>
      </c>
      <c r="G618" s="12"/>
      <c r="H618" s="12" t="s">
        <v>40</v>
      </c>
      <c r="I618" s="12"/>
      <c r="J618" s="12"/>
      <c r="K618" s="12"/>
      <c r="L618" s="12">
        <v>0</v>
      </c>
      <c r="M618" s="15">
        <f t="shared" si="173"/>
        <v>7</v>
      </c>
      <c r="N618" s="15">
        <f t="shared" si="174"/>
        <v>0</v>
      </c>
      <c r="O618" s="20"/>
      <c r="P618" s="12">
        <f t="shared" si="172"/>
        <v>0</v>
      </c>
      <c r="Q618" s="20"/>
    </row>
    <row r="619" spans="1:18" x14ac:dyDescent="0.3">
      <c r="A619" s="1">
        <f t="shared" si="175"/>
        <v>5</v>
      </c>
      <c r="B619" s="2" t="s">
        <v>583</v>
      </c>
      <c r="C619" s="3" t="s">
        <v>443</v>
      </c>
      <c r="D619" s="12" t="s">
        <v>40</v>
      </c>
      <c r="E619" s="12"/>
      <c r="F619" s="12"/>
      <c r="G619" s="12"/>
      <c r="H619" s="12"/>
      <c r="I619" s="12"/>
      <c r="J619" s="12"/>
      <c r="K619" s="12"/>
      <c r="L619" s="12">
        <v>0</v>
      </c>
      <c r="M619" s="15">
        <f t="shared" si="173"/>
        <v>1</v>
      </c>
      <c r="N619" s="15">
        <f t="shared" si="174"/>
        <v>0</v>
      </c>
      <c r="O619" s="20"/>
      <c r="P619" s="12">
        <f t="shared" si="172"/>
        <v>0</v>
      </c>
      <c r="Q619" s="20"/>
    </row>
    <row r="620" spans="1:18" x14ac:dyDescent="0.3">
      <c r="A620" s="1">
        <f t="shared" si="175"/>
        <v>6</v>
      </c>
      <c r="B620" s="2" t="s">
        <v>584</v>
      </c>
      <c r="C620" s="3" t="s">
        <v>443</v>
      </c>
      <c r="D620" s="12" t="s">
        <v>40</v>
      </c>
      <c r="E620" s="12"/>
      <c r="F620" s="12"/>
      <c r="G620" s="12"/>
      <c r="H620" s="12"/>
      <c r="I620" s="12"/>
      <c r="J620" s="12"/>
      <c r="K620" s="12"/>
      <c r="L620" s="12">
        <v>0</v>
      </c>
      <c r="M620" s="15">
        <f t="shared" si="173"/>
        <v>1</v>
      </c>
      <c r="N620" s="15">
        <f t="shared" si="174"/>
        <v>0</v>
      </c>
      <c r="O620" s="20"/>
      <c r="P620" s="12">
        <f t="shared" si="172"/>
        <v>0</v>
      </c>
      <c r="Q620" s="20"/>
    </row>
    <row r="621" spans="1:18" x14ac:dyDescent="0.3">
      <c r="A621" s="1">
        <f t="shared" si="175"/>
        <v>7</v>
      </c>
      <c r="B621" s="2" t="s">
        <v>585</v>
      </c>
      <c r="C621" s="3" t="s">
        <v>443</v>
      </c>
      <c r="D621" s="12" t="s">
        <v>40</v>
      </c>
      <c r="E621" s="12" t="s">
        <v>40</v>
      </c>
      <c r="F621" s="12"/>
      <c r="G621" s="12"/>
      <c r="H621" s="12"/>
      <c r="I621" s="12"/>
      <c r="J621" s="12"/>
      <c r="K621" s="12"/>
      <c r="L621" s="12">
        <v>0</v>
      </c>
      <c r="M621" s="15">
        <f t="shared" si="173"/>
        <v>2</v>
      </c>
      <c r="N621" s="15">
        <f t="shared" si="174"/>
        <v>0</v>
      </c>
      <c r="O621" s="20"/>
      <c r="P621" s="12">
        <f t="shared" si="172"/>
        <v>0</v>
      </c>
      <c r="Q621" s="20"/>
    </row>
    <row r="622" spans="1:18" x14ac:dyDescent="0.3">
      <c r="A622" s="1">
        <f t="shared" si="175"/>
        <v>8</v>
      </c>
      <c r="B622" s="2" t="s">
        <v>586</v>
      </c>
      <c r="C622" s="3" t="s">
        <v>443</v>
      </c>
      <c r="D622" s="12" t="s">
        <v>40</v>
      </c>
      <c r="E622" s="12"/>
      <c r="F622" s="12"/>
      <c r="G622" s="12"/>
      <c r="H622" s="12"/>
      <c r="I622" s="12"/>
      <c r="J622" s="12"/>
      <c r="K622" s="12"/>
      <c r="L622" s="12">
        <v>0</v>
      </c>
      <c r="M622" s="15">
        <f t="shared" si="173"/>
        <v>1</v>
      </c>
      <c r="N622" s="15">
        <f t="shared" si="174"/>
        <v>0</v>
      </c>
      <c r="O622" s="20"/>
      <c r="P622" s="12">
        <f t="shared" si="172"/>
        <v>0</v>
      </c>
      <c r="Q622" s="20"/>
    </row>
    <row r="623" spans="1:18" x14ac:dyDescent="0.3">
      <c r="A623" s="1">
        <f t="shared" si="175"/>
        <v>9</v>
      </c>
      <c r="B623" s="2" t="s">
        <v>587</v>
      </c>
      <c r="C623" s="3" t="s">
        <v>443</v>
      </c>
      <c r="D623" s="12" t="s">
        <v>40</v>
      </c>
      <c r="E623" s="12" t="s">
        <v>40</v>
      </c>
      <c r="F623" s="12"/>
      <c r="G623" s="12"/>
      <c r="H623" s="12"/>
      <c r="I623" s="12"/>
      <c r="J623" s="12"/>
      <c r="K623" s="12"/>
      <c r="L623" s="12">
        <v>0</v>
      </c>
      <c r="M623" s="15">
        <f t="shared" si="173"/>
        <v>2</v>
      </c>
      <c r="N623" s="15">
        <f t="shared" si="174"/>
        <v>0</v>
      </c>
      <c r="O623" s="20"/>
      <c r="P623" s="12">
        <f t="shared" si="172"/>
        <v>0</v>
      </c>
      <c r="Q623" s="20"/>
    </row>
    <row r="624" spans="1:18" x14ac:dyDescent="0.3">
      <c r="A624" s="1">
        <f t="shared" si="175"/>
        <v>10</v>
      </c>
      <c r="B624" s="2" t="s">
        <v>588</v>
      </c>
      <c r="C624" s="3" t="s">
        <v>443</v>
      </c>
      <c r="D624" s="12" t="s">
        <v>40</v>
      </c>
      <c r="E624" s="12" t="s">
        <v>40</v>
      </c>
      <c r="F624" s="12"/>
      <c r="G624" s="12"/>
      <c r="H624" s="12" t="s">
        <v>40</v>
      </c>
      <c r="I624" s="12"/>
      <c r="J624" s="12"/>
      <c r="K624" s="12"/>
      <c r="L624" s="12">
        <v>57019.61</v>
      </c>
      <c r="M624" s="15">
        <f t="shared" si="173"/>
        <v>5</v>
      </c>
      <c r="N624" s="15">
        <f t="shared" si="174"/>
        <v>0</v>
      </c>
      <c r="O624" s="12">
        <v>57019.61</v>
      </c>
      <c r="P624" s="12">
        <f t="shared" ref="P624:P644" si="176">+L624/12</f>
        <v>4751.6341666666667</v>
      </c>
      <c r="Q624" s="12">
        <f t="shared" ref="Q624:Q639" si="177">+O624/12</f>
        <v>4751.6341666666667</v>
      </c>
    </row>
    <row r="625" spans="1:17" x14ac:dyDescent="0.3">
      <c r="A625" s="1">
        <f t="shared" si="175"/>
        <v>11</v>
      </c>
      <c r="B625" s="2" t="s">
        <v>589</v>
      </c>
      <c r="C625" s="3" t="s">
        <v>443</v>
      </c>
      <c r="D625" s="12" t="s">
        <v>40</v>
      </c>
      <c r="E625" s="12" t="s">
        <v>40</v>
      </c>
      <c r="F625" s="12"/>
      <c r="G625" s="12"/>
      <c r="H625" s="12"/>
      <c r="I625" s="12"/>
      <c r="J625" s="12"/>
      <c r="K625" s="12"/>
      <c r="L625" s="12">
        <v>0</v>
      </c>
      <c r="M625" s="15">
        <f t="shared" si="173"/>
        <v>2</v>
      </c>
      <c r="N625" s="15">
        <f t="shared" si="174"/>
        <v>0</v>
      </c>
      <c r="O625" s="20"/>
      <c r="P625" s="12">
        <f t="shared" si="176"/>
        <v>0</v>
      </c>
      <c r="Q625" s="20"/>
    </row>
    <row r="626" spans="1:17" x14ac:dyDescent="0.3">
      <c r="A626" s="1">
        <f t="shared" si="175"/>
        <v>12</v>
      </c>
      <c r="B626" s="2" t="s">
        <v>590</v>
      </c>
      <c r="C626" s="3" t="s">
        <v>443</v>
      </c>
      <c r="D626" s="12" t="s">
        <v>40</v>
      </c>
      <c r="E626" s="12" t="s">
        <v>40</v>
      </c>
      <c r="F626" s="12"/>
      <c r="G626" s="12"/>
      <c r="H626" s="12" t="s">
        <v>40</v>
      </c>
      <c r="I626" s="12"/>
      <c r="J626" s="12"/>
      <c r="K626" s="12"/>
      <c r="L626" s="12">
        <v>32748</v>
      </c>
      <c r="M626" s="15">
        <f t="shared" si="173"/>
        <v>5</v>
      </c>
      <c r="N626" s="15">
        <f t="shared" si="174"/>
        <v>0</v>
      </c>
      <c r="O626" s="12">
        <v>32748</v>
      </c>
      <c r="P626" s="12">
        <f t="shared" si="176"/>
        <v>2729</v>
      </c>
      <c r="Q626" s="12">
        <f t="shared" si="177"/>
        <v>2729</v>
      </c>
    </row>
    <row r="627" spans="1:17" x14ac:dyDescent="0.3">
      <c r="A627" s="1">
        <f t="shared" si="175"/>
        <v>13</v>
      </c>
      <c r="B627" s="2" t="s">
        <v>591</v>
      </c>
      <c r="C627" s="3" t="s">
        <v>443</v>
      </c>
      <c r="D627" s="12" t="s">
        <v>40</v>
      </c>
      <c r="E627" s="12" t="s">
        <v>40</v>
      </c>
      <c r="F627" s="12"/>
      <c r="G627" s="12" t="s">
        <v>40</v>
      </c>
      <c r="H627" s="12"/>
      <c r="I627" s="12"/>
      <c r="J627" s="12"/>
      <c r="K627" s="12"/>
      <c r="L627" s="12">
        <v>0</v>
      </c>
      <c r="M627" s="15">
        <f t="shared" si="173"/>
        <v>4</v>
      </c>
      <c r="N627" s="15">
        <f t="shared" si="174"/>
        <v>0</v>
      </c>
      <c r="O627" s="20"/>
      <c r="P627" s="12">
        <f t="shared" si="176"/>
        <v>0</v>
      </c>
      <c r="Q627" s="20"/>
    </row>
    <row r="628" spans="1:17" x14ac:dyDescent="0.3">
      <c r="A628" s="1">
        <f t="shared" si="175"/>
        <v>14</v>
      </c>
      <c r="B628" s="2" t="s">
        <v>592</v>
      </c>
      <c r="C628" s="3" t="s">
        <v>443</v>
      </c>
      <c r="D628" s="12" t="s">
        <v>40</v>
      </c>
      <c r="E628" s="12" t="s">
        <v>40</v>
      </c>
      <c r="F628" s="12" t="s">
        <v>40</v>
      </c>
      <c r="G628" s="12"/>
      <c r="H628" s="12"/>
      <c r="I628" s="12"/>
      <c r="J628" s="12"/>
      <c r="K628" s="12"/>
      <c r="L628" s="12">
        <v>0</v>
      </c>
      <c r="M628" s="15">
        <f t="shared" si="173"/>
        <v>4</v>
      </c>
      <c r="N628" s="15">
        <f t="shared" si="174"/>
        <v>0</v>
      </c>
      <c r="O628" s="20"/>
      <c r="P628" s="12">
        <f t="shared" si="176"/>
        <v>0</v>
      </c>
      <c r="Q628" s="20"/>
    </row>
    <row r="629" spans="1:17" x14ac:dyDescent="0.3">
      <c r="A629" s="1">
        <f t="shared" si="175"/>
        <v>15</v>
      </c>
      <c r="B629" s="2" t="s">
        <v>593</v>
      </c>
      <c r="C629" s="3" t="s">
        <v>443</v>
      </c>
      <c r="D629" s="12" t="s">
        <v>40</v>
      </c>
      <c r="E629" s="12" t="s">
        <v>40</v>
      </c>
      <c r="F629" s="12" t="s">
        <v>40</v>
      </c>
      <c r="G629" s="12"/>
      <c r="H629" s="12" t="s">
        <v>40</v>
      </c>
      <c r="I629" s="12" t="s">
        <v>40</v>
      </c>
      <c r="J629" s="12"/>
      <c r="K629" s="12"/>
      <c r="L629" s="12">
        <v>67929.600000000006</v>
      </c>
      <c r="M629" s="15">
        <f t="shared" si="173"/>
        <v>12</v>
      </c>
      <c r="N629" s="15">
        <f t="shared" si="174"/>
        <v>0</v>
      </c>
      <c r="O629" s="12">
        <v>67929.600000000006</v>
      </c>
      <c r="P629" s="12">
        <f t="shared" si="176"/>
        <v>5660.8</v>
      </c>
      <c r="Q629" s="12">
        <f t="shared" si="177"/>
        <v>5660.8</v>
      </c>
    </row>
    <row r="630" spans="1:17" x14ac:dyDescent="0.3">
      <c r="A630" s="1">
        <f t="shared" si="175"/>
        <v>16</v>
      </c>
      <c r="B630" s="2" t="s">
        <v>594</v>
      </c>
      <c r="C630" s="3" t="s">
        <v>443</v>
      </c>
      <c r="D630" s="12" t="s">
        <v>40</v>
      </c>
      <c r="E630" s="12" t="s">
        <v>40</v>
      </c>
      <c r="F630" s="12" t="s">
        <v>40</v>
      </c>
      <c r="G630" s="12"/>
      <c r="H630" s="12"/>
      <c r="I630" s="12"/>
      <c r="J630" s="12"/>
      <c r="K630" s="12"/>
      <c r="L630" s="12">
        <v>0</v>
      </c>
      <c r="M630" s="15">
        <f t="shared" si="173"/>
        <v>4</v>
      </c>
      <c r="N630" s="15">
        <f t="shared" si="174"/>
        <v>0</v>
      </c>
      <c r="O630" s="20"/>
      <c r="P630" s="12">
        <f t="shared" si="176"/>
        <v>0</v>
      </c>
      <c r="Q630" s="20"/>
    </row>
    <row r="631" spans="1:17" x14ac:dyDescent="0.3">
      <c r="A631" s="1">
        <f t="shared" si="175"/>
        <v>17</v>
      </c>
      <c r="B631" s="2" t="s">
        <v>595</v>
      </c>
      <c r="C631" s="3" t="s">
        <v>443</v>
      </c>
      <c r="D631" s="12" t="s">
        <v>40</v>
      </c>
      <c r="E631" s="12" t="s">
        <v>40</v>
      </c>
      <c r="F631" s="12"/>
      <c r="G631" s="12"/>
      <c r="H631" s="12"/>
      <c r="I631" s="12"/>
      <c r="J631" s="12"/>
      <c r="K631" s="12"/>
      <c r="L631" s="12">
        <v>25300</v>
      </c>
      <c r="M631" s="15">
        <f t="shared" si="173"/>
        <v>2</v>
      </c>
      <c r="N631" s="15">
        <f t="shared" si="174"/>
        <v>0</v>
      </c>
      <c r="O631" s="12">
        <v>25300</v>
      </c>
      <c r="P631" s="12">
        <f t="shared" si="176"/>
        <v>2108.3333333333335</v>
      </c>
      <c r="Q631" s="12">
        <f t="shared" si="177"/>
        <v>2108.3333333333335</v>
      </c>
    </row>
    <row r="632" spans="1:17" x14ac:dyDescent="0.3">
      <c r="A632" s="1">
        <f t="shared" si="175"/>
        <v>18</v>
      </c>
      <c r="B632" s="2" t="s">
        <v>596</v>
      </c>
      <c r="C632" s="3" t="s">
        <v>443</v>
      </c>
      <c r="D632" s="12" t="s">
        <v>40</v>
      </c>
      <c r="E632" s="12" t="s">
        <v>40</v>
      </c>
      <c r="F632" s="12"/>
      <c r="G632" s="12"/>
      <c r="H632" s="12"/>
      <c r="I632" s="12"/>
      <c r="J632" s="12"/>
      <c r="K632" s="12"/>
      <c r="L632" s="12">
        <v>0</v>
      </c>
      <c r="M632" s="15">
        <f t="shared" si="173"/>
        <v>2</v>
      </c>
      <c r="N632" s="15">
        <f t="shared" si="174"/>
        <v>0</v>
      </c>
      <c r="O632" s="20"/>
      <c r="P632" s="12">
        <f t="shared" si="176"/>
        <v>0</v>
      </c>
      <c r="Q632" s="20"/>
    </row>
    <row r="633" spans="1:17" x14ac:dyDescent="0.3">
      <c r="A633" s="1">
        <f t="shared" si="175"/>
        <v>19</v>
      </c>
      <c r="B633" s="2" t="s">
        <v>597</v>
      </c>
      <c r="C633" s="3" t="s">
        <v>443</v>
      </c>
      <c r="D633" s="12" t="s">
        <v>40</v>
      </c>
      <c r="E633" s="12" t="s">
        <v>40</v>
      </c>
      <c r="F633" s="12"/>
      <c r="G633" s="12"/>
      <c r="H633" s="12"/>
      <c r="I633" s="12"/>
      <c r="J633" s="12"/>
      <c r="K633" s="12"/>
      <c r="L633" s="12">
        <v>0</v>
      </c>
      <c r="M633" s="15">
        <f t="shared" si="173"/>
        <v>2</v>
      </c>
      <c r="N633" s="15">
        <f t="shared" si="174"/>
        <v>0</v>
      </c>
      <c r="O633" s="20"/>
      <c r="P633" s="12">
        <f t="shared" si="176"/>
        <v>0</v>
      </c>
      <c r="Q633" s="20"/>
    </row>
    <row r="634" spans="1:17" x14ac:dyDescent="0.3">
      <c r="A634" s="1">
        <f t="shared" si="175"/>
        <v>20</v>
      </c>
      <c r="B634" s="2" t="s">
        <v>598</v>
      </c>
      <c r="C634" s="3" t="s">
        <v>443</v>
      </c>
      <c r="D634" s="12" t="s">
        <v>40</v>
      </c>
      <c r="E634" s="12" t="s">
        <v>40</v>
      </c>
      <c r="F634" s="12"/>
      <c r="G634" s="12"/>
      <c r="H634" s="12" t="s">
        <v>40</v>
      </c>
      <c r="I634" s="12" t="s">
        <v>43</v>
      </c>
      <c r="J634" s="12" t="s">
        <v>40</v>
      </c>
      <c r="K634" s="12"/>
      <c r="L634" s="12">
        <v>90600</v>
      </c>
      <c r="M634" s="15">
        <f t="shared" si="173"/>
        <v>17.5</v>
      </c>
      <c r="N634" s="15">
        <f t="shared" si="174"/>
        <v>0</v>
      </c>
      <c r="O634" s="12">
        <v>90600</v>
      </c>
      <c r="P634" s="12">
        <f t="shared" si="176"/>
        <v>7550</v>
      </c>
      <c r="Q634" s="12">
        <f t="shared" si="177"/>
        <v>7550</v>
      </c>
    </row>
    <row r="635" spans="1:17" x14ac:dyDescent="0.3">
      <c r="A635" s="1">
        <f t="shared" si="175"/>
        <v>21</v>
      </c>
      <c r="B635" s="2" t="s">
        <v>599</v>
      </c>
      <c r="C635" s="3" t="s">
        <v>443</v>
      </c>
      <c r="D635" s="12" t="s">
        <v>40</v>
      </c>
      <c r="E635" s="12"/>
      <c r="F635" s="12"/>
      <c r="G635" s="12"/>
      <c r="H635" s="12"/>
      <c r="I635" s="12"/>
      <c r="J635" s="12"/>
      <c r="K635" s="12"/>
      <c r="L635" s="12">
        <v>0</v>
      </c>
      <c r="M635" s="15">
        <f t="shared" si="173"/>
        <v>1</v>
      </c>
      <c r="N635" s="15">
        <f t="shared" si="174"/>
        <v>0</v>
      </c>
      <c r="O635" s="20"/>
      <c r="P635" s="12">
        <f t="shared" si="176"/>
        <v>0</v>
      </c>
      <c r="Q635" s="20"/>
    </row>
    <row r="636" spans="1:17" x14ac:dyDescent="0.3">
      <c r="A636" s="1">
        <f t="shared" si="175"/>
        <v>22</v>
      </c>
      <c r="B636" s="2" t="s">
        <v>600</v>
      </c>
      <c r="C636" s="3" t="s">
        <v>443</v>
      </c>
      <c r="D636" s="12" t="s">
        <v>40</v>
      </c>
      <c r="E636" s="12" t="s">
        <v>40</v>
      </c>
      <c r="F636" s="12"/>
      <c r="G636" s="12"/>
      <c r="H636" s="12"/>
      <c r="I636" s="12"/>
      <c r="J636" s="12"/>
      <c r="K636" s="12"/>
      <c r="L636" s="12">
        <v>0</v>
      </c>
      <c r="M636" s="15">
        <f t="shared" si="173"/>
        <v>2</v>
      </c>
      <c r="N636" s="15">
        <f t="shared" si="174"/>
        <v>0</v>
      </c>
      <c r="O636" s="20"/>
      <c r="P636" s="12">
        <f t="shared" si="176"/>
        <v>0</v>
      </c>
      <c r="Q636" s="20"/>
    </row>
    <row r="637" spans="1:17" x14ac:dyDescent="0.3">
      <c r="A637" s="1">
        <f t="shared" si="175"/>
        <v>23</v>
      </c>
      <c r="B637" s="2" t="s">
        <v>601</v>
      </c>
      <c r="C637" s="3" t="s">
        <v>443</v>
      </c>
      <c r="D637" s="12" t="s">
        <v>40</v>
      </c>
      <c r="E637" s="12"/>
      <c r="F637" s="12"/>
      <c r="G637" s="12"/>
      <c r="H637" s="12"/>
      <c r="I637" s="12"/>
      <c r="J637" s="12"/>
      <c r="K637" s="12"/>
      <c r="L637" s="12">
        <v>12346.98</v>
      </c>
      <c r="M637" s="15">
        <f t="shared" si="173"/>
        <v>1</v>
      </c>
      <c r="N637" s="15">
        <f t="shared" si="174"/>
        <v>0</v>
      </c>
      <c r="O637" s="12">
        <v>12346.98</v>
      </c>
      <c r="P637" s="12">
        <f t="shared" si="176"/>
        <v>1028.915</v>
      </c>
      <c r="Q637" s="12">
        <f t="shared" si="177"/>
        <v>1028.915</v>
      </c>
    </row>
    <row r="638" spans="1:17" x14ac:dyDescent="0.3">
      <c r="A638" s="1">
        <f t="shared" si="175"/>
        <v>24</v>
      </c>
      <c r="B638" s="2" t="s">
        <v>602</v>
      </c>
      <c r="C638" s="3" t="s">
        <v>443</v>
      </c>
      <c r="D638" s="12" t="s">
        <v>40</v>
      </c>
      <c r="E638" s="12" t="s">
        <v>40</v>
      </c>
      <c r="F638" s="12" t="s">
        <v>40</v>
      </c>
      <c r="G638" s="12" t="s">
        <v>40</v>
      </c>
      <c r="H638" s="12" t="s">
        <v>40</v>
      </c>
      <c r="I638" s="12" t="s">
        <v>40</v>
      </c>
      <c r="J638" s="12"/>
      <c r="K638" s="12"/>
      <c r="L638" s="12">
        <v>105068.44</v>
      </c>
      <c r="M638" s="15">
        <f t="shared" si="173"/>
        <v>14</v>
      </c>
      <c r="N638" s="15">
        <f t="shared" si="174"/>
        <v>0</v>
      </c>
      <c r="O638" s="20"/>
      <c r="P638" s="12">
        <f t="shared" si="176"/>
        <v>8755.7033333333329</v>
      </c>
      <c r="Q638" s="20"/>
    </row>
    <row r="639" spans="1:17" x14ac:dyDescent="0.3">
      <c r="A639" s="1">
        <f t="shared" si="175"/>
        <v>25</v>
      </c>
      <c r="B639" s="2" t="s">
        <v>603</v>
      </c>
      <c r="C639" s="3" t="s">
        <v>443</v>
      </c>
      <c r="D639" s="12" t="s">
        <v>40</v>
      </c>
      <c r="E639" s="12" t="s">
        <v>40</v>
      </c>
      <c r="F639" s="12"/>
      <c r="G639" s="12"/>
      <c r="H639" s="12" t="s">
        <v>40</v>
      </c>
      <c r="I639" s="12"/>
      <c r="J639" s="12"/>
      <c r="K639" s="12"/>
      <c r="L639" s="12">
        <v>46606.6</v>
      </c>
      <c r="M639" s="15">
        <f t="shared" si="173"/>
        <v>5</v>
      </c>
      <c r="N639" s="15">
        <f t="shared" si="174"/>
        <v>0</v>
      </c>
      <c r="O639" s="12">
        <v>46606.6</v>
      </c>
      <c r="P639" s="12">
        <f t="shared" si="176"/>
        <v>3883.8833333333332</v>
      </c>
      <c r="Q639" s="12">
        <f t="shared" si="177"/>
        <v>3883.8833333333332</v>
      </c>
    </row>
    <row r="640" spans="1:17" x14ac:dyDescent="0.3">
      <c r="A640" s="1">
        <f t="shared" si="175"/>
        <v>26</v>
      </c>
      <c r="B640" s="2" t="s">
        <v>604</v>
      </c>
      <c r="C640" s="3" t="s">
        <v>443</v>
      </c>
      <c r="D640" s="12" t="s">
        <v>40</v>
      </c>
      <c r="E640" s="12" t="s">
        <v>40</v>
      </c>
      <c r="F640" s="12"/>
      <c r="G640" s="12"/>
      <c r="H640" s="12"/>
      <c r="I640" s="12"/>
      <c r="J640" s="12"/>
      <c r="K640" s="12"/>
      <c r="L640" s="12">
        <v>0</v>
      </c>
      <c r="M640" s="15">
        <f t="shared" si="173"/>
        <v>2</v>
      </c>
      <c r="N640" s="15">
        <f t="shared" si="174"/>
        <v>0</v>
      </c>
      <c r="O640" s="20"/>
      <c r="P640" s="12">
        <f t="shared" si="176"/>
        <v>0</v>
      </c>
      <c r="Q640" s="20"/>
    </row>
    <row r="641" spans="1:18" x14ac:dyDescent="0.3">
      <c r="A641" s="1">
        <f t="shared" si="175"/>
        <v>27</v>
      </c>
      <c r="B641" s="2" t="s">
        <v>605</v>
      </c>
      <c r="C641" s="3" t="s">
        <v>443</v>
      </c>
      <c r="D641" s="12" t="s">
        <v>40</v>
      </c>
      <c r="E641" s="12"/>
      <c r="F641" s="12"/>
      <c r="G641" s="12"/>
      <c r="H641" s="12"/>
      <c r="I641" s="12"/>
      <c r="J641" s="12"/>
      <c r="K641" s="12"/>
      <c r="L641" s="12">
        <v>0</v>
      </c>
      <c r="M641" s="15">
        <f t="shared" si="173"/>
        <v>1</v>
      </c>
      <c r="N641" s="15">
        <f t="shared" si="174"/>
        <v>0</v>
      </c>
      <c r="O641" s="20"/>
      <c r="P641" s="12">
        <f t="shared" si="176"/>
        <v>0</v>
      </c>
      <c r="Q641" s="20"/>
    </row>
    <row r="642" spans="1:18" x14ac:dyDescent="0.3">
      <c r="A642" s="1">
        <f t="shared" si="175"/>
        <v>28</v>
      </c>
      <c r="B642" s="2" t="s">
        <v>606</v>
      </c>
      <c r="C642" s="3" t="s">
        <v>443</v>
      </c>
      <c r="D642" s="12" t="s">
        <v>40</v>
      </c>
      <c r="E642" s="12" t="s">
        <v>40</v>
      </c>
      <c r="F642" s="12"/>
      <c r="G642" s="12"/>
      <c r="H642" s="12"/>
      <c r="I642" s="12"/>
      <c r="J642" s="12"/>
      <c r="K642" s="12"/>
      <c r="L642" s="12">
        <v>0</v>
      </c>
      <c r="M642" s="15">
        <f t="shared" si="173"/>
        <v>2</v>
      </c>
      <c r="N642" s="15">
        <f t="shared" si="174"/>
        <v>0</v>
      </c>
      <c r="O642" s="20"/>
      <c r="P642" s="12">
        <f t="shared" si="176"/>
        <v>0</v>
      </c>
      <c r="Q642" s="20"/>
    </row>
    <row r="643" spans="1:18" x14ac:dyDescent="0.3">
      <c r="A643" s="1">
        <f t="shared" si="175"/>
        <v>29</v>
      </c>
      <c r="B643" s="2" t="s">
        <v>607</v>
      </c>
      <c r="C643" s="3" t="s">
        <v>443</v>
      </c>
      <c r="D643" s="12" t="s">
        <v>40</v>
      </c>
      <c r="E643" s="12"/>
      <c r="F643" s="12"/>
      <c r="G643" s="12"/>
      <c r="H643" s="12"/>
      <c r="I643" s="12"/>
      <c r="J643" s="12"/>
      <c r="K643" s="12"/>
      <c r="L643" s="12">
        <v>0</v>
      </c>
      <c r="M643" s="15">
        <f t="shared" si="173"/>
        <v>1</v>
      </c>
      <c r="N643" s="15">
        <f t="shared" si="174"/>
        <v>0</v>
      </c>
      <c r="O643" s="20"/>
      <c r="P643" s="12">
        <f t="shared" si="176"/>
        <v>0</v>
      </c>
      <c r="Q643" s="20"/>
    </row>
    <row r="644" spans="1:18" x14ac:dyDescent="0.3">
      <c r="A644" s="1">
        <f t="shared" si="175"/>
        <v>30</v>
      </c>
      <c r="B644" s="2" t="s">
        <v>608</v>
      </c>
      <c r="C644" s="3" t="s">
        <v>443</v>
      </c>
      <c r="D644" s="12" t="s">
        <v>40</v>
      </c>
      <c r="E644" s="12" t="s">
        <v>40</v>
      </c>
      <c r="F644" s="12"/>
      <c r="G644" s="12" t="s">
        <v>40</v>
      </c>
      <c r="H644" s="12" t="s">
        <v>40</v>
      </c>
      <c r="I644" s="12" t="s">
        <v>40</v>
      </c>
      <c r="J644" s="12"/>
      <c r="K644" s="12"/>
      <c r="L644" s="12">
        <v>0</v>
      </c>
      <c r="M644" s="15">
        <f t="shared" si="173"/>
        <v>12</v>
      </c>
      <c r="N644" s="15">
        <f t="shared" si="174"/>
        <v>0</v>
      </c>
      <c r="O644" s="20"/>
      <c r="P644" s="12">
        <f t="shared" si="176"/>
        <v>0</v>
      </c>
      <c r="Q644" s="20"/>
    </row>
    <row r="645" spans="1:18" x14ac:dyDescent="0.3">
      <c r="B645" s="29"/>
      <c r="L645" s="14">
        <f>+AVERAGE(L615:L644)</f>
        <v>14587.307666666666</v>
      </c>
      <c r="M645" s="14">
        <f>+AVERAGE(M615:M644)</f>
        <v>4.0166666666666666</v>
      </c>
      <c r="N645" s="14">
        <f>+SUM(N615:N644)</f>
        <v>0</v>
      </c>
      <c r="O645" s="14">
        <f>+AVERAGE(O615:O644)</f>
        <v>47507.255714285711</v>
      </c>
      <c r="P645" s="14">
        <f>+AVERAGE(P615:P644)</f>
        <v>1215.6089722222221</v>
      </c>
      <c r="Q645" s="14">
        <f>+AVERAGE(Q615:Q644)</f>
        <v>3958.9379761904761</v>
      </c>
      <c r="R645" s="14">
        <f>30-COUNTBLANK(R615:R644)</f>
        <v>0</v>
      </c>
    </row>
    <row r="646" spans="1:18" x14ac:dyDescent="0.3">
      <c r="L646" s="14">
        <f>+STDEV(L615:L644)</f>
        <v>29223.786838668646</v>
      </c>
      <c r="M646" s="14">
        <f>+STDEV(M615:M644)</f>
        <v>4.2880815848303211</v>
      </c>
      <c r="N646" s="17"/>
      <c r="O646" s="14">
        <f>+STDEV(O615:O644)</f>
        <v>26809.810532946001</v>
      </c>
      <c r="P646" s="14">
        <f>+STDEV(P615:P644)</f>
        <v>2435.3155698890537</v>
      </c>
      <c r="Q646" s="14">
        <f>+STDEV(Q615:Q644)</f>
        <v>2234.1508777454997</v>
      </c>
    </row>
    <row r="647" spans="1:18" x14ac:dyDescent="0.3">
      <c r="I647" s="15"/>
      <c r="J647" s="15"/>
      <c r="K647" s="11" t="s">
        <v>75</v>
      </c>
      <c r="L647" s="14">
        <f>+COUNTIF(L615:L644,0)</f>
        <v>22</v>
      </c>
      <c r="M647" s="14">
        <f>+COUNT(M615:M644)</f>
        <v>30</v>
      </c>
      <c r="P647" s="14">
        <f>+COUNTIF(P615:P644,0)</f>
        <v>22</v>
      </c>
    </row>
    <row r="649" spans="1:18" x14ac:dyDescent="0.3">
      <c r="A649" s="1">
        <v>1</v>
      </c>
      <c r="B649" s="2" t="s">
        <v>609</v>
      </c>
      <c r="C649" s="3" t="s">
        <v>444</v>
      </c>
      <c r="D649" s="12" t="s">
        <v>40</v>
      </c>
      <c r="E649" s="12" t="s">
        <v>40</v>
      </c>
      <c r="F649" s="12"/>
      <c r="G649" s="12"/>
      <c r="H649" s="12" t="s">
        <v>40</v>
      </c>
      <c r="I649" s="12" t="s">
        <v>40</v>
      </c>
      <c r="J649" s="12" t="s">
        <v>40</v>
      </c>
      <c r="K649" s="12"/>
      <c r="L649" s="12">
        <v>123865.13</v>
      </c>
      <c r="M649" s="15">
        <f>+IF(D649="X",1,0)+IF(E649="X",1,0)+IF(F649="X",2,0)+IF(G649="X",2,0)+IF(H649="X",3,IF(H649="Y",1.5,0))+IF(I649="X",5,IF(I649="Y",2.5,0))+IF(J649="X",10,IF(J649="Y",5,0))</f>
        <v>20</v>
      </c>
      <c r="N649" s="15">
        <f>+IF(K649="X",1,0)</f>
        <v>0</v>
      </c>
      <c r="O649" s="12">
        <v>123865.13</v>
      </c>
      <c r="P649" s="12">
        <f t="shared" ref="P649:P678" si="178">+L649/12</f>
        <v>10322.094166666668</v>
      </c>
      <c r="Q649" s="12">
        <f t="shared" ref="Q649:Q676" si="179">+O649/12</f>
        <v>10322.094166666668</v>
      </c>
    </row>
    <row r="650" spans="1:18" x14ac:dyDescent="0.3">
      <c r="A650" s="1">
        <f>+A649+1</f>
        <v>2</v>
      </c>
      <c r="B650" s="2" t="s">
        <v>610</v>
      </c>
      <c r="C650" s="3" t="s">
        <v>444</v>
      </c>
      <c r="D650" s="12" t="s">
        <v>40</v>
      </c>
      <c r="E650" s="12" t="s">
        <v>40</v>
      </c>
      <c r="F650" s="12"/>
      <c r="G650" s="12"/>
      <c r="H650" s="12"/>
      <c r="I650" s="12"/>
      <c r="J650" s="12"/>
      <c r="K650" s="12"/>
      <c r="L650" s="12">
        <v>120000</v>
      </c>
      <c r="M650" s="15">
        <f t="shared" ref="M650:M678" si="180">+IF(D650="X",1,0)+IF(E650="X",1,0)+IF(F650="X",2,0)+IF(G650="X",2,0)+IF(H650="X",3,IF(H650="Y",1.5,0))+IF(I650="X",5,IF(I650="Y",2.5,0))+IF(J650="X",10,IF(J650="Y",5,0))</f>
        <v>2</v>
      </c>
      <c r="N650" s="15">
        <f t="shared" ref="N650:N678" si="181">+IF(K650="X",1,0)</f>
        <v>0</v>
      </c>
      <c r="O650" s="12">
        <v>120000</v>
      </c>
      <c r="P650" s="12">
        <f t="shared" si="178"/>
        <v>10000</v>
      </c>
      <c r="Q650" s="12">
        <f t="shared" si="179"/>
        <v>10000</v>
      </c>
    </row>
    <row r="651" spans="1:18" x14ac:dyDescent="0.3">
      <c r="A651" s="1">
        <f t="shared" ref="A651:A678" si="182">+A650+1</f>
        <v>3</v>
      </c>
      <c r="B651" s="2" t="s">
        <v>611</v>
      </c>
      <c r="C651" s="3" t="s">
        <v>444</v>
      </c>
      <c r="D651" s="12" t="s">
        <v>40</v>
      </c>
      <c r="E651" s="12" t="s">
        <v>40</v>
      </c>
      <c r="F651" s="12"/>
      <c r="G651" s="12"/>
      <c r="H651" s="12" t="s">
        <v>40</v>
      </c>
      <c r="I651" s="12" t="s">
        <v>40</v>
      </c>
      <c r="J651" s="12"/>
      <c r="K651" s="12"/>
      <c r="L651" s="12">
        <v>96000</v>
      </c>
      <c r="M651" s="15">
        <f t="shared" si="180"/>
        <v>10</v>
      </c>
      <c r="N651" s="15">
        <f t="shared" si="181"/>
        <v>0</v>
      </c>
      <c r="O651" s="12">
        <v>96000</v>
      </c>
      <c r="P651" s="12">
        <f t="shared" si="178"/>
        <v>8000</v>
      </c>
      <c r="Q651" s="12">
        <f t="shared" si="179"/>
        <v>8000</v>
      </c>
    </row>
    <row r="652" spans="1:18" x14ac:dyDescent="0.3">
      <c r="A652" s="1">
        <f t="shared" si="182"/>
        <v>4</v>
      </c>
      <c r="B652" s="2" t="s">
        <v>612</v>
      </c>
      <c r="C652" s="3" t="s">
        <v>444</v>
      </c>
      <c r="D652" s="12" t="s">
        <v>40</v>
      </c>
      <c r="E652" s="12" t="s">
        <v>40</v>
      </c>
      <c r="F652" s="12"/>
      <c r="G652" s="12"/>
      <c r="H652" s="12" t="s">
        <v>40</v>
      </c>
      <c r="I652" s="12" t="s">
        <v>40</v>
      </c>
      <c r="J652" s="12"/>
      <c r="K652" s="12"/>
      <c r="L652" s="12">
        <v>742469.55</v>
      </c>
      <c r="M652" s="15">
        <f t="shared" si="180"/>
        <v>10</v>
      </c>
      <c r="N652" s="15">
        <f t="shared" si="181"/>
        <v>0</v>
      </c>
      <c r="O652" s="20"/>
      <c r="P652" s="12">
        <f t="shared" si="178"/>
        <v>61872.462500000001</v>
      </c>
      <c r="Q652" s="20"/>
    </row>
    <row r="653" spans="1:18" x14ac:dyDescent="0.3">
      <c r="A653" s="1">
        <f t="shared" si="182"/>
        <v>5</v>
      </c>
      <c r="B653" s="10"/>
      <c r="C653" s="9"/>
      <c r="D653" s="13"/>
      <c r="E653" s="13"/>
      <c r="F653" s="13"/>
      <c r="G653" s="13"/>
      <c r="H653" s="13"/>
      <c r="I653" s="13"/>
      <c r="J653" s="13"/>
      <c r="K653" s="13"/>
      <c r="L653" s="13"/>
      <c r="M653" s="16"/>
      <c r="N653" s="16"/>
      <c r="O653" s="13"/>
      <c r="P653" s="13"/>
      <c r="Q653" s="13"/>
    </row>
    <row r="654" spans="1:18" x14ac:dyDescent="0.3">
      <c r="A654" s="1">
        <f t="shared" si="182"/>
        <v>6</v>
      </c>
      <c r="B654" s="2" t="s">
        <v>613</v>
      </c>
      <c r="C654" s="3" t="s">
        <v>444</v>
      </c>
      <c r="D654" s="12" t="s">
        <v>40</v>
      </c>
      <c r="E654" s="12" t="s">
        <v>40</v>
      </c>
      <c r="F654" s="12"/>
      <c r="G654" s="12"/>
      <c r="H654" s="12" t="s">
        <v>40</v>
      </c>
      <c r="I654" s="12"/>
      <c r="J654" s="12"/>
      <c r="K654" s="12"/>
      <c r="L654" s="12">
        <v>0</v>
      </c>
      <c r="M654" s="15">
        <f t="shared" ref="M654" si="183">+IF(D654="X",1,0)+IF(E654="X",1,0)+IF(F654="X",2,0)+IF(G654="X",2,0)+IF(H654="X",3,IF(H654="Y",1.5,0))+IF(I654="X",5,IF(I654="Y",2.5,0))+IF(J654="X",10,IF(J654="Y",5,0))</f>
        <v>5</v>
      </c>
      <c r="N654" s="15">
        <f t="shared" ref="N654" si="184">+IF(K654="X",1,0)</f>
        <v>0</v>
      </c>
      <c r="O654" s="20"/>
      <c r="P654" s="12">
        <f t="shared" ref="P654" si="185">+L654/12</f>
        <v>0</v>
      </c>
      <c r="Q654" s="20"/>
    </row>
    <row r="655" spans="1:18" x14ac:dyDescent="0.3">
      <c r="A655" s="1">
        <f t="shared" si="182"/>
        <v>7</v>
      </c>
      <c r="B655" s="2" t="s">
        <v>614</v>
      </c>
      <c r="C655" s="3" t="s">
        <v>444</v>
      </c>
      <c r="D655" s="12" t="s">
        <v>40</v>
      </c>
      <c r="E655" s="12" t="s">
        <v>40</v>
      </c>
      <c r="F655" s="12"/>
      <c r="G655" s="12"/>
      <c r="H655" s="12" t="s">
        <v>40</v>
      </c>
      <c r="I655" s="12"/>
      <c r="J655" s="12"/>
      <c r="K655" s="12"/>
      <c r="L655" s="12">
        <v>48622</v>
      </c>
      <c r="M655" s="15">
        <f t="shared" si="180"/>
        <v>5</v>
      </c>
      <c r="N655" s="15">
        <f t="shared" si="181"/>
        <v>0</v>
      </c>
      <c r="O655" s="12">
        <v>48622</v>
      </c>
      <c r="P655" s="12">
        <f t="shared" si="178"/>
        <v>4051.8333333333335</v>
      </c>
      <c r="Q655" s="12">
        <f t="shared" si="179"/>
        <v>4051.8333333333335</v>
      </c>
    </row>
    <row r="656" spans="1:18" x14ac:dyDescent="0.3">
      <c r="A656" s="1">
        <f t="shared" si="182"/>
        <v>8</v>
      </c>
      <c r="B656" s="2" t="s">
        <v>615</v>
      </c>
      <c r="C656" s="3" t="s">
        <v>444</v>
      </c>
      <c r="D656" s="12" t="s">
        <v>40</v>
      </c>
      <c r="E656" s="12" t="s">
        <v>40</v>
      </c>
      <c r="F656" s="12"/>
      <c r="G656" s="12"/>
      <c r="H656" s="12" t="s">
        <v>40</v>
      </c>
      <c r="I656" s="12"/>
      <c r="J656" s="12"/>
      <c r="K656" s="12"/>
      <c r="L656" s="12">
        <v>30944</v>
      </c>
      <c r="M656" s="15">
        <f t="shared" si="180"/>
        <v>5</v>
      </c>
      <c r="N656" s="15">
        <f t="shared" si="181"/>
        <v>0</v>
      </c>
      <c r="O656" s="12">
        <v>30944</v>
      </c>
      <c r="P656" s="12">
        <f t="shared" si="178"/>
        <v>2578.6666666666665</v>
      </c>
      <c r="Q656" s="12">
        <f t="shared" si="179"/>
        <v>2578.6666666666665</v>
      </c>
    </row>
    <row r="657" spans="1:17" x14ac:dyDescent="0.3">
      <c r="A657" s="1">
        <f t="shared" si="182"/>
        <v>9</v>
      </c>
      <c r="B657" s="2" t="s">
        <v>616</v>
      </c>
      <c r="C657" s="3" t="s">
        <v>444</v>
      </c>
      <c r="D657" s="12" t="s">
        <v>40</v>
      </c>
      <c r="E657" s="12" t="s">
        <v>40</v>
      </c>
      <c r="F657" s="12"/>
      <c r="G657" s="12"/>
      <c r="H657" s="12" t="s">
        <v>40</v>
      </c>
      <c r="I657" s="12"/>
      <c r="J657" s="12"/>
      <c r="K657" s="12"/>
      <c r="L657" s="12">
        <v>22903.33</v>
      </c>
      <c r="M657" s="15">
        <f t="shared" si="180"/>
        <v>5</v>
      </c>
      <c r="N657" s="15">
        <f t="shared" si="181"/>
        <v>0</v>
      </c>
      <c r="O657" s="12">
        <v>22903.33</v>
      </c>
      <c r="P657" s="12">
        <f t="shared" si="178"/>
        <v>1908.6108333333334</v>
      </c>
      <c r="Q657" s="12">
        <f t="shared" si="179"/>
        <v>1908.6108333333334</v>
      </c>
    </row>
    <row r="658" spans="1:17" x14ac:dyDescent="0.3">
      <c r="A658" s="1">
        <f t="shared" si="182"/>
        <v>10</v>
      </c>
      <c r="B658" s="2" t="s">
        <v>617</v>
      </c>
      <c r="C658" s="3" t="s">
        <v>444</v>
      </c>
      <c r="D658" s="12" t="s">
        <v>40</v>
      </c>
      <c r="E658" s="12" t="s">
        <v>40</v>
      </c>
      <c r="F658" s="12"/>
      <c r="G658" s="12"/>
      <c r="H658" s="12" t="s">
        <v>40</v>
      </c>
      <c r="I658" s="12"/>
      <c r="J658" s="12" t="s">
        <v>40</v>
      </c>
      <c r="K658" s="12"/>
      <c r="L658" s="12">
        <v>10360</v>
      </c>
      <c r="M658" s="15">
        <f t="shared" si="180"/>
        <v>15</v>
      </c>
      <c r="N658" s="15">
        <f t="shared" si="181"/>
        <v>0</v>
      </c>
      <c r="O658" s="12">
        <v>10360</v>
      </c>
      <c r="P658" s="12">
        <f t="shared" si="178"/>
        <v>863.33333333333337</v>
      </c>
      <c r="Q658" s="12">
        <f t="shared" si="179"/>
        <v>863.33333333333337</v>
      </c>
    </row>
    <row r="659" spans="1:17" x14ac:dyDescent="0.3">
      <c r="A659" s="1">
        <f t="shared" si="182"/>
        <v>11</v>
      </c>
      <c r="B659" s="2" t="s">
        <v>618</v>
      </c>
      <c r="C659" s="3" t="s">
        <v>444</v>
      </c>
      <c r="D659" s="12" t="s">
        <v>40</v>
      </c>
      <c r="E659" s="12" t="s">
        <v>40</v>
      </c>
      <c r="F659" s="12"/>
      <c r="G659" s="12"/>
      <c r="H659" s="12" t="s">
        <v>40</v>
      </c>
      <c r="I659" s="12"/>
      <c r="J659" s="12"/>
      <c r="K659" s="12"/>
      <c r="L659" s="12">
        <v>0</v>
      </c>
      <c r="M659" s="15">
        <f t="shared" si="180"/>
        <v>5</v>
      </c>
      <c r="N659" s="15">
        <f t="shared" si="181"/>
        <v>0</v>
      </c>
      <c r="O659" s="20"/>
      <c r="P659" s="12">
        <f t="shared" si="178"/>
        <v>0</v>
      </c>
      <c r="Q659" s="20"/>
    </row>
    <row r="660" spans="1:17" x14ac:dyDescent="0.3">
      <c r="A660" s="1">
        <f t="shared" si="182"/>
        <v>12</v>
      </c>
      <c r="B660" s="2" t="s">
        <v>619</v>
      </c>
      <c r="C660" s="3" t="s">
        <v>444</v>
      </c>
      <c r="D660" s="12" t="s">
        <v>40</v>
      </c>
      <c r="E660" s="12" t="s">
        <v>40</v>
      </c>
      <c r="F660" s="12"/>
      <c r="G660" s="12"/>
      <c r="H660" s="12" t="s">
        <v>40</v>
      </c>
      <c r="I660" s="12" t="s">
        <v>40</v>
      </c>
      <c r="J660" s="12" t="s">
        <v>40</v>
      </c>
      <c r="K660" s="12"/>
      <c r="L660" s="12">
        <v>239000</v>
      </c>
      <c r="M660" s="15">
        <f t="shared" si="180"/>
        <v>20</v>
      </c>
      <c r="N660" s="15">
        <f t="shared" si="181"/>
        <v>0</v>
      </c>
      <c r="O660" s="12">
        <v>239000</v>
      </c>
      <c r="P660" s="12">
        <f t="shared" si="178"/>
        <v>19916.666666666668</v>
      </c>
      <c r="Q660" s="12">
        <f t="shared" si="179"/>
        <v>19916.666666666668</v>
      </c>
    </row>
    <row r="661" spans="1:17" x14ac:dyDescent="0.3">
      <c r="A661" s="1">
        <f t="shared" si="182"/>
        <v>13</v>
      </c>
      <c r="B661" s="2" t="s">
        <v>620</v>
      </c>
      <c r="C661" s="3" t="s">
        <v>444</v>
      </c>
      <c r="D661" s="12" t="s">
        <v>40</v>
      </c>
      <c r="E661" s="12" t="s">
        <v>40</v>
      </c>
      <c r="F661" s="12"/>
      <c r="G661" s="12"/>
      <c r="H661" s="12" t="s">
        <v>40</v>
      </c>
      <c r="I661" s="12" t="s">
        <v>40</v>
      </c>
      <c r="J661" s="12"/>
      <c r="K661" s="12"/>
      <c r="L661" s="12">
        <v>218587.85</v>
      </c>
      <c r="M661" s="15">
        <f t="shared" si="180"/>
        <v>10</v>
      </c>
      <c r="N661" s="15">
        <f t="shared" si="181"/>
        <v>0</v>
      </c>
      <c r="O661" s="12">
        <v>218587.85</v>
      </c>
      <c r="P661" s="12">
        <f t="shared" si="178"/>
        <v>18215.654166666667</v>
      </c>
      <c r="Q661" s="12">
        <f t="shared" si="179"/>
        <v>18215.654166666667</v>
      </c>
    </row>
    <row r="662" spans="1:17" x14ac:dyDescent="0.3">
      <c r="A662" s="1">
        <f t="shared" si="182"/>
        <v>14</v>
      </c>
      <c r="B662" s="2" t="s">
        <v>621</v>
      </c>
      <c r="C662" s="3" t="s">
        <v>444</v>
      </c>
      <c r="D662" s="12" t="s">
        <v>40</v>
      </c>
      <c r="E662" s="12" t="s">
        <v>40</v>
      </c>
      <c r="F662" s="12"/>
      <c r="G662" s="12"/>
      <c r="H662" s="12" t="s">
        <v>40</v>
      </c>
      <c r="I662" s="12" t="s">
        <v>40</v>
      </c>
      <c r="J662" s="12" t="s">
        <v>40</v>
      </c>
      <c r="K662" s="12"/>
      <c r="L662" s="12">
        <v>92000</v>
      </c>
      <c r="M662" s="15">
        <f t="shared" si="180"/>
        <v>20</v>
      </c>
      <c r="N662" s="15">
        <f t="shared" si="181"/>
        <v>0</v>
      </c>
      <c r="O662" s="12">
        <v>92000</v>
      </c>
      <c r="P662" s="12">
        <f t="shared" si="178"/>
        <v>7666.666666666667</v>
      </c>
      <c r="Q662" s="12">
        <f t="shared" si="179"/>
        <v>7666.666666666667</v>
      </c>
    </row>
    <row r="663" spans="1:17" x14ac:dyDescent="0.3">
      <c r="A663" s="1">
        <f t="shared" si="182"/>
        <v>15</v>
      </c>
      <c r="B663" s="2" t="s">
        <v>622</v>
      </c>
      <c r="C663" s="3" t="s">
        <v>444</v>
      </c>
      <c r="D663" s="12" t="s">
        <v>40</v>
      </c>
      <c r="E663" s="12" t="s">
        <v>40</v>
      </c>
      <c r="F663" s="12"/>
      <c r="G663" s="12"/>
      <c r="H663" s="12"/>
      <c r="I663" s="12"/>
      <c r="J663" s="12"/>
      <c r="K663" s="12"/>
      <c r="L663" s="12">
        <v>0</v>
      </c>
      <c r="M663" s="15">
        <f t="shared" si="180"/>
        <v>2</v>
      </c>
      <c r="N663" s="15">
        <f t="shared" si="181"/>
        <v>0</v>
      </c>
      <c r="O663" s="20"/>
      <c r="P663" s="12">
        <f t="shared" si="178"/>
        <v>0</v>
      </c>
      <c r="Q663" s="20"/>
    </row>
    <row r="664" spans="1:17" x14ac:dyDescent="0.3">
      <c r="A664" s="1">
        <f t="shared" si="182"/>
        <v>16</v>
      </c>
      <c r="B664" s="2" t="s">
        <v>623</v>
      </c>
      <c r="C664" s="3" t="s">
        <v>444</v>
      </c>
      <c r="D664" s="12" t="s">
        <v>40</v>
      </c>
      <c r="E664" s="12" t="s">
        <v>40</v>
      </c>
      <c r="F664" s="12" t="s">
        <v>40</v>
      </c>
      <c r="G664" s="12"/>
      <c r="H664" s="12"/>
      <c r="I664" s="12"/>
      <c r="J664" s="12"/>
      <c r="K664" s="12"/>
      <c r="L664" s="12">
        <v>139400</v>
      </c>
      <c r="M664" s="15">
        <f t="shared" si="180"/>
        <v>4</v>
      </c>
      <c r="N664" s="15">
        <f t="shared" si="181"/>
        <v>0</v>
      </c>
      <c r="O664" s="12">
        <v>139400</v>
      </c>
      <c r="P664" s="12">
        <f t="shared" si="178"/>
        <v>11616.666666666666</v>
      </c>
      <c r="Q664" s="12">
        <f t="shared" si="179"/>
        <v>11616.666666666666</v>
      </c>
    </row>
    <row r="665" spans="1:17" x14ac:dyDescent="0.3">
      <c r="A665" s="1">
        <f t="shared" si="182"/>
        <v>17</v>
      </c>
      <c r="B665" s="2" t="s">
        <v>624</v>
      </c>
      <c r="C665" s="3" t="s">
        <v>444</v>
      </c>
      <c r="D665" s="12" t="s">
        <v>40</v>
      </c>
      <c r="E665" s="12" t="s">
        <v>40</v>
      </c>
      <c r="F665" s="12"/>
      <c r="G665" s="12"/>
      <c r="H665" s="12"/>
      <c r="I665" s="12"/>
      <c r="J665" s="12"/>
      <c r="K665" s="12"/>
      <c r="L665" s="12">
        <v>36000</v>
      </c>
      <c r="M665" s="15">
        <f t="shared" si="180"/>
        <v>2</v>
      </c>
      <c r="N665" s="15">
        <f t="shared" si="181"/>
        <v>0</v>
      </c>
      <c r="O665" s="12">
        <v>36000</v>
      </c>
      <c r="P665" s="12">
        <f t="shared" si="178"/>
        <v>3000</v>
      </c>
      <c r="Q665" s="12">
        <f t="shared" si="179"/>
        <v>3000</v>
      </c>
    </row>
    <row r="666" spans="1:17" x14ac:dyDescent="0.3">
      <c r="A666" s="1">
        <f t="shared" si="182"/>
        <v>18</v>
      </c>
      <c r="B666" s="2" t="s">
        <v>625</v>
      </c>
      <c r="C666" s="3" t="s">
        <v>444</v>
      </c>
      <c r="D666" s="12" t="s">
        <v>40</v>
      </c>
      <c r="E666" s="12" t="s">
        <v>40</v>
      </c>
      <c r="F666" s="12"/>
      <c r="G666" s="12"/>
      <c r="H666" s="12"/>
      <c r="I666" s="12"/>
      <c r="J666" s="12"/>
      <c r="K666" s="12"/>
      <c r="L666" s="12">
        <v>0</v>
      </c>
      <c r="M666" s="15">
        <f t="shared" si="180"/>
        <v>2</v>
      </c>
      <c r="N666" s="15">
        <f t="shared" si="181"/>
        <v>0</v>
      </c>
      <c r="O666" s="20"/>
      <c r="P666" s="12">
        <f t="shared" si="178"/>
        <v>0</v>
      </c>
      <c r="Q666" s="20"/>
    </row>
    <row r="667" spans="1:17" x14ac:dyDescent="0.3">
      <c r="A667" s="1">
        <f t="shared" si="182"/>
        <v>19</v>
      </c>
      <c r="B667" s="2" t="s">
        <v>626</v>
      </c>
      <c r="C667" s="3" t="s">
        <v>444</v>
      </c>
      <c r="D667" s="12" t="s">
        <v>40</v>
      </c>
      <c r="E667" s="12" t="s">
        <v>40</v>
      </c>
      <c r="F667" s="12"/>
      <c r="G667" s="12"/>
      <c r="H667" s="12" t="s">
        <v>40</v>
      </c>
      <c r="I667" s="12" t="s">
        <v>40</v>
      </c>
      <c r="J667" s="12" t="s">
        <v>40</v>
      </c>
      <c r="K667" s="12"/>
      <c r="L667" s="12">
        <v>96000</v>
      </c>
      <c r="M667" s="15">
        <f t="shared" si="180"/>
        <v>20</v>
      </c>
      <c r="N667" s="15">
        <f t="shared" si="181"/>
        <v>0</v>
      </c>
      <c r="O667" s="12">
        <v>96000</v>
      </c>
      <c r="P667" s="12">
        <f t="shared" si="178"/>
        <v>8000</v>
      </c>
      <c r="Q667" s="12">
        <f t="shared" si="179"/>
        <v>8000</v>
      </c>
    </row>
    <row r="668" spans="1:17" x14ac:dyDescent="0.3">
      <c r="A668" s="1">
        <f t="shared" si="182"/>
        <v>20</v>
      </c>
      <c r="B668" s="10"/>
      <c r="C668" s="9"/>
      <c r="D668" s="13"/>
      <c r="E668" s="13"/>
      <c r="F668" s="13"/>
      <c r="G668" s="13"/>
      <c r="H668" s="13"/>
      <c r="I668" s="13"/>
      <c r="J668" s="13"/>
      <c r="K668" s="13"/>
      <c r="L668" s="13"/>
      <c r="M668" s="16"/>
      <c r="N668" s="16"/>
      <c r="O668" s="13"/>
      <c r="P668" s="13"/>
      <c r="Q668" s="13"/>
    </row>
    <row r="669" spans="1:17" x14ac:dyDescent="0.3">
      <c r="A669" s="1">
        <f t="shared" si="182"/>
        <v>21</v>
      </c>
      <c r="B669" s="2" t="s">
        <v>627</v>
      </c>
      <c r="C669" s="3" t="s">
        <v>444</v>
      </c>
      <c r="D669" s="12" t="s">
        <v>40</v>
      </c>
      <c r="E669" s="12" t="s">
        <v>40</v>
      </c>
      <c r="F669" s="12"/>
      <c r="G669" s="12"/>
      <c r="H669" s="12" t="s">
        <v>40</v>
      </c>
      <c r="I669" s="12"/>
      <c r="J669" s="12"/>
      <c r="K669" s="12"/>
      <c r="L669" s="12">
        <v>124800</v>
      </c>
      <c r="M669" s="15">
        <f t="shared" si="180"/>
        <v>5</v>
      </c>
      <c r="N669" s="15">
        <f t="shared" si="181"/>
        <v>0</v>
      </c>
      <c r="O669" s="12">
        <v>124800</v>
      </c>
      <c r="P669" s="12">
        <f t="shared" si="178"/>
        <v>10400</v>
      </c>
      <c r="Q669" s="12">
        <f t="shared" si="179"/>
        <v>10400</v>
      </c>
    </row>
    <row r="670" spans="1:17" x14ac:dyDescent="0.3">
      <c r="A670" s="1">
        <f t="shared" si="182"/>
        <v>22</v>
      </c>
      <c r="B670" s="2" t="s">
        <v>628</v>
      </c>
      <c r="C670" s="3" t="s">
        <v>444</v>
      </c>
      <c r="D670" s="12" t="s">
        <v>40</v>
      </c>
      <c r="E670" s="12" t="s">
        <v>40</v>
      </c>
      <c r="F670" s="12"/>
      <c r="G670" s="12" t="s">
        <v>40</v>
      </c>
      <c r="H670" s="12"/>
      <c r="I670" s="12"/>
      <c r="J670" s="12"/>
      <c r="K670" s="12"/>
      <c r="L670" s="12">
        <v>20115</v>
      </c>
      <c r="M670" s="15">
        <f t="shared" si="180"/>
        <v>4</v>
      </c>
      <c r="N670" s="15">
        <f t="shared" si="181"/>
        <v>0</v>
      </c>
      <c r="O670" s="12">
        <v>20115</v>
      </c>
      <c r="P670" s="12">
        <f t="shared" si="178"/>
        <v>1676.25</v>
      </c>
      <c r="Q670" s="12">
        <f t="shared" si="179"/>
        <v>1676.25</v>
      </c>
    </row>
    <row r="671" spans="1:17" x14ac:dyDescent="0.3">
      <c r="A671" s="1">
        <f t="shared" si="182"/>
        <v>23</v>
      </c>
      <c r="B671" s="2" t="s">
        <v>629</v>
      </c>
      <c r="C671" s="3" t="s">
        <v>444</v>
      </c>
      <c r="D671" s="12" t="s">
        <v>40</v>
      </c>
      <c r="E671" s="12" t="s">
        <v>40</v>
      </c>
      <c r="F671" s="12"/>
      <c r="G671" s="12"/>
      <c r="H671" s="12"/>
      <c r="I671" s="12"/>
      <c r="J671" s="12"/>
      <c r="K671" s="12"/>
      <c r="L671" s="12">
        <v>0</v>
      </c>
      <c r="M671" s="15">
        <f t="shared" si="180"/>
        <v>2</v>
      </c>
      <c r="N671" s="15">
        <f t="shared" si="181"/>
        <v>0</v>
      </c>
      <c r="O671" s="20"/>
      <c r="P671" s="12">
        <f t="shared" si="178"/>
        <v>0</v>
      </c>
      <c r="Q671" s="20"/>
    </row>
    <row r="672" spans="1:17" x14ac:dyDescent="0.3">
      <c r="A672" s="1">
        <f t="shared" si="182"/>
        <v>24</v>
      </c>
      <c r="B672" s="18" t="s">
        <v>630</v>
      </c>
      <c r="C672" s="3" t="s">
        <v>444</v>
      </c>
      <c r="D672" s="12" t="s">
        <v>40</v>
      </c>
      <c r="E672" s="12" t="s">
        <v>40</v>
      </c>
      <c r="F672" s="12"/>
      <c r="G672" s="12"/>
      <c r="H672" s="12" t="s">
        <v>40</v>
      </c>
      <c r="I672" s="12"/>
      <c r="J672" s="12"/>
      <c r="K672" s="12"/>
      <c r="L672" s="12">
        <v>51348</v>
      </c>
      <c r="M672" s="15">
        <f t="shared" si="180"/>
        <v>5</v>
      </c>
      <c r="N672" s="15">
        <f t="shared" si="181"/>
        <v>0</v>
      </c>
      <c r="O672" s="12">
        <v>51348</v>
      </c>
      <c r="P672" s="12">
        <f t="shared" si="178"/>
        <v>4279</v>
      </c>
      <c r="Q672" s="12">
        <f t="shared" si="179"/>
        <v>4279</v>
      </c>
    </row>
    <row r="673" spans="1:20" x14ac:dyDescent="0.3">
      <c r="A673" s="1">
        <f t="shared" si="182"/>
        <v>25</v>
      </c>
      <c r="B673" s="2" t="s">
        <v>631</v>
      </c>
      <c r="C673" s="3" t="s">
        <v>444</v>
      </c>
      <c r="D673" s="12" t="s">
        <v>40</v>
      </c>
      <c r="E673" s="12" t="s">
        <v>40</v>
      </c>
      <c r="F673" s="12"/>
      <c r="G673" s="12"/>
      <c r="H673" s="12"/>
      <c r="I673" s="12"/>
      <c r="J673" s="12"/>
      <c r="K673" s="12"/>
      <c r="L673" s="12">
        <v>25200</v>
      </c>
      <c r="M673" s="15">
        <f t="shared" si="180"/>
        <v>2</v>
      </c>
      <c r="N673" s="15">
        <f t="shared" si="181"/>
        <v>0</v>
      </c>
      <c r="O673" s="12">
        <v>25200</v>
      </c>
      <c r="P673" s="12">
        <f t="shared" si="178"/>
        <v>2100</v>
      </c>
      <c r="Q673" s="12">
        <f t="shared" si="179"/>
        <v>2100</v>
      </c>
    </row>
    <row r="674" spans="1:20" x14ac:dyDescent="0.3">
      <c r="A674" s="1">
        <f t="shared" si="182"/>
        <v>26</v>
      </c>
      <c r="B674" s="18" t="s">
        <v>632</v>
      </c>
      <c r="C674" s="3" t="s">
        <v>444</v>
      </c>
      <c r="D674" s="12" t="s">
        <v>40</v>
      </c>
      <c r="E674" s="12" t="s">
        <v>40</v>
      </c>
      <c r="F674" s="12"/>
      <c r="G674" s="12"/>
      <c r="H674" s="12"/>
      <c r="I674" s="12"/>
      <c r="J674" s="12"/>
      <c r="K674" s="12"/>
      <c r="L674" s="12">
        <v>0</v>
      </c>
      <c r="M674" s="15">
        <f t="shared" si="180"/>
        <v>2</v>
      </c>
      <c r="N674" s="15">
        <f t="shared" si="181"/>
        <v>0</v>
      </c>
      <c r="O674" s="20"/>
      <c r="P674" s="12">
        <f t="shared" si="178"/>
        <v>0</v>
      </c>
      <c r="Q674" s="20"/>
    </row>
    <row r="675" spans="1:20" x14ac:dyDescent="0.3">
      <c r="A675" s="1">
        <f t="shared" si="182"/>
        <v>27</v>
      </c>
      <c r="B675" s="2" t="s">
        <v>633</v>
      </c>
      <c r="C675" s="3" t="s">
        <v>444</v>
      </c>
      <c r="D675" s="12" t="s">
        <v>40</v>
      </c>
      <c r="E675" s="12" t="s">
        <v>40</v>
      </c>
      <c r="F675" s="12"/>
      <c r="G675" s="12"/>
      <c r="H675" s="12"/>
      <c r="I675" s="12"/>
      <c r="J675" s="12"/>
      <c r="K675" s="12"/>
      <c r="L675" s="12">
        <v>7200</v>
      </c>
      <c r="M675" s="15">
        <f t="shared" si="180"/>
        <v>2</v>
      </c>
      <c r="N675" s="15">
        <f t="shared" si="181"/>
        <v>0</v>
      </c>
      <c r="O675" s="12">
        <v>7200</v>
      </c>
      <c r="P675" s="12">
        <f t="shared" si="178"/>
        <v>600</v>
      </c>
      <c r="Q675" s="12">
        <f t="shared" si="179"/>
        <v>600</v>
      </c>
    </row>
    <row r="676" spans="1:20" x14ac:dyDescent="0.3">
      <c r="A676" s="1">
        <f t="shared" si="182"/>
        <v>28</v>
      </c>
      <c r="B676" s="2" t="s">
        <v>634</v>
      </c>
      <c r="C676" s="3" t="s">
        <v>444</v>
      </c>
      <c r="D676" s="12" t="s">
        <v>40</v>
      </c>
      <c r="E676" s="12" t="s">
        <v>40</v>
      </c>
      <c r="F676" s="12"/>
      <c r="G676" s="12"/>
      <c r="H676" s="12" t="s">
        <v>40</v>
      </c>
      <c r="I676" s="12"/>
      <c r="J676" s="12"/>
      <c r="K676" s="12"/>
      <c r="L676" s="12">
        <v>21775.4</v>
      </c>
      <c r="M676" s="15">
        <f t="shared" si="180"/>
        <v>5</v>
      </c>
      <c r="N676" s="15">
        <f t="shared" si="181"/>
        <v>0</v>
      </c>
      <c r="O676" s="12">
        <v>21775.4</v>
      </c>
      <c r="P676" s="12">
        <f t="shared" si="178"/>
        <v>1814.6166666666668</v>
      </c>
      <c r="Q676" s="12">
        <f t="shared" si="179"/>
        <v>1814.6166666666668</v>
      </c>
    </row>
    <row r="677" spans="1:20" x14ac:dyDescent="0.3">
      <c r="A677" s="1">
        <f t="shared" si="182"/>
        <v>29</v>
      </c>
      <c r="B677" s="2" t="s">
        <v>635</v>
      </c>
      <c r="C677" s="3" t="s">
        <v>444</v>
      </c>
      <c r="D677" s="12" t="s">
        <v>40</v>
      </c>
      <c r="E677" s="12" t="s">
        <v>40</v>
      </c>
      <c r="F677" s="12"/>
      <c r="G677" s="12"/>
      <c r="H677" s="12"/>
      <c r="I677" s="12"/>
      <c r="J677" s="12"/>
      <c r="K677" s="12"/>
      <c r="L677" s="12">
        <v>0</v>
      </c>
      <c r="M677" s="15">
        <f t="shared" si="180"/>
        <v>2</v>
      </c>
      <c r="N677" s="15">
        <f t="shared" si="181"/>
        <v>0</v>
      </c>
      <c r="O677" s="20"/>
      <c r="P677" s="12">
        <f t="shared" si="178"/>
        <v>0</v>
      </c>
      <c r="Q677" s="20"/>
    </row>
    <row r="678" spans="1:20" x14ac:dyDescent="0.3">
      <c r="A678" s="1">
        <f t="shared" si="182"/>
        <v>30</v>
      </c>
      <c r="B678" s="18" t="s">
        <v>636</v>
      </c>
      <c r="C678" s="3" t="s">
        <v>444</v>
      </c>
      <c r="D678" s="12" t="s">
        <v>40</v>
      </c>
      <c r="E678" s="12" t="s">
        <v>40</v>
      </c>
      <c r="F678" s="12"/>
      <c r="G678" s="12"/>
      <c r="H678" s="12"/>
      <c r="I678" s="12"/>
      <c r="J678" s="12"/>
      <c r="K678" s="12"/>
      <c r="L678" s="12">
        <v>0</v>
      </c>
      <c r="M678" s="15">
        <f t="shared" si="180"/>
        <v>2</v>
      </c>
      <c r="N678" s="15">
        <f t="shared" si="181"/>
        <v>0</v>
      </c>
      <c r="O678" s="20"/>
      <c r="P678" s="12">
        <f t="shared" si="178"/>
        <v>0</v>
      </c>
      <c r="Q678" s="20"/>
    </row>
    <row r="679" spans="1:20" x14ac:dyDescent="0.3">
      <c r="B679" s="29"/>
      <c r="L679" s="14">
        <f>+AVERAGE(L649:L678)</f>
        <v>80949.652142857158</v>
      </c>
      <c r="M679" s="14">
        <f>+AVERAGE(M649:M678)</f>
        <v>6.8928571428571432</v>
      </c>
      <c r="N679" s="14">
        <f>+SUM(N649:N678)</f>
        <v>0</v>
      </c>
      <c r="O679" s="14">
        <f>+AVERAGE(O649:O678)</f>
        <v>80216.87947368421</v>
      </c>
      <c r="P679" s="14">
        <f>+AVERAGE(P649:P678)</f>
        <v>6745.8043452380953</v>
      </c>
      <c r="Q679" s="14">
        <f>+AVERAGE(Q649:Q678)</f>
        <v>6684.7399561403508</v>
      </c>
      <c r="R679" s="14">
        <f>30-COUNTBLANK(R649:R678)</f>
        <v>0</v>
      </c>
    </row>
    <row r="680" spans="1:20" x14ac:dyDescent="0.3">
      <c r="L680" s="14">
        <f>+STDEV(L649:L678)</f>
        <v>145777.70478020734</v>
      </c>
      <c r="M680" s="14">
        <f>+STDEV(M649:M678)</f>
        <v>6.2854286851903547</v>
      </c>
      <c r="N680" s="17"/>
      <c r="O680" s="14">
        <f>+STDEV(O649:O678)</f>
        <v>68206.879670672322</v>
      </c>
      <c r="P680" s="14">
        <f>+STDEV(P649:P678)</f>
        <v>12148.142065017279</v>
      </c>
      <c r="Q680" s="14">
        <f>+STDEV(Q649:Q678)</f>
        <v>5683.9066392226923</v>
      </c>
    </row>
    <row r="681" spans="1:20" x14ac:dyDescent="0.3">
      <c r="I681" s="15"/>
      <c r="J681" s="15"/>
      <c r="K681" s="11" t="s">
        <v>75</v>
      </c>
      <c r="L681" s="14">
        <f>+COUNTIF(L649:L678,0)</f>
        <v>8</v>
      </c>
      <c r="M681" s="14">
        <f>+COUNT(M649:M678)</f>
        <v>28</v>
      </c>
      <c r="P681" s="14">
        <f>+COUNTIF(P649:P678,0)</f>
        <v>8</v>
      </c>
    </row>
    <row r="683" spans="1:20" x14ac:dyDescent="0.3">
      <c r="A683" s="1">
        <v>1</v>
      </c>
      <c r="B683" s="2" t="s">
        <v>637</v>
      </c>
      <c r="C683" s="3" t="s">
        <v>288</v>
      </c>
      <c r="D683" s="12" t="s">
        <v>40</v>
      </c>
      <c r="E683" s="12" t="s">
        <v>40</v>
      </c>
      <c r="F683" s="12" t="s">
        <v>40</v>
      </c>
      <c r="G683" s="12" t="s">
        <v>40</v>
      </c>
      <c r="H683" s="12" t="s">
        <v>40</v>
      </c>
      <c r="I683" s="12" t="s">
        <v>40</v>
      </c>
      <c r="J683" s="12"/>
      <c r="K683" s="12"/>
      <c r="L683" s="12">
        <v>110000</v>
      </c>
      <c r="M683" s="15">
        <f>+IF(D683="X",1,0)+IF(E683="X",1,0)+IF(F683="X",2,0)+IF(G683="X",2,0)+IF(H683="X",3,IF(H683="Y",1.5,0))+IF(I683="X",5,IF(I683="Y",2.5,0))+IF(J683="X",10,IF(J683="Y",5,0))</f>
        <v>14</v>
      </c>
      <c r="N683" s="15">
        <f>+IF(K683="X",1,0)</f>
        <v>0</v>
      </c>
      <c r="O683" s="12">
        <v>110000</v>
      </c>
      <c r="P683" s="12">
        <f t="shared" ref="P683:P712" si="186">+L683/12</f>
        <v>9166.6666666666661</v>
      </c>
      <c r="Q683" s="12">
        <f t="shared" ref="Q683:Q712" si="187">+O683/12</f>
        <v>9166.6666666666661</v>
      </c>
    </row>
    <row r="684" spans="1:20" x14ac:dyDescent="0.3">
      <c r="A684" s="1">
        <f>+A683+1</f>
        <v>2</v>
      </c>
      <c r="B684" s="2" t="s">
        <v>638</v>
      </c>
      <c r="C684" s="3" t="s">
        <v>288</v>
      </c>
      <c r="D684" s="12" t="s">
        <v>40</v>
      </c>
      <c r="E684" s="12" t="s">
        <v>40</v>
      </c>
      <c r="F684" s="12"/>
      <c r="G684" s="12"/>
      <c r="H684" s="12" t="s">
        <v>40</v>
      </c>
      <c r="I684" s="12"/>
      <c r="J684" s="12"/>
      <c r="K684" s="12"/>
      <c r="L684" s="12">
        <v>255648.28</v>
      </c>
      <c r="M684" s="15">
        <f t="shared" ref="M684:M712" si="188">+IF(D684="X",1,0)+IF(E684="X",1,0)+IF(F684="X",2,0)+IF(G684="X",2,0)+IF(H684="X",3,IF(H684="Y",1.5,0))+IF(I684="X",5,IF(I684="Y",2.5,0))+IF(J684="X",10,IF(J684="Y",5,0))</f>
        <v>5</v>
      </c>
      <c r="N684" s="15">
        <f t="shared" ref="N684:N712" si="189">+IF(K684="X",1,0)</f>
        <v>0</v>
      </c>
      <c r="O684" s="12">
        <v>255648.28</v>
      </c>
      <c r="P684" s="12">
        <f t="shared" si="186"/>
        <v>21304.023333333334</v>
      </c>
      <c r="Q684" s="12">
        <f t="shared" si="187"/>
        <v>21304.023333333334</v>
      </c>
      <c r="S684" t="s">
        <v>288</v>
      </c>
      <c r="T684" t="s">
        <v>151</v>
      </c>
    </row>
    <row r="685" spans="1:20" x14ac:dyDescent="0.3">
      <c r="A685" s="1">
        <f t="shared" ref="A685:A712" si="190">+A684+1</f>
        <v>3</v>
      </c>
      <c r="B685" s="2" t="s">
        <v>639</v>
      </c>
      <c r="C685" s="3" t="s">
        <v>288</v>
      </c>
      <c r="D685" s="12" t="s">
        <v>40</v>
      </c>
      <c r="E685" s="12" t="s">
        <v>40</v>
      </c>
      <c r="F685" s="12"/>
      <c r="G685" s="12"/>
      <c r="H685" s="12" t="s">
        <v>40</v>
      </c>
      <c r="I685" s="12"/>
      <c r="J685" s="12"/>
      <c r="K685" s="12"/>
      <c r="L685" s="12">
        <v>139577</v>
      </c>
      <c r="M685" s="15">
        <f t="shared" si="188"/>
        <v>5</v>
      </c>
      <c r="N685" s="15">
        <f t="shared" si="189"/>
        <v>0</v>
      </c>
      <c r="O685" s="12">
        <v>139577</v>
      </c>
      <c r="P685" s="12">
        <f t="shared" si="186"/>
        <v>11631.416666666666</v>
      </c>
      <c r="Q685" s="12">
        <f t="shared" si="187"/>
        <v>11631.416666666666</v>
      </c>
    </row>
    <row r="686" spans="1:20" x14ac:dyDescent="0.3">
      <c r="A686" s="1">
        <f t="shared" si="190"/>
        <v>4</v>
      </c>
      <c r="B686" s="2" t="s">
        <v>640</v>
      </c>
      <c r="C686" s="3" t="s">
        <v>288</v>
      </c>
      <c r="D686" s="12" t="s">
        <v>40</v>
      </c>
      <c r="E686" s="12" t="s">
        <v>40</v>
      </c>
      <c r="F686" s="12"/>
      <c r="G686" s="12"/>
      <c r="H686" s="12" t="s">
        <v>40</v>
      </c>
      <c r="I686" s="12"/>
      <c r="J686" s="12"/>
      <c r="K686" s="12"/>
      <c r="L686" s="12">
        <v>620984</v>
      </c>
      <c r="M686" s="15">
        <f t="shared" si="188"/>
        <v>5</v>
      </c>
      <c r="N686" s="15">
        <f t="shared" si="189"/>
        <v>0</v>
      </c>
      <c r="O686" s="20"/>
      <c r="P686" s="12">
        <f t="shared" si="186"/>
        <v>51748.666666666664</v>
      </c>
      <c r="Q686" s="20"/>
      <c r="S686" t="s">
        <v>288</v>
      </c>
      <c r="T686" t="s">
        <v>151</v>
      </c>
    </row>
    <row r="687" spans="1:20" x14ac:dyDescent="0.3">
      <c r="A687" s="1">
        <f t="shared" si="190"/>
        <v>5</v>
      </c>
      <c r="B687" s="2" t="s">
        <v>641</v>
      </c>
      <c r="C687" s="3" t="s">
        <v>288</v>
      </c>
      <c r="D687" s="12" t="s">
        <v>40</v>
      </c>
      <c r="E687" s="12" t="s">
        <v>40</v>
      </c>
      <c r="F687" s="12"/>
      <c r="G687" s="12"/>
      <c r="H687" s="12" t="s">
        <v>40</v>
      </c>
      <c r="I687" s="12"/>
      <c r="J687" s="12"/>
      <c r="K687" s="12"/>
      <c r="L687" s="12">
        <v>65640</v>
      </c>
      <c r="M687" s="15">
        <f t="shared" si="188"/>
        <v>5</v>
      </c>
      <c r="N687" s="15">
        <f t="shared" si="189"/>
        <v>0</v>
      </c>
      <c r="O687" s="12">
        <v>65640</v>
      </c>
      <c r="P687" s="12">
        <f t="shared" si="186"/>
        <v>5470</v>
      </c>
      <c r="Q687" s="12">
        <f t="shared" si="187"/>
        <v>5470</v>
      </c>
      <c r="S687" t="s">
        <v>288</v>
      </c>
      <c r="T687" t="s">
        <v>151</v>
      </c>
    </row>
    <row r="688" spans="1:20" x14ac:dyDescent="0.3">
      <c r="A688" s="1">
        <f t="shared" si="190"/>
        <v>6</v>
      </c>
      <c r="B688" s="2" t="s">
        <v>642</v>
      </c>
      <c r="C688" s="3" t="s">
        <v>288</v>
      </c>
      <c r="D688" s="12" t="s">
        <v>40</v>
      </c>
      <c r="E688" s="12" t="s">
        <v>40</v>
      </c>
      <c r="F688" s="12"/>
      <c r="G688" s="12"/>
      <c r="H688" s="12" t="s">
        <v>40</v>
      </c>
      <c r="I688" s="12"/>
      <c r="J688" s="12"/>
      <c r="K688" s="12"/>
      <c r="L688" s="12">
        <v>39036</v>
      </c>
      <c r="M688" s="15">
        <f t="shared" si="188"/>
        <v>5</v>
      </c>
      <c r="N688" s="15">
        <f t="shared" si="189"/>
        <v>0</v>
      </c>
      <c r="O688" s="12">
        <v>39036</v>
      </c>
      <c r="P688" s="12">
        <f t="shared" si="186"/>
        <v>3253</v>
      </c>
      <c r="Q688" s="12">
        <f t="shared" si="187"/>
        <v>3253</v>
      </c>
    </row>
    <row r="689" spans="1:20" x14ac:dyDescent="0.3">
      <c r="A689" s="1">
        <f t="shared" si="190"/>
        <v>7</v>
      </c>
      <c r="B689" s="2" t="s">
        <v>643</v>
      </c>
      <c r="C689" s="3" t="s">
        <v>288</v>
      </c>
      <c r="D689" s="12" t="s">
        <v>40</v>
      </c>
      <c r="E689" s="12" t="s">
        <v>40</v>
      </c>
      <c r="F689" s="12"/>
      <c r="G689" s="12"/>
      <c r="H689" s="12" t="s">
        <v>40</v>
      </c>
      <c r="I689" s="12" t="s">
        <v>40</v>
      </c>
      <c r="J689" s="12" t="s">
        <v>40</v>
      </c>
      <c r="K689" s="12"/>
      <c r="L689" s="12">
        <v>195608.62</v>
      </c>
      <c r="M689" s="15">
        <f t="shared" si="188"/>
        <v>20</v>
      </c>
      <c r="N689" s="15">
        <f t="shared" si="189"/>
        <v>0</v>
      </c>
      <c r="O689" s="12">
        <v>195608.62</v>
      </c>
      <c r="P689" s="12">
        <f t="shared" si="186"/>
        <v>16300.718333333332</v>
      </c>
      <c r="Q689" s="12">
        <f t="shared" si="187"/>
        <v>16300.718333333332</v>
      </c>
    </row>
    <row r="690" spans="1:20" x14ac:dyDescent="0.3">
      <c r="A690" s="1">
        <f t="shared" si="190"/>
        <v>8</v>
      </c>
      <c r="B690" s="2" t="s">
        <v>644</v>
      </c>
      <c r="C690" s="3" t="s">
        <v>288</v>
      </c>
      <c r="D690" s="12" t="s">
        <v>40</v>
      </c>
      <c r="E690" s="12" t="s">
        <v>40</v>
      </c>
      <c r="F690" s="12"/>
      <c r="G690" s="12"/>
      <c r="H690" s="12"/>
      <c r="I690" s="12"/>
      <c r="J690" s="12"/>
      <c r="K690" s="12"/>
      <c r="L690" s="12">
        <v>0</v>
      </c>
      <c r="M690" s="15">
        <f t="shared" si="188"/>
        <v>2</v>
      </c>
      <c r="N690" s="15">
        <f t="shared" si="189"/>
        <v>0</v>
      </c>
      <c r="O690" s="20"/>
      <c r="P690" s="12">
        <f t="shared" si="186"/>
        <v>0</v>
      </c>
      <c r="Q690" s="20"/>
    </row>
    <row r="691" spans="1:20" x14ac:dyDescent="0.3">
      <c r="A691" s="1">
        <f t="shared" si="190"/>
        <v>9</v>
      </c>
      <c r="B691" s="2" t="s">
        <v>645</v>
      </c>
      <c r="C691" s="3" t="s">
        <v>288</v>
      </c>
      <c r="D691" s="12" t="s">
        <v>40</v>
      </c>
      <c r="E691" s="12" t="s">
        <v>40</v>
      </c>
      <c r="F691" s="12" t="s">
        <v>40</v>
      </c>
      <c r="G691" s="12"/>
      <c r="H691" s="12" t="s">
        <v>40</v>
      </c>
      <c r="I691" s="12"/>
      <c r="J691" s="12"/>
      <c r="K691" s="12"/>
      <c r="L691" s="12">
        <v>102000</v>
      </c>
      <c r="M691" s="15">
        <f t="shared" si="188"/>
        <v>7</v>
      </c>
      <c r="N691" s="15">
        <f t="shared" si="189"/>
        <v>0</v>
      </c>
      <c r="O691" s="12">
        <v>102000</v>
      </c>
      <c r="P691" s="12">
        <f t="shared" si="186"/>
        <v>8500</v>
      </c>
      <c r="Q691" s="12">
        <f t="shared" si="187"/>
        <v>8500</v>
      </c>
    </row>
    <row r="692" spans="1:20" x14ac:dyDescent="0.3">
      <c r="A692" s="1">
        <f t="shared" si="190"/>
        <v>10</v>
      </c>
      <c r="B692" s="2" t="s">
        <v>646</v>
      </c>
      <c r="C692" s="3" t="s">
        <v>288</v>
      </c>
      <c r="D692" s="12" t="s">
        <v>40</v>
      </c>
      <c r="E692" s="12" t="s">
        <v>40</v>
      </c>
      <c r="F692" s="12"/>
      <c r="G692" s="12"/>
      <c r="H692" s="12" t="s">
        <v>40</v>
      </c>
      <c r="I692" s="12" t="s">
        <v>40</v>
      </c>
      <c r="J692" s="12"/>
      <c r="K692" s="12"/>
      <c r="L692" s="12">
        <v>519579.24</v>
      </c>
      <c r="M692" s="15">
        <f t="shared" si="188"/>
        <v>10</v>
      </c>
      <c r="N692" s="15">
        <f t="shared" si="189"/>
        <v>0</v>
      </c>
      <c r="O692" s="12">
        <v>519579.24</v>
      </c>
      <c r="P692" s="12">
        <f t="shared" si="186"/>
        <v>43298.27</v>
      </c>
      <c r="Q692" s="12">
        <f t="shared" si="187"/>
        <v>43298.27</v>
      </c>
      <c r="S692" t="s">
        <v>288</v>
      </c>
      <c r="T692" t="s">
        <v>647</v>
      </c>
    </row>
    <row r="693" spans="1:20" x14ac:dyDescent="0.3">
      <c r="A693" s="1">
        <f t="shared" si="190"/>
        <v>11</v>
      </c>
      <c r="B693" s="2" t="s">
        <v>648</v>
      </c>
      <c r="C693" s="3" t="s">
        <v>288</v>
      </c>
      <c r="D693" s="12" t="s">
        <v>40</v>
      </c>
      <c r="E693" s="12" t="s">
        <v>40</v>
      </c>
      <c r="F693" s="12"/>
      <c r="G693" s="12"/>
      <c r="H693" s="12" t="s">
        <v>40</v>
      </c>
      <c r="I693" s="12"/>
      <c r="J693" s="12"/>
      <c r="K693" s="12"/>
      <c r="L693" s="12">
        <v>37770</v>
      </c>
      <c r="M693" s="15">
        <f t="shared" si="188"/>
        <v>5</v>
      </c>
      <c r="N693" s="15">
        <f t="shared" si="189"/>
        <v>0</v>
      </c>
      <c r="O693" s="12">
        <v>37770</v>
      </c>
      <c r="P693" s="12">
        <f t="shared" si="186"/>
        <v>3147.5</v>
      </c>
      <c r="Q693" s="12">
        <f t="shared" si="187"/>
        <v>3147.5</v>
      </c>
    </row>
    <row r="694" spans="1:20" x14ac:dyDescent="0.3">
      <c r="A694" s="1">
        <f t="shared" si="190"/>
        <v>12</v>
      </c>
      <c r="B694" s="2" t="s">
        <v>649</v>
      </c>
      <c r="C694" s="3" t="s">
        <v>288</v>
      </c>
      <c r="D694" s="12" t="s">
        <v>40</v>
      </c>
      <c r="E694" s="12" t="s">
        <v>40</v>
      </c>
      <c r="F694" s="12"/>
      <c r="G694" s="12"/>
      <c r="H694" s="12" t="s">
        <v>40</v>
      </c>
      <c r="I694" s="12" t="s">
        <v>40</v>
      </c>
      <c r="J694" s="12" t="s">
        <v>40</v>
      </c>
      <c r="K694" s="12"/>
      <c r="L694" s="12">
        <v>0</v>
      </c>
      <c r="M694" s="15">
        <f t="shared" si="188"/>
        <v>20</v>
      </c>
      <c r="N694" s="15">
        <f t="shared" si="189"/>
        <v>0</v>
      </c>
      <c r="O694" s="20"/>
      <c r="P694" s="12">
        <f t="shared" si="186"/>
        <v>0</v>
      </c>
      <c r="Q694" s="20"/>
    </row>
    <row r="695" spans="1:20" x14ac:dyDescent="0.3">
      <c r="A695" s="1">
        <f t="shared" si="190"/>
        <v>13</v>
      </c>
      <c r="B695" s="2" t="s">
        <v>650</v>
      </c>
      <c r="C695" s="3" t="s">
        <v>288</v>
      </c>
      <c r="D695" s="12" t="s">
        <v>40</v>
      </c>
      <c r="E695" s="12" t="s">
        <v>40</v>
      </c>
      <c r="F695" s="12"/>
      <c r="G695" s="12"/>
      <c r="H695" s="12" t="s">
        <v>40</v>
      </c>
      <c r="I695" s="12" t="s">
        <v>40</v>
      </c>
      <c r="J695" s="12"/>
      <c r="K695" s="12"/>
      <c r="L695" s="12">
        <v>0</v>
      </c>
      <c r="M695" s="15">
        <f t="shared" si="188"/>
        <v>10</v>
      </c>
      <c r="N695" s="15">
        <f t="shared" si="189"/>
        <v>0</v>
      </c>
      <c r="O695" s="20"/>
      <c r="P695" s="12">
        <f t="shared" si="186"/>
        <v>0</v>
      </c>
      <c r="Q695" s="20"/>
    </row>
    <row r="696" spans="1:20" x14ac:dyDescent="0.3">
      <c r="A696" s="1">
        <f t="shared" si="190"/>
        <v>14</v>
      </c>
      <c r="B696" s="2" t="s">
        <v>651</v>
      </c>
      <c r="C696" s="3" t="s">
        <v>288</v>
      </c>
      <c r="D696" s="12" t="s">
        <v>40</v>
      </c>
      <c r="E696" s="12" t="s">
        <v>40</v>
      </c>
      <c r="F696" s="12"/>
      <c r="G696" s="12"/>
      <c r="H696" s="12"/>
      <c r="I696" s="12"/>
      <c r="J696" s="12"/>
      <c r="K696" s="12"/>
      <c r="L696" s="12">
        <v>15017.4</v>
      </c>
      <c r="M696" s="15">
        <f t="shared" si="188"/>
        <v>2</v>
      </c>
      <c r="N696" s="15">
        <f t="shared" si="189"/>
        <v>0</v>
      </c>
      <c r="O696" s="12">
        <v>15017.4</v>
      </c>
      <c r="P696" s="12">
        <f t="shared" si="186"/>
        <v>1251.45</v>
      </c>
      <c r="Q696" s="12">
        <f t="shared" si="187"/>
        <v>1251.45</v>
      </c>
    </row>
    <row r="697" spans="1:20" x14ac:dyDescent="0.3">
      <c r="A697" s="1">
        <f t="shared" si="190"/>
        <v>15</v>
      </c>
      <c r="B697" s="2" t="s">
        <v>652</v>
      </c>
      <c r="C697" s="3" t="s">
        <v>288</v>
      </c>
      <c r="D697" s="12" t="s">
        <v>40</v>
      </c>
      <c r="E697" s="12" t="s">
        <v>40</v>
      </c>
      <c r="F697" s="12"/>
      <c r="G697" s="12"/>
      <c r="H697" s="12" t="s">
        <v>40</v>
      </c>
      <c r="I697" s="12" t="s">
        <v>40</v>
      </c>
      <c r="J697" s="12" t="s">
        <v>40</v>
      </c>
      <c r="K697" s="12"/>
      <c r="L697" s="12">
        <v>198000</v>
      </c>
      <c r="M697" s="15">
        <f t="shared" si="188"/>
        <v>20</v>
      </c>
      <c r="N697" s="15">
        <f t="shared" si="189"/>
        <v>0</v>
      </c>
      <c r="O697" s="12">
        <v>198000</v>
      </c>
      <c r="P697" s="12">
        <f t="shared" si="186"/>
        <v>16500</v>
      </c>
      <c r="Q697" s="12">
        <f t="shared" si="187"/>
        <v>16500</v>
      </c>
    </row>
    <row r="698" spans="1:20" x14ac:dyDescent="0.3">
      <c r="A698" s="1">
        <f t="shared" si="190"/>
        <v>16</v>
      </c>
      <c r="B698" s="2" t="s">
        <v>653</v>
      </c>
      <c r="C698" s="3" t="s">
        <v>288</v>
      </c>
      <c r="D698" s="12" t="s">
        <v>40</v>
      </c>
      <c r="E698" s="12" t="s">
        <v>40</v>
      </c>
      <c r="F698" s="12"/>
      <c r="G698" s="12"/>
      <c r="H698" s="12" t="s">
        <v>40</v>
      </c>
      <c r="I698" s="12" t="s">
        <v>40</v>
      </c>
      <c r="J698" s="12"/>
      <c r="K698" s="12"/>
      <c r="L698" s="12">
        <v>25025</v>
      </c>
      <c r="M698" s="15">
        <f t="shared" si="188"/>
        <v>10</v>
      </c>
      <c r="N698" s="15">
        <f t="shared" si="189"/>
        <v>0</v>
      </c>
      <c r="O698" s="12">
        <v>25025</v>
      </c>
      <c r="P698" s="12">
        <f t="shared" si="186"/>
        <v>2085.4166666666665</v>
      </c>
      <c r="Q698" s="12">
        <f t="shared" si="187"/>
        <v>2085.4166666666665</v>
      </c>
      <c r="S698" t="s">
        <v>288</v>
      </c>
      <c r="T698" t="s">
        <v>151</v>
      </c>
    </row>
    <row r="699" spans="1:20" x14ac:dyDescent="0.3">
      <c r="A699" s="1">
        <f t="shared" si="190"/>
        <v>17</v>
      </c>
      <c r="B699" s="2" t="s">
        <v>654</v>
      </c>
      <c r="C699" s="3" t="s">
        <v>288</v>
      </c>
      <c r="D699" s="12" t="s">
        <v>40</v>
      </c>
      <c r="E699" s="12" t="s">
        <v>40</v>
      </c>
      <c r="F699" s="12"/>
      <c r="G699" s="12"/>
      <c r="H699" s="12" t="s">
        <v>40</v>
      </c>
      <c r="I699" s="12"/>
      <c r="J699" s="12"/>
      <c r="K699" s="12"/>
      <c r="L699" s="12">
        <v>0</v>
      </c>
      <c r="M699" s="15">
        <f t="shared" si="188"/>
        <v>5</v>
      </c>
      <c r="N699" s="15">
        <f t="shared" si="189"/>
        <v>0</v>
      </c>
      <c r="O699" s="20"/>
      <c r="P699" s="12">
        <f t="shared" si="186"/>
        <v>0</v>
      </c>
      <c r="Q699" s="20"/>
    </row>
    <row r="700" spans="1:20" x14ac:dyDescent="0.3">
      <c r="A700" s="1">
        <f t="shared" si="190"/>
        <v>18</v>
      </c>
      <c r="B700" s="2" t="s">
        <v>655</v>
      </c>
      <c r="C700" s="3" t="s">
        <v>288</v>
      </c>
      <c r="D700" s="12" t="s">
        <v>40</v>
      </c>
      <c r="E700" s="12" t="s">
        <v>40</v>
      </c>
      <c r="F700" s="12"/>
      <c r="G700" s="12"/>
      <c r="H700" s="12" t="s">
        <v>40</v>
      </c>
      <c r="I700" s="12" t="s">
        <v>40</v>
      </c>
      <c r="J700" s="12"/>
      <c r="K700" s="12"/>
      <c r="L700" s="12">
        <v>320477</v>
      </c>
      <c r="M700" s="15">
        <f t="shared" si="188"/>
        <v>10</v>
      </c>
      <c r="N700" s="15">
        <f t="shared" si="189"/>
        <v>0</v>
      </c>
      <c r="O700" s="12">
        <v>320477</v>
      </c>
      <c r="P700" s="12">
        <f t="shared" si="186"/>
        <v>26706.416666666668</v>
      </c>
      <c r="Q700" s="12">
        <f t="shared" si="187"/>
        <v>26706.416666666668</v>
      </c>
      <c r="S700" t="s">
        <v>288</v>
      </c>
      <c r="T700" t="s">
        <v>151</v>
      </c>
    </row>
    <row r="701" spans="1:20" x14ac:dyDescent="0.3">
      <c r="A701" s="1">
        <f t="shared" si="190"/>
        <v>19</v>
      </c>
      <c r="B701" s="2" t="s">
        <v>656</v>
      </c>
      <c r="C701" s="3" t="s">
        <v>288</v>
      </c>
      <c r="D701" s="12" t="s">
        <v>40</v>
      </c>
      <c r="E701" s="12" t="s">
        <v>40</v>
      </c>
      <c r="F701" s="12"/>
      <c r="G701" s="12"/>
      <c r="H701" s="12" t="s">
        <v>40</v>
      </c>
      <c r="I701" s="12" t="s">
        <v>43</v>
      </c>
      <c r="J701" s="12"/>
      <c r="K701" s="12"/>
      <c r="L701" s="12">
        <v>62340</v>
      </c>
      <c r="M701" s="15">
        <f t="shared" si="188"/>
        <v>7.5</v>
      </c>
      <c r="N701" s="15">
        <f t="shared" si="189"/>
        <v>0</v>
      </c>
      <c r="O701" s="12">
        <v>62340</v>
      </c>
      <c r="P701" s="12">
        <f t="shared" si="186"/>
        <v>5195</v>
      </c>
      <c r="Q701" s="12">
        <f t="shared" si="187"/>
        <v>5195</v>
      </c>
    </row>
    <row r="702" spans="1:20" x14ac:dyDescent="0.3">
      <c r="A702" s="1">
        <f t="shared" si="190"/>
        <v>20</v>
      </c>
      <c r="B702" s="2" t="s">
        <v>657</v>
      </c>
      <c r="C702" s="3" t="s">
        <v>288</v>
      </c>
      <c r="D702" s="12" t="s">
        <v>40</v>
      </c>
      <c r="E702" s="12" t="s">
        <v>40</v>
      </c>
      <c r="F702" s="12"/>
      <c r="G702" s="12"/>
      <c r="H702" s="12" t="s">
        <v>40</v>
      </c>
      <c r="I702" s="12"/>
      <c r="J702" s="12"/>
      <c r="K702" s="12"/>
      <c r="L702" s="12">
        <v>0</v>
      </c>
      <c r="M702" s="15">
        <f t="shared" si="188"/>
        <v>5</v>
      </c>
      <c r="N702" s="15">
        <f t="shared" si="189"/>
        <v>0</v>
      </c>
      <c r="O702" s="20"/>
      <c r="P702" s="12">
        <f t="shared" si="186"/>
        <v>0</v>
      </c>
      <c r="Q702" s="20"/>
      <c r="S702" t="s">
        <v>288</v>
      </c>
      <c r="T702" t="s">
        <v>658</v>
      </c>
    </row>
    <row r="703" spans="1:20" x14ac:dyDescent="0.3">
      <c r="A703" s="1">
        <f t="shared" si="190"/>
        <v>21</v>
      </c>
      <c r="B703" s="2" t="s">
        <v>659</v>
      </c>
      <c r="C703" s="3" t="s">
        <v>288</v>
      </c>
      <c r="D703" s="12" t="s">
        <v>40</v>
      </c>
      <c r="E703" s="12" t="s">
        <v>40</v>
      </c>
      <c r="F703" s="12"/>
      <c r="G703" s="12"/>
      <c r="H703" s="12" t="s">
        <v>40</v>
      </c>
      <c r="I703" s="12"/>
      <c r="J703" s="12"/>
      <c r="K703" s="12"/>
      <c r="L703" s="12">
        <v>0</v>
      </c>
      <c r="M703" s="15">
        <f t="shared" si="188"/>
        <v>5</v>
      </c>
      <c r="N703" s="15">
        <f t="shared" si="189"/>
        <v>0</v>
      </c>
      <c r="O703" s="20"/>
      <c r="P703" s="12">
        <f t="shared" si="186"/>
        <v>0</v>
      </c>
      <c r="Q703" s="20"/>
    </row>
    <row r="704" spans="1:20" x14ac:dyDescent="0.3">
      <c r="A704" s="1">
        <f t="shared" si="190"/>
        <v>22</v>
      </c>
      <c r="B704" s="2" t="s">
        <v>660</v>
      </c>
      <c r="C704" s="3" t="s">
        <v>288</v>
      </c>
      <c r="D704" s="12" t="s">
        <v>40</v>
      </c>
      <c r="E704" s="12" t="s">
        <v>40</v>
      </c>
      <c r="F704" s="12"/>
      <c r="G704" s="12" t="s">
        <v>40</v>
      </c>
      <c r="H704" s="12" t="s">
        <v>40</v>
      </c>
      <c r="I704" s="12"/>
      <c r="J704" s="12"/>
      <c r="K704" s="12"/>
      <c r="L704" s="12">
        <v>132000</v>
      </c>
      <c r="M704" s="15">
        <f t="shared" si="188"/>
        <v>7</v>
      </c>
      <c r="N704" s="15">
        <f t="shared" si="189"/>
        <v>0</v>
      </c>
      <c r="O704" s="12">
        <v>132000</v>
      </c>
      <c r="P704" s="12">
        <f t="shared" si="186"/>
        <v>11000</v>
      </c>
      <c r="Q704" s="12">
        <f t="shared" si="187"/>
        <v>11000</v>
      </c>
    </row>
    <row r="705" spans="1:20" x14ac:dyDescent="0.3">
      <c r="A705" s="1">
        <f t="shared" si="190"/>
        <v>23</v>
      </c>
      <c r="B705" s="2" t="s">
        <v>661</v>
      </c>
      <c r="C705" s="3" t="s">
        <v>288</v>
      </c>
      <c r="D705" s="12" t="s">
        <v>40</v>
      </c>
      <c r="E705" s="12" t="s">
        <v>40</v>
      </c>
      <c r="F705" s="12" t="s">
        <v>40</v>
      </c>
      <c r="G705" s="12"/>
      <c r="H705" s="12" t="s">
        <v>40</v>
      </c>
      <c r="I705" s="12" t="s">
        <v>40</v>
      </c>
      <c r="J705" s="12"/>
      <c r="K705" s="12"/>
      <c r="L705" s="12">
        <v>83069.73</v>
      </c>
      <c r="M705" s="15">
        <f t="shared" si="188"/>
        <v>12</v>
      </c>
      <c r="N705" s="15">
        <f t="shared" si="189"/>
        <v>0</v>
      </c>
      <c r="O705" s="12">
        <v>83069.73</v>
      </c>
      <c r="P705" s="12">
        <f t="shared" si="186"/>
        <v>6922.4775</v>
      </c>
      <c r="Q705" s="12">
        <f t="shared" si="187"/>
        <v>6922.4775</v>
      </c>
    </row>
    <row r="706" spans="1:20" x14ac:dyDescent="0.3">
      <c r="A706" s="1">
        <f t="shared" si="190"/>
        <v>24</v>
      </c>
      <c r="B706" s="10"/>
      <c r="C706" s="9"/>
      <c r="D706" s="13"/>
      <c r="E706" s="13"/>
      <c r="F706" s="13"/>
      <c r="G706" s="13"/>
      <c r="H706" s="13"/>
      <c r="I706" s="13"/>
      <c r="J706" s="13"/>
      <c r="K706" s="13"/>
      <c r="L706" s="13"/>
      <c r="M706" s="16"/>
      <c r="N706" s="16"/>
      <c r="O706" s="13"/>
      <c r="P706" s="13"/>
      <c r="Q706" s="13"/>
    </row>
    <row r="707" spans="1:20" x14ac:dyDescent="0.3">
      <c r="A707" s="1">
        <f t="shared" si="190"/>
        <v>25</v>
      </c>
      <c r="B707" s="2" t="s">
        <v>662</v>
      </c>
      <c r="C707" s="3" t="s">
        <v>288</v>
      </c>
      <c r="D707" s="12" t="s">
        <v>40</v>
      </c>
      <c r="E707" s="12" t="s">
        <v>40</v>
      </c>
      <c r="F707" s="12"/>
      <c r="G707" s="12"/>
      <c r="H707" s="12"/>
      <c r="I707" s="12"/>
      <c r="J707" s="12"/>
      <c r="K707" s="12"/>
      <c r="L707" s="12">
        <v>0</v>
      </c>
      <c r="M707" s="15">
        <f t="shared" si="188"/>
        <v>2</v>
      </c>
      <c r="N707" s="15">
        <f t="shared" si="189"/>
        <v>0</v>
      </c>
      <c r="O707" s="20"/>
      <c r="P707" s="12">
        <f t="shared" ref="P707" si="191">+L707/12</f>
        <v>0</v>
      </c>
      <c r="Q707" s="20"/>
    </row>
    <row r="708" spans="1:20" x14ac:dyDescent="0.3">
      <c r="A708" s="1">
        <f t="shared" si="190"/>
        <v>26</v>
      </c>
      <c r="B708" s="2" t="s">
        <v>663</v>
      </c>
      <c r="C708" s="3" t="s">
        <v>288</v>
      </c>
      <c r="D708" s="12" t="s">
        <v>40</v>
      </c>
      <c r="E708" s="12" t="s">
        <v>40</v>
      </c>
      <c r="F708" s="12" t="s">
        <v>40</v>
      </c>
      <c r="G708" s="12" t="s">
        <v>40</v>
      </c>
      <c r="H708" s="12"/>
      <c r="I708" s="12"/>
      <c r="J708" s="12"/>
      <c r="K708" s="12"/>
      <c r="L708" s="12">
        <v>96000</v>
      </c>
      <c r="M708" s="15">
        <f t="shared" si="188"/>
        <v>6</v>
      </c>
      <c r="N708" s="15">
        <f t="shared" si="189"/>
        <v>0</v>
      </c>
      <c r="O708" s="12">
        <v>96000</v>
      </c>
      <c r="P708" s="12">
        <f t="shared" si="186"/>
        <v>8000</v>
      </c>
      <c r="Q708" s="12">
        <f t="shared" si="187"/>
        <v>8000</v>
      </c>
    </row>
    <row r="709" spans="1:20" x14ac:dyDescent="0.3">
      <c r="A709" s="1">
        <f t="shared" si="190"/>
        <v>27</v>
      </c>
      <c r="B709" s="2" t="s">
        <v>664</v>
      </c>
      <c r="C709" s="3" t="s">
        <v>288</v>
      </c>
      <c r="D709" s="12" t="s">
        <v>40</v>
      </c>
      <c r="E709" s="12" t="s">
        <v>40</v>
      </c>
      <c r="F709" s="12"/>
      <c r="G709" s="12"/>
      <c r="H709" s="12" t="s">
        <v>40</v>
      </c>
      <c r="I709" s="12"/>
      <c r="J709" s="12"/>
      <c r="K709" s="12"/>
      <c r="L709" s="12">
        <v>1500</v>
      </c>
      <c r="M709" s="15">
        <f t="shared" si="188"/>
        <v>5</v>
      </c>
      <c r="N709" s="15">
        <f t="shared" si="189"/>
        <v>0</v>
      </c>
      <c r="O709" s="12">
        <v>1500</v>
      </c>
      <c r="P709" s="12">
        <f t="shared" si="186"/>
        <v>125</v>
      </c>
      <c r="Q709" s="12">
        <f t="shared" si="187"/>
        <v>125</v>
      </c>
    </row>
    <row r="710" spans="1:20" x14ac:dyDescent="0.3">
      <c r="A710" s="1">
        <f t="shared" si="190"/>
        <v>28</v>
      </c>
      <c r="B710" s="2" t="s">
        <v>665</v>
      </c>
      <c r="C710" s="3" t="s">
        <v>288</v>
      </c>
      <c r="D710" s="12" t="s">
        <v>40</v>
      </c>
      <c r="E710" s="12" t="s">
        <v>40</v>
      </c>
      <c r="F710" s="12"/>
      <c r="G710" s="12"/>
      <c r="H710" s="12" t="s">
        <v>40</v>
      </c>
      <c r="I710" s="12" t="s">
        <v>40</v>
      </c>
      <c r="J710" s="12"/>
      <c r="K710" s="12"/>
      <c r="L710" s="12">
        <v>168424</v>
      </c>
      <c r="M710" s="15">
        <f t="shared" si="188"/>
        <v>10</v>
      </c>
      <c r="N710" s="15">
        <f t="shared" si="189"/>
        <v>0</v>
      </c>
      <c r="O710" s="12">
        <v>168424</v>
      </c>
      <c r="P710" s="12">
        <f t="shared" si="186"/>
        <v>14035.333333333334</v>
      </c>
      <c r="Q710" s="12">
        <f t="shared" si="187"/>
        <v>14035.333333333334</v>
      </c>
    </row>
    <row r="711" spans="1:20" x14ac:dyDescent="0.3">
      <c r="A711" s="1">
        <f t="shared" si="190"/>
        <v>29</v>
      </c>
      <c r="B711" s="2" t="s">
        <v>666</v>
      </c>
      <c r="C711" s="3" t="s">
        <v>288</v>
      </c>
      <c r="D711" s="12" t="s">
        <v>40</v>
      </c>
      <c r="E711" s="12" t="s">
        <v>40</v>
      </c>
      <c r="F711" s="12"/>
      <c r="G711" s="12"/>
      <c r="H711" s="12"/>
      <c r="I711" s="12"/>
      <c r="J711" s="12"/>
      <c r="K711" s="12"/>
      <c r="L711" s="12">
        <v>40392</v>
      </c>
      <c r="M711" s="15">
        <f t="shared" si="188"/>
        <v>2</v>
      </c>
      <c r="N711" s="15">
        <f t="shared" si="189"/>
        <v>0</v>
      </c>
      <c r="O711" s="12">
        <v>40392</v>
      </c>
      <c r="P711" s="12">
        <f t="shared" si="186"/>
        <v>3366</v>
      </c>
      <c r="Q711" s="12">
        <f t="shared" si="187"/>
        <v>3366</v>
      </c>
    </row>
    <row r="712" spans="1:20" x14ac:dyDescent="0.3">
      <c r="A712" s="1">
        <f t="shared" si="190"/>
        <v>30</v>
      </c>
      <c r="B712" s="2" t="s">
        <v>667</v>
      </c>
      <c r="C712" s="3" t="s">
        <v>288</v>
      </c>
      <c r="D712" s="12" t="s">
        <v>40</v>
      </c>
      <c r="E712" s="12" t="s">
        <v>40</v>
      </c>
      <c r="F712" s="12"/>
      <c r="G712" s="12"/>
      <c r="H712" s="12"/>
      <c r="I712" s="12"/>
      <c r="J712" s="12"/>
      <c r="K712" s="12"/>
      <c r="L712" s="12">
        <v>50424</v>
      </c>
      <c r="M712" s="15">
        <f t="shared" si="188"/>
        <v>2</v>
      </c>
      <c r="N712" s="15">
        <f t="shared" si="189"/>
        <v>0</v>
      </c>
      <c r="O712" s="12">
        <v>50424</v>
      </c>
      <c r="P712" s="12">
        <f t="shared" si="186"/>
        <v>4202</v>
      </c>
      <c r="Q712" s="12">
        <f t="shared" si="187"/>
        <v>4202</v>
      </c>
      <c r="S712" t="s">
        <v>288</v>
      </c>
      <c r="T712" t="s">
        <v>151</v>
      </c>
    </row>
    <row r="713" spans="1:20" x14ac:dyDescent="0.3">
      <c r="B713" s="29"/>
      <c r="L713" s="14">
        <f>+AVERAGE(L683:L712)</f>
        <v>113052.14724137931</v>
      </c>
      <c r="M713" s="14">
        <f>+AVERAGE(M683:M712)</f>
        <v>7.7068965517241379</v>
      </c>
      <c r="N713" s="14">
        <f>+SUM(N683:N712)</f>
        <v>0</v>
      </c>
      <c r="O713" s="14">
        <f>+AVERAGE(O683:O712)</f>
        <v>126548.96523809523</v>
      </c>
      <c r="P713" s="14">
        <f>+AVERAGE(P683:P712)</f>
        <v>9421.012270114943</v>
      </c>
      <c r="Q713" s="14">
        <f>+AVERAGE(Q683:Q712)</f>
        <v>10545.747103174603</v>
      </c>
      <c r="R713" s="14">
        <f>30-COUNTBLANK(R683:R712)</f>
        <v>0</v>
      </c>
    </row>
    <row r="714" spans="1:20" x14ac:dyDescent="0.3">
      <c r="L714" s="14">
        <f>+STDEV(L683:L712)</f>
        <v>152425.09780445849</v>
      </c>
      <c r="M714" s="14">
        <f>+STDEV(M683:M712)</f>
        <v>5.2703978593706857</v>
      </c>
      <c r="N714" s="17"/>
      <c r="O714" s="14">
        <f>+STDEV(O683:O712)</f>
        <v>122321.2498515258</v>
      </c>
      <c r="P714" s="14">
        <f>+STDEV(P683:P712)</f>
        <v>12702.091483704875</v>
      </c>
      <c r="Q714" s="14">
        <f>+STDEV(Q683:Q712)</f>
        <v>10193.437487627149</v>
      </c>
    </row>
    <row r="715" spans="1:20" x14ac:dyDescent="0.3">
      <c r="I715" s="15"/>
      <c r="J715" s="15"/>
      <c r="K715" s="11" t="s">
        <v>75</v>
      </c>
      <c r="L715" s="14">
        <f>+COUNTIF(L683:L712,0)</f>
        <v>7</v>
      </c>
      <c r="M715" s="14">
        <f>+COUNT(M683:M712)</f>
        <v>29</v>
      </c>
      <c r="P715" s="14">
        <f>+COUNTIF(P683:P712,0)</f>
        <v>7</v>
      </c>
    </row>
    <row r="717" spans="1:20" x14ac:dyDescent="0.3">
      <c r="A717" s="1">
        <v>1</v>
      </c>
      <c r="B717" s="2" t="s">
        <v>668</v>
      </c>
      <c r="C717" s="3" t="s">
        <v>446</v>
      </c>
      <c r="D717" s="12" t="s">
        <v>40</v>
      </c>
      <c r="E717" s="12" t="s">
        <v>40</v>
      </c>
      <c r="F717" s="12"/>
      <c r="G717" s="12"/>
      <c r="H717" s="12" t="s">
        <v>40</v>
      </c>
      <c r="I717" s="12"/>
      <c r="J717" s="12"/>
      <c r="K717" s="12"/>
      <c r="L717" s="12">
        <v>72000</v>
      </c>
      <c r="M717" s="15">
        <f>+IF(D717="X",1,0)+IF(E717="X",1,0)+IF(F717="X",2,0)+IF(G717="X",2,0)+IF(H717="X",3,IF(H717="Y",1.5,0))+IF(I717="X",5,IF(I717="Y",2.5,0))+IF(J717="X",10,IF(J717="Y",5,0))</f>
        <v>5</v>
      </c>
      <c r="N717" s="15">
        <f>+IF(K717="X",1,0)</f>
        <v>0</v>
      </c>
      <c r="O717" s="12">
        <v>72000</v>
      </c>
      <c r="P717" s="12">
        <f t="shared" ref="P717:P746" si="192">+L717/12</f>
        <v>6000</v>
      </c>
      <c r="Q717" s="12">
        <f t="shared" ref="Q717:Q746" si="193">+O717/12</f>
        <v>6000</v>
      </c>
    </row>
    <row r="718" spans="1:20" x14ac:dyDescent="0.3">
      <c r="A718" s="1">
        <f>+A717+1</f>
        <v>2</v>
      </c>
      <c r="B718" s="2" t="s">
        <v>669</v>
      </c>
      <c r="C718" s="3" t="s">
        <v>446</v>
      </c>
      <c r="D718" s="12" t="s">
        <v>40</v>
      </c>
      <c r="E718" s="12" t="s">
        <v>40</v>
      </c>
      <c r="F718" s="12"/>
      <c r="G718" s="12"/>
      <c r="H718" s="12" t="s">
        <v>40</v>
      </c>
      <c r="I718" s="12" t="s">
        <v>40</v>
      </c>
      <c r="J718" s="12"/>
      <c r="K718" s="12"/>
      <c r="L718" s="12">
        <v>16800</v>
      </c>
      <c r="M718" s="15">
        <f t="shared" ref="M718:M746" si="194">+IF(D718="X",1,0)+IF(E718="X",1,0)+IF(F718="X",2,0)+IF(G718="X",2,0)+IF(H718="X",3,IF(H718="Y",1.5,0))+IF(I718="X",5,IF(I718="Y",2.5,0))+IF(J718="X",10,IF(J718="Y",5,0))</f>
        <v>10</v>
      </c>
      <c r="N718" s="15">
        <f t="shared" ref="N718:N746" si="195">+IF(K718="X",1,0)</f>
        <v>0</v>
      </c>
      <c r="O718" s="12">
        <v>16800</v>
      </c>
      <c r="P718" s="12">
        <f t="shared" si="192"/>
        <v>1400</v>
      </c>
      <c r="Q718" s="12">
        <f t="shared" si="193"/>
        <v>1400</v>
      </c>
    </row>
    <row r="719" spans="1:20" x14ac:dyDescent="0.3">
      <c r="A719" s="1">
        <f t="shared" ref="A719:A746" si="196">+A718+1</f>
        <v>3</v>
      </c>
      <c r="B719" s="2">
        <v>16423581</v>
      </c>
      <c r="C719" s="3" t="s">
        <v>446</v>
      </c>
      <c r="D719" s="12" t="s">
        <v>40</v>
      </c>
      <c r="E719" s="12" t="s">
        <v>40</v>
      </c>
      <c r="F719" s="12"/>
      <c r="G719" s="12"/>
      <c r="H719" s="12"/>
      <c r="I719" s="12"/>
      <c r="J719" s="12"/>
      <c r="K719" s="12"/>
      <c r="L719" s="12">
        <v>35188.019999999997</v>
      </c>
      <c r="M719" s="15">
        <f t="shared" si="194"/>
        <v>2</v>
      </c>
      <c r="N719" s="15">
        <f t="shared" si="195"/>
        <v>0</v>
      </c>
      <c r="O719" s="12">
        <v>35188.019999999997</v>
      </c>
      <c r="P719" s="12">
        <f t="shared" si="192"/>
        <v>2932.3349999999996</v>
      </c>
      <c r="Q719" s="12">
        <f t="shared" si="193"/>
        <v>2932.3349999999996</v>
      </c>
    </row>
    <row r="720" spans="1:20" x14ac:dyDescent="0.3">
      <c r="A720" s="1">
        <f t="shared" si="196"/>
        <v>4</v>
      </c>
      <c r="B720" s="10"/>
      <c r="C720" s="9"/>
      <c r="D720" s="13"/>
      <c r="E720" s="13"/>
      <c r="F720" s="13"/>
      <c r="G720" s="13"/>
      <c r="H720" s="13"/>
      <c r="I720" s="13"/>
      <c r="J720" s="13"/>
      <c r="K720" s="13"/>
      <c r="L720" s="13"/>
      <c r="M720" s="16"/>
      <c r="N720" s="16"/>
      <c r="O720" s="13"/>
      <c r="P720" s="13"/>
      <c r="Q720" s="13"/>
    </row>
    <row r="721" spans="1:17" x14ac:dyDescent="0.3">
      <c r="A721" s="1">
        <f t="shared" si="196"/>
        <v>5</v>
      </c>
      <c r="B721" s="4" t="s">
        <v>675</v>
      </c>
      <c r="C721" s="3" t="s">
        <v>446</v>
      </c>
      <c r="D721" s="12" t="s">
        <v>40</v>
      </c>
      <c r="E721" s="12" t="s">
        <v>40</v>
      </c>
      <c r="F721" s="12"/>
      <c r="G721" s="12"/>
      <c r="H721" s="12" t="s">
        <v>40</v>
      </c>
      <c r="I721" s="12"/>
      <c r="J721" s="12"/>
      <c r="K721" s="12"/>
      <c r="L721" s="12">
        <v>0</v>
      </c>
      <c r="M721" s="15">
        <f t="shared" si="194"/>
        <v>5</v>
      </c>
      <c r="N721" s="15">
        <f t="shared" si="195"/>
        <v>0</v>
      </c>
      <c r="O721" s="20"/>
      <c r="P721" s="12">
        <f t="shared" ref="P721" si="197">+L721/12</f>
        <v>0</v>
      </c>
      <c r="Q721" s="20"/>
    </row>
    <row r="722" spans="1:17" x14ac:dyDescent="0.3">
      <c r="A722" s="1">
        <f t="shared" si="196"/>
        <v>6</v>
      </c>
      <c r="B722" s="2">
        <v>40094050</v>
      </c>
      <c r="C722" s="3" t="s">
        <v>446</v>
      </c>
      <c r="D722" s="12" t="s">
        <v>40</v>
      </c>
      <c r="E722" s="12" t="s">
        <v>40</v>
      </c>
      <c r="F722" s="12" t="s">
        <v>40</v>
      </c>
      <c r="G722" s="12"/>
      <c r="H722" s="12"/>
      <c r="I722" s="12"/>
      <c r="J722" s="12"/>
      <c r="K722" s="12"/>
      <c r="L722" s="12">
        <v>39600</v>
      </c>
      <c r="M722" s="15">
        <f t="shared" si="194"/>
        <v>4</v>
      </c>
      <c r="N722" s="15">
        <f t="shared" si="195"/>
        <v>0</v>
      </c>
      <c r="O722" s="12">
        <v>39600</v>
      </c>
      <c r="P722" s="12">
        <f t="shared" si="192"/>
        <v>3300</v>
      </c>
      <c r="Q722" s="12">
        <f t="shared" si="193"/>
        <v>3300</v>
      </c>
    </row>
    <row r="723" spans="1:17" x14ac:dyDescent="0.3">
      <c r="A723" s="1">
        <f t="shared" si="196"/>
        <v>7</v>
      </c>
      <c r="B723" s="4" t="s">
        <v>676</v>
      </c>
      <c r="C723" s="3" t="s">
        <v>446</v>
      </c>
      <c r="D723" s="12" t="s">
        <v>40</v>
      </c>
      <c r="E723" s="12" t="s">
        <v>40</v>
      </c>
      <c r="F723" s="12"/>
      <c r="G723" s="12"/>
      <c r="H723" s="12" t="s">
        <v>40</v>
      </c>
      <c r="I723" s="12"/>
      <c r="J723" s="12"/>
      <c r="K723" s="12"/>
      <c r="L723" s="12">
        <v>53803.199999999997</v>
      </c>
      <c r="M723" s="15">
        <f t="shared" si="194"/>
        <v>5</v>
      </c>
      <c r="N723" s="15">
        <f t="shared" si="195"/>
        <v>0</v>
      </c>
      <c r="O723" s="12">
        <v>53803.199999999997</v>
      </c>
      <c r="P723" s="12">
        <f t="shared" si="192"/>
        <v>4483.5999999999995</v>
      </c>
      <c r="Q723" s="12">
        <f t="shared" si="193"/>
        <v>4483.5999999999995</v>
      </c>
    </row>
    <row r="724" spans="1:17" x14ac:dyDescent="0.3">
      <c r="A724" s="1">
        <f t="shared" si="196"/>
        <v>8</v>
      </c>
      <c r="B724" s="2" t="s">
        <v>670</v>
      </c>
      <c r="C724" s="3" t="s">
        <v>446</v>
      </c>
      <c r="D724" s="12" t="s">
        <v>40</v>
      </c>
      <c r="E724" s="12" t="s">
        <v>40</v>
      </c>
      <c r="F724" s="12"/>
      <c r="G724" s="12"/>
      <c r="H724" s="12" t="s">
        <v>40</v>
      </c>
      <c r="I724" s="12"/>
      <c r="J724" s="12"/>
      <c r="K724" s="12"/>
      <c r="L724" s="12">
        <v>311778.46000000002</v>
      </c>
      <c r="M724" s="15">
        <f t="shared" si="194"/>
        <v>5</v>
      </c>
      <c r="N724" s="15">
        <f t="shared" si="195"/>
        <v>0</v>
      </c>
      <c r="O724" s="20"/>
      <c r="P724" s="12">
        <f t="shared" si="192"/>
        <v>25981.538333333334</v>
      </c>
      <c r="Q724" s="20"/>
    </row>
    <row r="725" spans="1:17" x14ac:dyDescent="0.3">
      <c r="A725" s="1">
        <f t="shared" si="196"/>
        <v>9</v>
      </c>
      <c r="B725" s="28" t="s">
        <v>677</v>
      </c>
      <c r="C725" s="3" t="s">
        <v>446</v>
      </c>
      <c r="D725" s="12" t="s">
        <v>40</v>
      </c>
      <c r="E725" s="12" t="s">
        <v>40</v>
      </c>
      <c r="F725" s="12"/>
      <c r="G725" s="12"/>
      <c r="H725" s="12" t="s">
        <v>40</v>
      </c>
      <c r="I725" s="12" t="s">
        <v>40</v>
      </c>
      <c r="J725" s="12"/>
      <c r="K725" s="12"/>
      <c r="L725" s="12">
        <v>195600</v>
      </c>
      <c r="M725" s="15">
        <f t="shared" si="194"/>
        <v>10</v>
      </c>
      <c r="N725" s="15">
        <f t="shared" si="195"/>
        <v>0</v>
      </c>
      <c r="O725" s="12">
        <v>195600</v>
      </c>
      <c r="P725" s="12">
        <f t="shared" si="192"/>
        <v>16300</v>
      </c>
      <c r="Q725" s="12">
        <f t="shared" si="193"/>
        <v>16300</v>
      </c>
    </row>
    <row r="726" spans="1:17" x14ac:dyDescent="0.3">
      <c r="A726" s="1">
        <f t="shared" si="196"/>
        <v>10</v>
      </c>
      <c r="B726" s="2" t="s">
        <v>671</v>
      </c>
      <c r="C726" s="3" t="s">
        <v>446</v>
      </c>
      <c r="D726" s="12" t="s">
        <v>40</v>
      </c>
      <c r="E726" s="12" t="s">
        <v>40</v>
      </c>
      <c r="F726" s="12"/>
      <c r="G726" s="12"/>
      <c r="H726" s="12"/>
      <c r="I726" s="12"/>
      <c r="J726" s="12"/>
      <c r="K726" s="12"/>
      <c r="L726" s="12">
        <v>40370.300000000003</v>
      </c>
      <c r="M726" s="15">
        <f t="shared" si="194"/>
        <v>2</v>
      </c>
      <c r="N726" s="15">
        <f t="shared" si="195"/>
        <v>0</v>
      </c>
      <c r="O726" s="12">
        <v>40370.300000000003</v>
      </c>
      <c r="P726" s="12">
        <f t="shared" si="192"/>
        <v>3364.1916666666671</v>
      </c>
      <c r="Q726" s="12">
        <f t="shared" si="193"/>
        <v>3364.1916666666671</v>
      </c>
    </row>
    <row r="727" spans="1:17" x14ac:dyDescent="0.3">
      <c r="A727" s="1">
        <f t="shared" si="196"/>
        <v>11</v>
      </c>
      <c r="B727" s="10"/>
      <c r="C727" s="9"/>
      <c r="D727" s="13"/>
      <c r="E727" s="13"/>
      <c r="F727" s="13"/>
      <c r="G727" s="13"/>
      <c r="H727" s="13"/>
      <c r="I727" s="13"/>
      <c r="J727" s="13"/>
      <c r="K727" s="13"/>
      <c r="L727" s="13"/>
      <c r="M727" s="16"/>
      <c r="N727" s="16"/>
      <c r="O727" s="13"/>
      <c r="P727" s="13"/>
      <c r="Q727" s="13"/>
    </row>
    <row r="728" spans="1:17" x14ac:dyDescent="0.3">
      <c r="A728" s="1">
        <f t="shared" si="196"/>
        <v>12</v>
      </c>
      <c r="B728" s="2" t="s">
        <v>672</v>
      </c>
      <c r="C728" s="3" t="s">
        <v>446</v>
      </c>
      <c r="D728" s="12" t="s">
        <v>40</v>
      </c>
      <c r="E728" s="12" t="s">
        <v>40</v>
      </c>
      <c r="F728" s="12" t="s">
        <v>40</v>
      </c>
      <c r="G728" s="12"/>
      <c r="H728" s="12"/>
      <c r="I728" s="12"/>
      <c r="J728" s="12"/>
      <c r="K728" s="12"/>
      <c r="L728" s="12">
        <v>24000</v>
      </c>
      <c r="M728" s="15">
        <f t="shared" si="194"/>
        <v>4</v>
      </c>
      <c r="N728" s="15">
        <f t="shared" si="195"/>
        <v>0</v>
      </c>
      <c r="O728" s="12">
        <v>24000</v>
      </c>
      <c r="P728" s="12">
        <f t="shared" si="192"/>
        <v>2000</v>
      </c>
      <c r="Q728" s="12">
        <f t="shared" si="193"/>
        <v>2000</v>
      </c>
    </row>
    <row r="729" spans="1:17" x14ac:dyDescent="0.3">
      <c r="A729" s="1">
        <f t="shared" si="196"/>
        <v>13</v>
      </c>
      <c r="B729" s="4" t="s">
        <v>678</v>
      </c>
      <c r="C729" s="3" t="s">
        <v>446</v>
      </c>
      <c r="D729" s="12" t="s">
        <v>40</v>
      </c>
      <c r="E729" s="12" t="s">
        <v>40</v>
      </c>
      <c r="F729" s="12"/>
      <c r="G729" s="12"/>
      <c r="H729" s="12"/>
      <c r="I729" s="12"/>
      <c r="J729" s="12"/>
      <c r="K729" s="12"/>
      <c r="L729" s="12"/>
      <c r="M729" s="15">
        <f t="shared" si="194"/>
        <v>2</v>
      </c>
      <c r="N729" s="15">
        <f t="shared" si="195"/>
        <v>0</v>
      </c>
      <c r="O729" s="20"/>
      <c r="P729" s="12">
        <f t="shared" si="192"/>
        <v>0</v>
      </c>
      <c r="Q729" s="20"/>
    </row>
    <row r="730" spans="1:17" x14ac:dyDescent="0.3">
      <c r="A730" s="1">
        <f t="shared" si="196"/>
        <v>14</v>
      </c>
      <c r="B730" s="10"/>
      <c r="C730" s="9"/>
      <c r="D730" s="13"/>
      <c r="E730" s="13"/>
      <c r="F730" s="13"/>
      <c r="G730" s="13"/>
      <c r="H730" s="13"/>
      <c r="I730" s="13"/>
      <c r="J730" s="13"/>
      <c r="K730" s="13"/>
      <c r="L730" s="13"/>
      <c r="M730" s="16"/>
      <c r="N730" s="16"/>
      <c r="O730" s="13"/>
      <c r="P730" s="13"/>
      <c r="Q730" s="13"/>
    </row>
    <row r="731" spans="1:17" x14ac:dyDescent="0.3">
      <c r="A731" s="1">
        <f t="shared" si="196"/>
        <v>15</v>
      </c>
      <c r="B731" s="2">
        <v>22064552</v>
      </c>
      <c r="C731" s="3" t="s">
        <v>446</v>
      </c>
      <c r="D731" s="12" t="s">
        <v>40</v>
      </c>
      <c r="E731" s="12" t="s">
        <v>40</v>
      </c>
      <c r="F731" s="12"/>
      <c r="G731" s="12"/>
      <c r="H731" s="12"/>
      <c r="I731" s="12"/>
      <c r="J731" s="12"/>
      <c r="K731" s="12"/>
      <c r="L731" s="12">
        <v>33338.04</v>
      </c>
      <c r="M731" s="15">
        <f t="shared" si="194"/>
        <v>2</v>
      </c>
      <c r="N731" s="15">
        <f t="shared" si="195"/>
        <v>0</v>
      </c>
      <c r="O731" s="12">
        <v>33338.04</v>
      </c>
      <c r="P731" s="12">
        <f t="shared" si="192"/>
        <v>2778.17</v>
      </c>
      <c r="Q731" s="12">
        <f t="shared" si="193"/>
        <v>2778.17</v>
      </c>
    </row>
    <row r="732" spans="1:17" x14ac:dyDescent="0.3">
      <c r="A732" s="1">
        <f t="shared" si="196"/>
        <v>16</v>
      </c>
      <c r="B732" s="4" t="s">
        <v>679</v>
      </c>
      <c r="C732" s="3" t="s">
        <v>446</v>
      </c>
      <c r="D732" s="12" t="s">
        <v>40</v>
      </c>
      <c r="E732" s="12" t="s">
        <v>40</v>
      </c>
      <c r="F732" s="12"/>
      <c r="G732" s="12"/>
      <c r="H732" s="12"/>
      <c r="I732" s="12"/>
      <c r="J732" s="12"/>
      <c r="K732" s="12"/>
      <c r="L732" s="12">
        <v>0</v>
      </c>
      <c r="M732" s="15">
        <f t="shared" si="194"/>
        <v>2</v>
      </c>
      <c r="N732" s="15">
        <f t="shared" si="195"/>
        <v>0</v>
      </c>
      <c r="O732" s="20"/>
      <c r="P732" s="12">
        <f t="shared" si="192"/>
        <v>0</v>
      </c>
      <c r="Q732" s="20"/>
    </row>
    <row r="733" spans="1:17" x14ac:dyDescent="0.3">
      <c r="A733" s="1">
        <f t="shared" si="196"/>
        <v>17</v>
      </c>
      <c r="B733" s="2" t="s">
        <v>673</v>
      </c>
      <c r="C733" s="3" t="s">
        <v>446</v>
      </c>
      <c r="D733" s="12" t="s">
        <v>40</v>
      </c>
      <c r="E733" s="12" t="s">
        <v>40</v>
      </c>
      <c r="F733" s="12"/>
      <c r="G733" s="12"/>
      <c r="H733" s="12" t="s">
        <v>40</v>
      </c>
      <c r="I733" s="12"/>
      <c r="J733" s="12"/>
      <c r="K733" s="12"/>
      <c r="L733" s="12">
        <v>75904.5</v>
      </c>
      <c r="M733" s="15">
        <f t="shared" si="194"/>
        <v>5</v>
      </c>
      <c r="N733" s="15">
        <f t="shared" si="195"/>
        <v>0</v>
      </c>
      <c r="O733" s="12">
        <v>75904.5</v>
      </c>
      <c r="P733" s="12">
        <f t="shared" si="192"/>
        <v>6325.375</v>
      </c>
      <c r="Q733" s="12">
        <f t="shared" si="193"/>
        <v>6325.375</v>
      </c>
    </row>
    <row r="734" spans="1:17" x14ac:dyDescent="0.3">
      <c r="A734" s="1">
        <f t="shared" si="196"/>
        <v>18</v>
      </c>
      <c r="B734" s="10"/>
      <c r="C734" s="9"/>
      <c r="D734" s="13"/>
      <c r="E734" s="13"/>
      <c r="F734" s="13"/>
      <c r="G734" s="13"/>
      <c r="H734" s="13"/>
      <c r="I734" s="13"/>
      <c r="J734" s="13"/>
      <c r="K734" s="13"/>
      <c r="L734" s="13"/>
      <c r="M734" s="16"/>
      <c r="N734" s="16"/>
      <c r="O734" s="13"/>
      <c r="P734" s="13"/>
      <c r="Q734" s="13"/>
    </row>
    <row r="735" spans="1:17" x14ac:dyDescent="0.3">
      <c r="A735" s="1">
        <f t="shared" si="196"/>
        <v>19</v>
      </c>
      <c r="B735" s="4" t="s">
        <v>680</v>
      </c>
      <c r="C735" s="3" t="s">
        <v>446</v>
      </c>
      <c r="D735" s="12" t="s">
        <v>40</v>
      </c>
      <c r="E735" s="12" t="s">
        <v>40</v>
      </c>
      <c r="F735" s="12"/>
      <c r="G735" s="12"/>
      <c r="H735" s="12"/>
      <c r="I735" s="12"/>
      <c r="J735" s="12"/>
      <c r="K735" s="12"/>
      <c r="L735" s="12">
        <v>50000</v>
      </c>
      <c r="M735" s="15">
        <f t="shared" si="194"/>
        <v>2</v>
      </c>
      <c r="N735" s="15">
        <f t="shared" si="195"/>
        <v>0</v>
      </c>
      <c r="O735" s="12">
        <v>50000</v>
      </c>
      <c r="P735" s="12">
        <f t="shared" si="192"/>
        <v>4166.666666666667</v>
      </c>
      <c r="Q735" s="12">
        <f t="shared" si="193"/>
        <v>4166.666666666667</v>
      </c>
    </row>
    <row r="736" spans="1:17" x14ac:dyDescent="0.3">
      <c r="A736" s="1">
        <f t="shared" si="196"/>
        <v>20</v>
      </c>
      <c r="B736" s="10"/>
      <c r="C736" s="9"/>
      <c r="D736" s="13"/>
      <c r="E736" s="13"/>
      <c r="F736" s="13"/>
      <c r="G736" s="13"/>
      <c r="H736" s="13"/>
      <c r="I736" s="13"/>
      <c r="J736" s="13"/>
      <c r="K736" s="13"/>
      <c r="L736" s="13"/>
      <c r="M736" s="16"/>
      <c r="N736" s="16"/>
      <c r="O736" s="13"/>
      <c r="P736" s="13"/>
      <c r="Q736" s="13"/>
    </row>
    <row r="737" spans="1:18" x14ac:dyDescent="0.3">
      <c r="A737" s="1">
        <f t="shared" si="196"/>
        <v>21</v>
      </c>
      <c r="B737" s="2">
        <v>29715553</v>
      </c>
      <c r="C737" s="3" t="s">
        <v>446</v>
      </c>
      <c r="D737" s="12" t="s">
        <v>40</v>
      </c>
      <c r="E737" s="12" t="s">
        <v>40</v>
      </c>
      <c r="F737" s="12"/>
      <c r="G737" s="12"/>
      <c r="H737" s="12"/>
      <c r="I737" s="12"/>
      <c r="J737" s="12"/>
      <c r="K737" s="12"/>
      <c r="L737" s="12">
        <v>180000</v>
      </c>
      <c r="M737" s="15">
        <f t="shared" si="194"/>
        <v>2</v>
      </c>
      <c r="N737" s="15">
        <f t="shared" si="195"/>
        <v>0</v>
      </c>
      <c r="O737" s="12">
        <v>180000</v>
      </c>
      <c r="P737" s="12">
        <f t="shared" si="192"/>
        <v>15000</v>
      </c>
      <c r="Q737" s="12">
        <f t="shared" si="193"/>
        <v>15000</v>
      </c>
    </row>
    <row r="738" spans="1:18" x14ac:dyDescent="0.3">
      <c r="A738" s="1">
        <f t="shared" si="196"/>
        <v>22</v>
      </c>
      <c r="B738" s="4" t="s">
        <v>681</v>
      </c>
      <c r="C738" s="3" t="s">
        <v>446</v>
      </c>
      <c r="D738" s="12" t="s">
        <v>40</v>
      </c>
      <c r="E738" s="12" t="s">
        <v>40</v>
      </c>
      <c r="F738" s="12"/>
      <c r="G738" s="12" t="s">
        <v>40</v>
      </c>
      <c r="H738" s="12"/>
      <c r="I738" s="12"/>
      <c r="J738" s="12"/>
      <c r="K738" s="12"/>
      <c r="L738" s="12">
        <v>13000</v>
      </c>
      <c r="M738" s="15">
        <f t="shared" si="194"/>
        <v>4</v>
      </c>
      <c r="N738" s="15">
        <f t="shared" si="195"/>
        <v>0</v>
      </c>
      <c r="O738" s="12">
        <v>13000</v>
      </c>
      <c r="P738" s="12">
        <f t="shared" si="192"/>
        <v>1083.3333333333333</v>
      </c>
      <c r="Q738" s="12">
        <f t="shared" si="193"/>
        <v>1083.3333333333333</v>
      </c>
    </row>
    <row r="739" spans="1:18" x14ac:dyDescent="0.3">
      <c r="A739" s="1">
        <f t="shared" si="196"/>
        <v>23</v>
      </c>
      <c r="B739" s="2" t="s">
        <v>674</v>
      </c>
      <c r="C739" s="3" t="s">
        <v>446</v>
      </c>
      <c r="D739" s="12" t="s">
        <v>40</v>
      </c>
      <c r="E739" s="12" t="s">
        <v>40</v>
      </c>
      <c r="F739" s="12"/>
      <c r="G739" s="12"/>
      <c r="H739" s="12" t="s">
        <v>40</v>
      </c>
      <c r="I739" s="12"/>
      <c r="J739" s="12"/>
      <c r="K739" s="12"/>
      <c r="L739" s="12">
        <v>35000</v>
      </c>
      <c r="M739" s="15">
        <f t="shared" si="194"/>
        <v>5</v>
      </c>
      <c r="N739" s="15">
        <f t="shared" si="195"/>
        <v>0</v>
      </c>
      <c r="O739" s="12">
        <v>35000</v>
      </c>
      <c r="P739" s="12">
        <f t="shared" si="192"/>
        <v>2916.6666666666665</v>
      </c>
      <c r="Q739" s="12">
        <f t="shared" si="193"/>
        <v>2916.6666666666665</v>
      </c>
    </row>
    <row r="740" spans="1:18" x14ac:dyDescent="0.3">
      <c r="A740" s="1">
        <f t="shared" si="196"/>
        <v>24</v>
      </c>
      <c r="B740" s="2">
        <v>40074913</v>
      </c>
      <c r="C740" s="3" t="s">
        <v>446</v>
      </c>
      <c r="D740" s="12" t="s">
        <v>40</v>
      </c>
      <c r="E740" s="12" t="s">
        <v>40</v>
      </c>
      <c r="F740" s="12" t="s">
        <v>40</v>
      </c>
      <c r="G740" s="12"/>
      <c r="H740" s="12"/>
      <c r="I740" s="12"/>
      <c r="J740" s="12"/>
      <c r="K740" s="12"/>
      <c r="L740" s="12">
        <v>32400</v>
      </c>
      <c r="M740" s="15">
        <f t="shared" si="194"/>
        <v>4</v>
      </c>
      <c r="N740" s="15">
        <f t="shared" si="195"/>
        <v>0</v>
      </c>
      <c r="O740" s="12">
        <v>32400</v>
      </c>
      <c r="P740" s="12">
        <f t="shared" si="192"/>
        <v>2700</v>
      </c>
      <c r="Q740" s="12">
        <f t="shared" si="193"/>
        <v>2700</v>
      </c>
    </row>
    <row r="741" spans="1:18" x14ac:dyDescent="0.3">
      <c r="A741" s="1">
        <f t="shared" si="196"/>
        <v>25</v>
      </c>
      <c r="B741" s="2">
        <v>18157357</v>
      </c>
      <c r="C741" s="3" t="s">
        <v>446</v>
      </c>
      <c r="D741" s="12" t="s">
        <v>40</v>
      </c>
      <c r="E741" s="12" t="s">
        <v>40</v>
      </c>
      <c r="F741" s="12" t="s">
        <v>40</v>
      </c>
      <c r="G741" s="12"/>
      <c r="H741" s="12" t="s">
        <v>40</v>
      </c>
      <c r="I741" s="12"/>
      <c r="J741" s="12"/>
      <c r="K741" s="12"/>
      <c r="L741" s="12">
        <v>78540</v>
      </c>
      <c r="M741" s="15">
        <f t="shared" si="194"/>
        <v>7</v>
      </c>
      <c r="N741" s="15">
        <f t="shared" si="195"/>
        <v>0</v>
      </c>
      <c r="O741" s="12">
        <v>78540</v>
      </c>
      <c r="P741" s="12">
        <f t="shared" si="192"/>
        <v>6545</v>
      </c>
      <c r="Q741" s="12">
        <f t="shared" si="193"/>
        <v>6545</v>
      </c>
    </row>
    <row r="742" spans="1:18" x14ac:dyDescent="0.3">
      <c r="A742" s="1">
        <f t="shared" si="196"/>
        <v>26</v>
      </c>
      <c r="B742" s="10"/>
      <c r="C742" s="9"/>
      <c r="D742" s="13"/>
      <c r="E742" s="13"/>
      <c r="F742" s="13"/>
      <c r="G742" s="13"/>
      <c r="H742" s="13"/>
      <c r="I742" s="13"/>
      <c r="J742" s="13"/>
      <c r="K742" s="13"/>
      <c r="L742" s="13"/>
      <c r="M742" s="16"/>
      <c r="N742" s="16"/>
      <c r="O742" s="13"/>
      <c r="P742" s="13"/>
      <c r="Q742" s="13"/>
    </row>
    <row r="743" spans="1:18" x14ac:dyDescent="0.3">
      <c r="A743" s="1">
        <f t="shared" si="196"/>
        <v>27</v>
      </c>
      <c r="B743" s="4" t="s">
        <v>682</v>
      </c>
      <c r="C743" s="3" t="s">
        <v>446</v>
      </c>
      <c r="D743" s="12" t="s">
        <v>40</v>
      </c>
      <c r="E743" s="12" t="s">
        <v>40</v>
      </c>
      <c r="F743" s="12"/>
      <c r="G743" s="12"/>
      <c r="H743" s="12" t="s">
        <v>40</v>
      </c>
      <c r="I743" s="12"/>
      <c r="J743" s="12"/>
      <c r="K743" s="12"/>
      <c r="L743" s="12">
        <v>37800</v>
      </c>
      <c r="M743" s="15">
        <f t="shared" si="194"/>
        <v>5</v>
      </c>
      <c r="N743" s="15">
        <f t="shared" si="195"/>
        <v>0</v>
      </c>
      <c r="O743" s="12">
        <v>37800</v>
      </c>
      <c r="P743" s="12">
        <f t="shared" si="192"/>
        <v>3150</v>
      </c>
      <c r="Q743" s="12">
        <f t="shared" si="193"/>
        <v>3150</v>
      </c>
    </row>
    <row r="744" spans="1:18" x14ac:dyDescent="0.3">
      <c r="A744" s="1">
        <f t="shared" si="196"/>
        <v>28</v>
      </c>
      <c r="B744" s="10"/>
      <c r="C744" s="9"/>
      <c r="D744" s="13"/>
      <c r="E744" s="13"/>
      <c r="F744" s="13"/>
      <c r="G744" s="13"/>
      <c r="H744" s="13"/>
      <c r="I744" s="13"/>
      <c r="J744" s="13"/>
      <c r="K744" s="13"/>
      <c r="L744" s="13"/>
      <c r="M744" s="16"/>
      <c r="N744" s="16"/>
      <c r="O744" s="13"/>
      <c r="P744" s="13"/>
      <c r="Q744" s="13"/>
    </row>
    <row r="745" spans="1:18" x14ac:dyDescent="0.3">
      <c r="A745" s="1">
        <f t="shared" si="196"/>
        <v>29</v>
      </c>
      <c r="B745" s="4" t="s">
        <v>683</v>
      </c>
      <c r="C745" s="3" t="s">
        <v>446</v>
      </c>
      <c r="D745" s="12" t="s">
        <v>40</v>
      </c>
      <c r="E745" s="12" t="s">
        <v>40</v>
      </c>
      <c r="F745" s="12"/>
      <c r="G745" s="12"/>
      <c r="H745" s="12" t="s">
        <v>40</v>
      </c>
      <c r="I745" s="12"/>
      <c r="J745" s="12"/>
      <c r="K745" s="12"/>
      <c r="L745" s="12">
        <v>10502.1</v>
      </c>
      <c r="M745" s="15">
        <f t="shared" si="194"/>
        <v>5</v>
      </c>
      <c r="N745" s="15">
        <f t="shared" si="195"/>
        <v>0</v>
      </c>
      <c r="O745" s="12">
        <v>10502.1</v>
      </c>
      <c r="P745" s="12">
        <f t="shared" si="192"/>
        <v>875.17500000000007</v>
      </c>
      <c r="Q745" s="12">
        <f t="shared" si="193"/>
        <v>875.17500000000007</v>
      </c>
    </row>
    <row r="746" spans="1:18" x14ac:dyDescent="0.3">
      <c r="A746" s="1">
        <f t="shared" si="196"/>
        <v>30</v>
      </c>
      <c r="B746" s="2">
        <v>32657602</v>
      </c>
      <c r="C746" s="3" t="s">
        <v>446</v>
      </c>
      <c r="D746" s="12" t="s">
        <v>40</v>
      </c>
      <c r="E746" s="12" t="s">
        <v>40</v>
      </c>
      <c r="F746" s="12"/>
      <c r="G746" s="12"/>
      <c r="H746" s="12"/>
      <c r="I746" s="12"/>
      <c r="J746" s="12"/>
      <c r="K746" s="12"/>
      <c r="L746" s="12">
        <v>96000</v>
      </c>
      <c r="M746" s="15">
        <f t="shared" si="194"/>
        <v>2</v>
      </c>
      <c r="N746" s="15">
        <f t="shared" si="195"/>
        <v>0</v>
      </c>
      <c r="O746" s="12">
        <v>96000</v>
      </c>
      <c r="P746" s="12">
        <f t="shared" si="192"/>
        <v>8000</v>
      </c>
      <c r="Q746" s="12">
        <f t="shared" si="193"/>
        <v>8000</v>
      </c>
    </row>
    <row r="747" spans="1:18" x14ac:dyDescent="0.3">
      <c r="B747" s="29"/>
      <c r="L747" s="14">
        <f>+AVERAGE(L717:L746)</f>
        <v>65073.846363636367</v>
      </c>
      <c r="M747" s="14">
        <f>+AVERAGE(M717:M746)</f>
        <v>4.3043478260869561</v>
      </c>
      <c r="N747" s="14">
        <f>+SUM(N717:N746)</f>
        <v>0</v>
      </c>
      <c r="O747" s="14">
        <f>+AVERAGE(O717:O746)</f>
        <v>58939.271578947366</v>
      </c>
      <c r="P747" s="14">
        <f>+AVERAGE(P717:P746)</f>
        <v>5187.0457246376809</v>
      </c>
      <c r="Q747" s="14">
        <f>+AVERAGE(Q717:Q746)</f>
        <v>4911.6059649122799</v>
      </c>
      <c r="R747" s="14">
        <f>30-COUNTBLANK(R717:R746)</f>
        <v>0</v>
      </c>
    </row>
    <row r="748" spans="1:18" x14ac:dyDescent="0.3">
      <c r="L748" s="14">
        <f>+STDEV(L717:L746)</f>
        <v>74583.712471686827</v>
      </c>
      <c r="M748" s="14">
        <f>+STDEV(M717:M746)</f>
        <v>2.3244702741347263</v>
      </c>
      <c r="N748" s="17"/>
      <c r="O748" s="14">
        <f>+STDEV(O717:O746)</f>
        <v>50973.810807702823</v>
      </c>
      <c r="P748" s="14">
        <f>+STDEV(P717:P746)</f>
        <v>6176.7890326958332</v>
      </c>
      <c r="Q748" s="14">
        <f>+STDEV(Q717:Q746)</f>
        <v>4247.8175673085689</v>
      </c>
    </row>
    <row r="749" spans="1:18" x14ac:dyDescent="0.3">
      <c r="I749" s="15"/>
      <c r="J749" s="15"/>
      <c r="K749" s="11" t="s">
        <v>75</v>
      </c>
      <c r="L749" s="14">
        <f>+COUNTIF(L717:L746,0)</f>
        <v>2</v>
      </c>
      <c r="M749" s="14">
        <f>+COUNT(M717:M746)</f>
        <v>23</v>
      </c>
      <c r="P749" s="14">
        <f>+COUNTIF(P717:P746,0)</f>
        <v>3</v>
      </c>
    </row>
    <row r="751" spans="1:18" x14ac:dyDescent="0.3">
      <c r="A751" s="1">
        <v>1</v>
      </c>
      <c r="B751" s="2" t="s">
        <v>684</v>
      </c>
      <c r="C751" s="3" t="s">
        <v>447</v>
      </c>
      <c r="D751" s="12" t="s">
        <v>40</v>
      </c>
      <c r="E751" s="12" t="s">
        <v>40</v>
      </c>
      <c r="F751" s="12"/>
      <c r="G751" s="12"/>
      <c r="H751" s="12"/>
      <c r="I751" s="12"/>
      <c r="J751" s="12"/>
      <c r="K751" s="12"/>
      <c r="L751" s="12">
        <v>36000</v>
      </c>
      <c r="M751" s="15">
        <f>+IF(D751="X",1,0)+IF(E751="X",1,0)+IF(F751="X",2,0)+IF(G751="X",2,0)+IF(H751="X",3,IF(H751="Y",1.5,0))+IF(I751="X",5,IF(I751="Y",2.5,0))+IF(J751="X",10,IF(J751="Y",5,0))</f>
        <v>2</v>
      </c>
      <c r="N751" s="15">
        <f>+IF(K751="X",1,0)</f>
        <v>0</v>
      </c>
      <c r="O751" s="12">
        <v>36000</v>
      </c>
      <c r="P751" s="12">
        <f t="shared" ref="P751:P780" si="198">+L751/12</f>
        <v>3000</v>
      </c>
      <c r="Q751" s="12">
        <f t="shared" ref="Q751:Q780" si="199">+O751/12</f>
        <v>3000</v>
      </c>
    </row>
    <row r="752" spans="1:18" x14ac:dyDescent="0.3">
      <c r="A752" s="1">
        <f>+A751+1</f>
        <v>2</v>
      </c>
      <c r="B752" s="4" t="s">
        <v>699</v>
      </c>
      <c r="C752" s="3" t="s">
        <v>447</v>
      </c>
      <c r="D752" s="12" t="s">
        <v>40</v>
      </c>
      <c r="E752" s="12" t="s">
        <v>40</v>
      </c>
      <c r="F752" s="12"/>
      <c r="G752" s="12"/>
      <c r="H752" s="12"/>
      <c r="I752" s="12"/>
      <c r="J752" s="12"/>
      <c r="K752" s="12"/>
      <c r="L752" s="12">
        <v>0</v>
      </c>
      <c r="M752" s="15">
        <f t="shared" ref="M752:M780" si="200">+IF(D752="X",1,0)+IF(E752="X",1,0)+IF(F752="X",2,0)+IF(G752="X",2,0)+IF(H752="X",3,IF(H752="Y",1.5,0))+IF(I752="X",5,IF(I752="Y",2.5,0))+IF(J752="X",10,IF(J752="Y",5,0))</f>
        <v>2</v>
      </c>
      <c r="N752" s="15">
        <f t="shared" ref="N752:N780" si="201">+IF(K752="X",1,0)</f>
        <v>0</v>
      </c>
      <c r="O752" s="20"/>
      <c r="P752" s="12">
        <f t="shared" si="198"/>
        <v>0</v>
      </c>
      <c r="Q752" s="20"/>
    </row>
    <row r="753" spans="1:17" x14ac:dyDescent="0.3">
      <c r="A753" s="1">
        <f t="shared" ref="A753:A780" si="202">+A752+1</f>
        <v>3</v>
      </c>
      <c r="B753" s="4" t="s">
        <v>700</v>
      </c>
      <c r="C753" s="3" t="s">
        <v>447</v>
      </c>
      <c r="D753" s="12" t="s">
        <v>40</v>
      </c>
      <c r="E753" s="12" t="s">
        <v>40</v>
      </c>
      <c r="F753" s="12"/>
      <c r="G753" s="12"/>
      <c r="H753" s="12"/>
      <c r="I753" s="12"/>
      <c r="J753" s="12"/>
      <c r="K753" s="12"/>
      <c r="L753" s="12">
        <v>0</v>
      </c>
      <c r="M753" s="15">
        <f t="shared" si="200"/>
        <v>2</v>
      </c>
      <c r="N753" s="15">
        <f t="shared" si="201"/>
        <v>0</v>
      </c>
      <c r="O753" s="20"/>
      <c r="P753" s="12">
        <f t="shared" si="198"/>
        <v>0</v>
      </c>
      <c r="Q753" s="20"/>
    </row>
    <row r="754" spans="1:17" x14ac:dyDescent="0.3">
      <c r="A754" s="1">
        <f t="shared" si="202"/>
        <v>4</v>
      </c>
      <c r="B754" s="2" t="s">
        <v>685</v>
      </c>
      <c r="C754" s="3" t="s">
        <v>447</v>
      </c>
      <c r="D754" s="12" t="s">
        <v>40</v>
      </c>
      <c r="E754" s="12" t="s">
        <v>40</v>
      </c>
      <c r="F754" s="12"/>
      <c r="G754" s="12"/>
      <c r="H754" s="12" t="s">
        <v>40</v>
      </c>
      <c r="I754" s="12" t="s">
        <v>40</v>
      </c>
      <c r="J754" s="12"/>
      <c r="K754" s="12"/>
      <c r="L754" s="12">
        <v>10231.65</v>
      </c>
      <c r="M754" s="15">
        <f t="shared" si="200"/>
        <v>10</v>
      </c>
      <c r="N754" s="15">
        <f t="shared" si="201"/>
        <v>0</v>
      </c>
      <c r="O754" s="12">
        <v>10231.65</v>
      </c>
      <c r="P754" s="12">
        <f t="shared" si="198"/>
        <v>852.63749999999993</v>
      </c>
      <c r="Q754" s="12">
        <f t="shared" si="199"/>
        <v>852.63749999999993</v>
      </c>
    </row>
    <row r="755" spans="1:17" x14ac:dyDescent="0.3">
      <c r="A755" s="1">
        <f t="shared" si="202"/>
        <v>5</v>
      </c>
      <c r="B755" s="2" t="s">
        <v>686</v>
      </c>
      <c r="C755" s="3" t="s">
        <v>447</v>
      </c>
      <c r="D755" s="12" t="s">
        <v>40</v>
      </c>
      <c r="E755" s="12" t="s">
        <v>40</v>
      </c>
      <c r="F755" s="12"/>
      <c r="G755" s="12"/>
      <c r="H755" s="12" t="s">
        <v>40</v>
      </c>
      <c r="I755" s="12" t="s">
        <v>40</v>
      </c>
      <c r="J755" s="12"/>
      <c r="K755" s="12"/>
      <c r="L755" s="12">
        <v>102876</v>
      </c>
      <c r="M755" s="15">
        <f t="shared" si="200"/>
        <v>10</v>
      </c>
      <c r="N755" s="15">
        <f t="shared" si="201"/>
        <v>0</v>
      </c>
      <c r="O755" s="12">
        <v>102876</v>
      </c>
      <c r="P755" s="12">
        <f t="shared" si="198"/>
        <v>8573</v>
      </c>
      <c r="Q755" s="12">
        <f t="shared" si="199"/>
        <v>8573</v>
      </c>
    </row>
    <row r="756" spans="1:17" x14ac:dyDescent="0.3">
      <c r="A756" s="1">
        <f t="shared" si="202"/>
        <v>6</v>
      </c>
      <c r="B756" s="4" t="s">
        <v>701</v>
      </c>
      <c r="C756" s="3" t="s">
        <v>447</v>
      </c>
      <c r="D756" s="12" t="s">
        <v>40</v>
      </c>
      <c r="E756" s="12" t="s">
        <v>40</v>
      </c>
      <c r="F756" s="12"/>
      <c r="G756" s="12"/>
      <c r="H756" s="12"/>
      <c r="I756" s="12"/>
      <c r="J756" s="12"/>
      <c r="K756" s="12"/>
      <c r="L756" s="12">
        <v>0</v>
      </c>
      <c r="M756" s="15">
        <f t="shared" si="200"/>
        <v>2</v>
      </c>
      <c r="N756" s="15">
        <f t="shared" si="201"/>
        <v>0</v>
      </c>
      <c r="O756" s="20"/>
      <c r="P756" s="12">
        <f t="shared" si="198"/>
        <v>0</v>
      </c>
      <c r="Q756" s="20"/>
    </row>
    <row r="757" spans="1:17" x14ac:dyDescent="0.3">
      <c r="A757" s="1">
        <f t="shared" si="202"/>
        <v>7</v>
      </c>
      <c r="B757" s="4" t="s">
        <v>702</v>
      </c>
      <c r="C757" s="3" t="s">
        <v>447</v>
      </c>
      <c r="D757" s="12" t="s">
        <v>40</v>
      </c>
      <c r="E757" s="12" t="s">
        <v>40</v>
      </c>
      <c r="F757" s="12"/>
      <c r="G757" s="12"/>
      <c r="H757" s="12" t="s">
        <v>40</v>
      </c>
      <c r="I757" s="12" t="s">
        <v>40</v>
      </c>
      <c r="J757" s="12" t="s">
        <v>40</v>
      </c>
      <c r="K757" s="12"/>
      <c r="L757" s="12">
        <v>182433</v>
      </c>
      <c r="M757" s="15">
        <f t="shared" si="200"/>
        <v>20</v>
      </c>
      <c r="N757" s="15">
        <f t="shared" si="201"/>
        <v>0</v>
      </c>
      <c r="O757" s="20"/>
      <c r="P757" s="12">
        <f t="shared" si="198"/>
        <v>15202.75</v>
      </c>
      <c r="Q757" s="20"/>
    </row>
    <row r="758" spans="1:17" x14ac:dyDescent="0.3">
      <c r="A758" s="1">
        <f t="shared" si="202"/>
        <v>8</v>
      </c>
      <c r="B758" s="4" t="s">
        <v>703</v>
      </c>
      <c r="C758" s="3" t="s">
        <v>447</v>
      </c>
      <c r="D758" s="12" t="s">
        <v>40</v>
      </c>
      <c r="E758" s="12" t="s">
        <v>40</v>
      </c>
      <c r="F758" s="12"/>
      <c r="G758" s="12"/>
      <c r="H758" s="12"/>
      <c r="I758" s="12"/>
      <c r="J758" s="12"/>
      <c r="K758" s="12"/>
      <c r="L758" s="12">
        <v>6000</v>
      </c>
      <c r="M758" s="15">
        <f t="shared" si="200"/>
        <v>2</v>
      </c>
      <c r="N758" s="15">
        <f t="shared" si="201"/>
        <v>0</v>
      </c>
      <c r="O758" s="12">
        <v>6000</v>
      </c>
      <c r="P758" s="12">
        <f t="shared" si="198"/>
        <v>500</v>
      </c>
      <c r="Q758" s="12">
        <f t="shared" si="199"/>
        <v>500</v>
      </c>
    </row>
    <row r="759" spans="1:17" x14ac:dyDescent="0.3">
      <c r="A759" s="1">
        <f t="shared" si="202"/>
        <v>9</v>
      </c>
      <c r="B759" s="4" t="s">
        <v>704</v>
      </c>
      <c r="C759" s="3" t="s">
        <v>447</v>
      </c>
      <c r="D759" s="12" t="s">
        <v>40</v>
      </c>
      <c r="E759" s="12" t="s">
        <v>40</v>
      </c>
      <c r="F759" s="12" t="s">
        <v>40</v>
      </c>
      <c r="G759" s="12"/>
      <c r="H759" s="12" t="s">
        <v>40</v>
      </c>
      <c r="I759" s="12" t="s">
        <v>40</v>
      </c>
      <c r="J759" s="12"/>
      <c r="K759" s="12" t="s">
        <v>40</v>
      </c>
      <c r="L759" s="12">
        <v>40076.400000000001</v>
      </c>
      <c r="M759" s="15">
        <f t="shared" si="200"/>
        <v>12</v>
      </c>
      <c r="N759" s="15">
        <f t="shared" si="201"/>
        <v>1</v>
      </c>
      <c r="O759" s="12">
        <v>40076.400000000001</v>
      </c>
      <c r="P759" s="12">
        <f t="shared" si="198"/>
        <v>3339.7000000000003</v>
      </c>
      <c r="Q759" s="12">
        <f t="shared" si="199"/>
        <v>3339.7000000000003</v>
      </c>
    </row>
    <row r="760" spans="1:17" x14ac:dyDescent="0.3">
      <c r="A760" s="1">
        <f t="shared" si="202"/>
        <v>10</v>
      </c>
      <c r="B760" s="2" t="s">
        <v>687</v>
      </c>
      <c r="C760" s="3" t="s">
        <v>447</v>
      </c>
      <c r="D760" s="12" t="s">
        <v>40</v>
      </c>
      <c r="E760" s="12" t="s">
        <v>40</v>
      </c>
      <c r="F760" s="12"/>
      <c r="G760" s="12"/>
      <c r="H760" s="12"/>
      <c r="I760" s="12"/>
      <c r="J760" s="12"/>
      <c r="K760" s="12"/>
      <c r="L760" s="12">
        <v>18000</v>
      </c>
      <c r="M760" s="15">
        <f t="shared" si="200"/>
        <v>2</v>
      </c>
      <c r="N760" s="15">
        <f t="shared" si="201"/>
        <v>0</v>
      </c>
      <c r="O760" s="12">
        <v>18000</v>
      </c>
      <c r="P760" s="12">
        <f t="shared" si="198"/>
        <v>1500</v>
      </c>
      <c r="Q760" s="12">
        <f t="shared" si="199"/>
        <v>1500</v>
      </c>
    </row>
    <row r="761" spans="1:17" x14ac:dyDescent="0.3">
      <c r="A761" s="1">
        <f t="shared" si="202"/>
        <v>11</v>
      </c>
      <c r="B761" s="2" t="s">
        <v>688</v>
      </c>
      <c r="C761" s="3" t="s">
        <v>447</v>
      </c>
      <c r="D761" s="12" t="s">
        <v>40</v>
      </c>
      <c r="E761" s="12" t="s">
        <v>40</v>
      </c>
      <c r="F761" s="12"/>
      <c r="G761" s="12"/>
      <c r="H761" s="12" t="s">
        <v>40</v>
      </c>
      <c r="I761" s="12"/>
      <c r="J761" s="12"/>
      <c r="K761" s="12"/>
      <c r="L761" s="12">
        <v>39000</v>
      </c>
      <c r="M761" s="15">
        <f t="shared" si="200"/>
        <v>5</v>
      </c>
      <c r="N761" s="15">
        <f t="shared" si="201"/>
        <v>0</v>
      </c>
      <c r="O761" s="12">
        <v>39000</v>
      </c>
      <c r="P761" s="12">
        <f t="shared" si="198"/>
        <v>3250</v>
      </c>
      <c r="Q761" s="12">
        <f t="shared" si="199"/>
        <v>3250</v>
      </c>
    </row>
    <row r="762" spans="1:17" x14ac:dyDescent="0.3">
      <c r="A762" s="1">
        <f t="shared" si="202"/>
        <v>12</v>
      </c>
      <c r="B762" s="2">
        <v>80056117</v>
      </c>
      <c r="C762" s="3" t="s">
        <v>447</v>
      </c>
      <c r="D762" s="12" t="s">
        <v>40</v>
      </c>
      <c r="E762" s="12" t="s">
        <v>40</v>
      </c>
      <c r="F762" s="12"/>
      <c r="G762" s="12"/>
      <c r="H762" s="12"/>
      <c r="I762" s="12"/>
      <c r="J762" s="12"/>
      <c r="K762" s="12"/>
      <c r="L762" s="12">
        <v>0</v>
      </c>
      <c r="M762" s="15">
        <f t="shared" si="200"/>
        <v>2</v>
      </c>
      <c r="N762" s="15">
        <f t="shared" si="201"/>
        <v>0</v>
      </c>
      <c r="O762" s="20"/>
      <c r="P762" s="12">
        <f t="shared" si="198"/>
        <v>0</v>
      </c>
      <c r="Q762" s="20"/>
    </row>
    <row r="763" spans="1:17" x14ac:dyDescent="0.3">
      <c r="A763" s="1">
        <f t="shared" si="202"/>
        <v>13</v>
      </c>
      <c r="B763" s="2" t="s">
        <v>689</v>
      </c>
      <c r="C763" s="3" t="s">
        <v>447</v>
      </c>
      <c r="D763" s="12" t="s">
        <v>40</v>
      </c>
      <c r="E763" s="12" t="s">
        <v>40</v>
      </c>
      <c r="F763" s="12"/>
      <c r="G763" s="12"/>
      <c r="H763" s="12"/>
      <c r="I763" s="12"/>
      <c r="J763" s="12"/>
      <c r="K763" s="12"/>
      <c r="L763" s="12">
        <v>18000</v>
      </c>
      <c r="M763" s="15">
        <f t="shared" si="200"/>
        <v>2</v>
      </c>
      <c r="N763" s="15">
        <f t="shared" si="201"/>
        <v>0</v>
      </c>
      <c r="O763" s="12">
        <v>18000</v>
      </c>
      <c r="P763" s="12">
        <f t="shared" si="198"/>
        <v>1500</v>
      </c>
      <c r="Q763" s="12">
        <f t="shared" si="199"/>
        <v>1500</v>
      </c>
    </row>
    <row r="764" spans="1:17" x14ac:dyDescent="0.3">
      <c r="A764" s="1">
        <f t="shared" si="202"/>
        <v>14</v>
      </c>
      <c r="B764" s="2" t="s">
        <v>690</v>
      </c>
      <c r="C764" s="3" t="s">
        <v>447</v>
      </c>
      <c r="D764" s="12" t="s">
        <v>40</v>
      </c>
      <c r="E764" s="12" t="s">
        <v>40</v>
      </c>
      <c r="F764" s="12" t="s">
        <v>40</v>
      </c>
      <c r="G764" s="12" t="s">
        <v>40</v>
      </c>
      <c r="H764" s="12"/>
      <c r="I764" s="12"/>
      <c r="J764" s="12"/>
      <c r="K764" s="12"/>
      <c r="L764" s="12">
        <v>24000</v>
      </c>
      <c r="M764" s="15">
        <f t="shared" si="200"/>
        <v>6</v>
      </c>
      <c r="N764" s="15">
        <f t="shared" si="201"/>
        <v>0</v>
      </c>
      <c r="O764" s="12">
        <v>24000</v>
      </c>
      <c r="P764" s="12">
        <f t="shared" si="198"/>
        <v>2000</v>
      </c>
      <c r="Q764" s="12">
        <f t="shared" si="199"/>
        <v>2000</v>
      </c>
    </row>
    <row r="765" spans="1:17" x14ac:dyDescent="0.3">
      <c r="A765" s="1">
        <f t="shared" si="202"/>
        <v>15</v>
      </c>
      <c r="B765" s="2" t="s">
        <v>691</v>
      </c>
      <c r="C765" s="3" t="s">
        <v>447</v>
      </c>
      <c r="D765" s="12" t="s">
        <v>40</v>
      </c>
      <c r="E765" s="12" t="s">
        <v>40</v>
      </c>
      <c r="F765" s="12"/>
      <c r="G765" s="12"/>
      <c r="H765" s="12"/>
      <c r="I765" s="12"/>
      <c r="J765" s="12"/>
      <c r="K765" s="12"/>
      <c r="L765" s="12">
        <v>12300</v>
      </c>
      <c r="M765" s="15">
        <f t="shared" si="200"/>
        <v>2</v>
      </c>
      <c r="N765" s="15">
        <f t="shared" si="201"/>
        <v>0</v>
      </c>
      <c r="O765" s="12">
        <v>12300</v>
      </c>
      <c r="P765" s="12">
        <f t="shared" si="198"/>
        <v>1025</v>
      </c>
      <c r="Q765" s="12">
        <f t="shared" si="199"/>
        <v>1025</v>
      </c>
    </row>
    <row r="766" spans="1:17" x14ac:dyDescent="0.3">
      <c r="A766" s="1">
        <f t="shared" si="202"/>
        <v>16</v>
      </c>
      <c r="B766" s="2" t="s">
        <v>692</v>
      </c>
      <c r="C766" s="3" t="s">
        <v>447</v>
      </c>
      <c r="D766" s="12" t="s">
        <v>40</v>
      </c>
      <c r="E766" s="12" t="s">
        <v>40</v>
      </c>
      <c r="F766" s="12"/>
      <c r="G766" s="12"/>
      <c r="H766" s="12"/>
      <c r="I766" s="12"/>
      <c r="J766" s="12"/>
      <c r="K766" s="12"/>
      <c r="L766" s="12">
        <v>0</v>
      </c>
      <c r="M766" s="15">
        <f t="shared" si="200"/>
        <v>2</v>
      </c>
      <c r="N766" s="15">
        <f t="shared" si="201"/>
        <v>0</v>
      </c>
      <c r="O766" s="20"/>
      <c r="P766" s="12">
        <f t="shared" si="198"/>
        <v>0</v>
      </c>
      <c r="Q766" s="20"/>
    </row>
    <row r="767" spans="1:17" x14ac:dyDescent="0.3">
      <c r="A767" s="1">
        <f t="shared" si="202"/>
        <v>17</v>
      </c>
      <c r="B767" s="2" t="s">
        <v>693</v>
      </c>
      <c r="C767" s="3" t="s">
        <v>447</v>
      </c>
      <c r="D767" s="12" t="s">
        <v>40</v>
      </c>
      <c r="E767" s="12" t="s">
        <v>40</v>
      </c>
      <c r="F767" s="12"/>
      <c r="G767" s="12"/>
      <c r="H767" s="12"/>
      <c r="I767" s="12"/>
      <c r="J767" s="12"/>
      <c r="K767" s="12"/>
      <c r="L767" s="12">
        <v>0</v>
      </c>
      <c r="M767" s="15">
        <f t="shared" si="200"/>
        <v>2</v>
      </c>
      <c r="N767" s="15">
        <f t="shared" si="201"/>
        <v>0</v>
      </c>
      <c r="O767" s="20"/>
      <c r="P767" s="12">
        <f t="shared" si="198"/>
        <v>0</v>
      </c>
      <c r="Q767" s="20"/>
    </row>
    <row r="768" spans="1:17" x14ac:dyDescent="0.3">
      <c r="A768" s="1">
        <f t="shared" si="202"/>
        <v>18</v>
      </c>
      <c r="B768" s="2">
        <v>29535812</v>
      </c>
      <c r="C768" s="3" t="s">
        <v>447</v>
      </c>
      <c r="D768" s="12" t="s">
        <v>40</v>
      </c>
      <c r="E768" s="12" t="s">
        <v>40</v>
      </c>
      <c r="F768" s="12" t="s">
        <v>40</v>
      </c>
      <c r="G768" s="12" t="s">
        <v>40</v>
      </c>
      <c r="H768" s="12"/>
      <c r="I768" s="12"/>
      <c r="J768" s="12"/>
      <c r="K768" s="12"/>
      <c r="L768" s="12">
        <v>24000</v>
      </c>
      <c r="M768" s="15">
        <f t="shared" si="200"/>
        <v>6</v>
      </c>
      <c r="N768" s="15">
        <f t="shared" si="201"/>
        <v>0</v>
      </c>
      <c r="O768" s="12">
        <v>24000</v>
      </c>
      <c r="P768" s="12">
        <f t="shared" si="198"/>
        <v>2000</v>
      </c>
      <c r="Q768" s="12">
        <f t="shared" si="199"/>
        <v>2000</v>
      </c>
    </row>
    <row r="769" spans="1:18" x14ac:dyDescent="0.3">
      <c r="A769" s="1">
        <f t="shared" si="202"/>
        <v>19</v>
      </c>
      <c r="B769" s="2" t="s">
        <v>694</v>
      </c>
      <c r="C769" s="3" t="s">
        <v>447</v>
      </c>
      <c r="D769" s="12" t="s">
        <v>40</v>
      </c>
      <c r="E769" s="12" t="s">
        <v>40</v>
      </c>
      <c r="F769" s="12"/>
      <c r="G769" s="12"/>
      <c r="H769" s="12"/>
      <c r="I769" s="12"/>
      <c r="J769" s="12"/>
      <c r="K769" s="12"/>
      <c r="L769" s="12">
        <v>19800</v>
      </c>
      <c r="M769" s="15">
        <f t="shared" si="200"/>
        <v>2</v>
      </c>
      <c r="N769" s="15">
        <f t="shared" si="201"/>
        <v>0</v>
      </c>
      <c r="O769" s="12">
        <v>19800</v>
      </c>
      <c r="P769" s="12">
        <f t="shared" si="198"/>
        <v>1650</v>
      </c>
      <c r="Q769" s="12">
        <f t="shared" si="199"/>
        <v>1650</v>
      </c>
    </row>
    <row r="770" spans="1:18" x14ac:dyDescent="0.3">
      <c r="A770" s="1">
        <f t="shared" si="202"/>
        <v>20</v>
      </c>
      <c r="B770" s="2" t="s">
        <v>695</v>
      </c>
      <c r="C770" s="3" t="s">
        <v>447</v>
      </c>
      <c r="D770" s="12" t="s">
        <v>40</v>
      </c>
      <c r="E770" s="12" t="s">
        <v>40</v>
      </c>
      <c r="F770" s="12"/>
      <c r="G770" s="12"/>
      <c r="H770" s="12"/>
      <c r="I770" s="12"/>
      <c r="J770" s="12"/>
      <c r="K770" s="12"/>
      <c r="L770" s="12">
        <v>18000</v>
      </c>
      <c r="M770" s="15">
        <f t="shared" si="200"/>
        <v>2</v>
      </c>
      <c r="N770" s="15">
        <f t="shared" si="201"/>
        <v>0</v>
      </c>
      <c r="O770" s="12">
        <v>18000</v>
      </c>
      <c r="P770" s="12">
        <f t="shared" si="198"/>
        <v>1500</v>
      </c>
      <c r="Q770" s="12">
        <f t="shared" si="199"/>
        <v>1500</v>
      </c>
    </row>
    <row r="771" spans="1:18" x14ac:dyDescent="0.3">
      <c r="A771" s="1">
        <f t="shared" si="202"/>
        <v>21</v>
      </c>
      <c r="B771" s="2">
        <v>10561029</v>
      </c>
      <c r="C771" s="3" t="s">
        <v>447</v>
      </c>
      <c r="D771" s="12" t="s">
        <v>40</v>
      </c>
      <c r="E771" s="12" t="s">
        <v>40</v>
      </c>
      <c r="F771" s="12"/>
      <c r="G771" s="12"/>
      <c r="H771" s="12"/>
      <c r="I771" s="12"/>
      <c r="J771" s="12"/>
      <c r="K771" s="12"/>
      <c r="L771" s="12">
        <v>24000</v>
      </c>
      <c r="M771" s="15">
        <f t="shared" si="200"/>
        <v>2</v>
      </c>
      <c r="N771" s="15">
        <f t="shared" si="201"/>
        <v>0</v>
      </c>
      <c r="O771" s="12">
        <v>24000</v>
      </c>
      <c r="P771" s="12">
        <f t="shared" si="198"/>
        <v>2000</v>
      </c>
      <c r="Q771" s="12">
        <f t="shared" si="199"/>
        <v>2000</v>
      </c>
    </row>
    <row r="772" spans="1:18" x14ac:dyDescent="0.3">
      <c r="A772" s="1">
        <f t="shared" si="202"/>
        <v>22</v>
      </c>
      <c r="B772" s="2">
        <v>22093337</v>
      </c>
      <c r="C772" s="3" t="s">
        <v>447</v>
      </c>
      <c r="D772" s="12" t="s">
        <v>40</v>
      </c>
      <c r="E772" s="12" t="s">
        <v>40</v>
      </c>
      <c r="F772" s="12"/>
      <c r="G772" s="12"/>
      <c r="H772" s="12"/>
      <c r="I772" s="12"/>
      <c r="J772" s="12"/>
      <c r="K772" s="12"/>
      <c r="L772" s="12">
        <v>0</v>
      </c>
      <c r="M772" s="15">
        <f t="shared" si="200"/>
        <v>2</v>
      </c>
      <c r="N772" s="15">
        <f t="shared" si="201"/>
        <v>0</v>
      </c>
      <c r="O772" s="20"/>
      <c r="P772" s="12">
        <f t="shared" si="198"/>
        <v>0</v>
      </c>
      <c r="Q772" s="20"/>
    </row>
    <row r="773" spans="1:18" x14ac:dyDescent="0.3">
      <c r="A773" s="1">
        <f t="shared" si="202"/>
        <v>23</v>
      </c>
      <c r="B773" s="2">
        <v>15962311</v>
      </c>
      <c r="C773" s="3" t="s">
        <v>447</v>
      </c>
      <c r="D773" s="12" t="s">
        <v>40</v>
      </c>
      <c r="E773" s="12" t="s">
        <v>40</v>
      </c>
      <c r="F773" s="12"/>
      <c r="G773" s="12"/>
      <c r="H773" s="12"/>
      <c r="I773" s="12"/>
      <c r="J773" s="12"/>
      <c r="K773" s="12"/>
      <c r="L773" s="12">
        <v>18000</v>
      </c>
      <c r="M773" s="15">
        <f t="shared" si="200"/>
        <v>2</v>
      </c>
      <c r="N773" s="15">
        <f t="shared" si="201"/>
        <v>0</v>
      </c>
      <c r="O773" s="12">
        <v>18000</v>
      </c>
      <c r="P773" s="12">
        <f t="shared" si="198"/>
        <v>1500</v>
      </c>
      <c r="Q773" s="12">
        <f t="shared" si="199"/>
        <v>1500</v>
      </c>
    </row>
    <row r="774" spans="1:18" x14ac:dyDescent="0.3">
      <c r="A774" s="1">
        <f t="shared" si="202"/>
        <v>24</v>
      </c>
      <c r="B774" s="10"/>
      <c r="C774" s="9"/>
      <c r="D774" s="13"/>
      <c r="E774" s="13"/>
      <c r="F774" s="13"/>
      <c r="G774" s="13"/>
      <c r="H774" s="13"/>
      <c r="I774" s="13"/>
      <c r="J774" s="13"/>
      <c r="K774" s="13"/>
      <c r="L774" s="13"/>
      <c r="M774" s="16"/>
      <c r="N774" s="16"/>
      <c r="O774" s="13"/>
      <c r="P774" s="13"/>
      <c r="Q774" s="13"/>
    </row>
    <row r="775" spans="1:18" x14ac:dyDescent="0.3">
      <c r="A775" s="1">
        <f t="shared" si="202"/>
        <v>25</v>
      </c>
      <c r="B775" s="2" t="s">
        <v>696</v>
      </c>
      <c r="C775" s="3" t="s">
        <v>447</v>
      </c>
      <c r="D775" s="12" t="s">
        <v>40</v>
      </c>
      <c r="E775" s="12" t="s">
        <v>40</v>
      </c>
      <c r="F775" s="12"/>
      <c r="G775" s="12"/>
      <c r="H775" s="12"/>
      <c r="I775" s="12"/>
      <c r="J775" s="12"/>
      <c r="K775" s="12"/>
      <c r="L775" s="12">
        <v>12000</v>
      </c>
      <c r="M775" s="15">
        <f t="shared" si="200"/>
        <v>2</v>
      </c>
      <c r="N775" s="15">
        <f t="shared" si="201"/>
        <v>0</v>
      </c>
      <c r="O775" s="12">
        <v>12000</v>
      </c>
      <c r="P775" s="12">
        <f t="shared" si="198"/>
        <v>1000</v>
      </c>
      <c r="Q775" s="12">
        <f t="shared" si="199"/>
        <v>1000</v>
      </c>
    </row>
    <row r="776" spans="1:18" x14ac:dyDescent="0.3">
      <c r="A776" s="1">
        <f t="shared" si="202"/>
        <v>26</v>
      </c>
      <c r="B776" s="2">
        <v>10796069</v>
      </c>
      <c r="C776" s="3" t="s">
        <v>447</v>
      </c>
      <c r="D776" s="12" t="s">
        <v>40</v>
      </c>
      <c r="E776" s="12" t="s">
        <v>40</v>
      </c>
      <c r="F776" s="12"/>
      <c r="G776" s="12"/>
      <c r="H776" s="12"/>
      <c r="I776" s="12"/>
      <c r="J776" s="12"/>
      <c r="K776" s="12"/>
      <c r="L776" s="12">
        <v>12000</v>
      </c>
      <c r="M776" s="15">
        <f t="shared" si="200"/>
        <v>2</v>
      </c>
      <c r="N776" s="15">
        <f t="shared" si="201"/>
        <v>0</v>
      </c>
      <c r="O776" s="12">
        <v>12000</v>
      </c>
      <c r="P776" s="12">
        <f t="shared" si="198"/>
        <v>1000</v>
      </c>
      <c r="Q776" s="12">
        <f t="shared" si="199"/>
        <v>1000</v>
      </c>
    </row>
    <row r="777" spans="1:18" x14ac:dyDescent="0.3">
      <c r="A777" s="1">
        <f t="shared" si="202"/>
        <v>27</v>
      </c>
      <c r="B777" s="2">
        <v>15627432</v>
      </c>
      <c r="C777" s="3" t="s">
        <v>447</v>
      </c>
      <c r="D777" s="12" t="s">
        <v>40</v>
      </c>
      <c r="E777" s="12" t="s">
        <v>40</v>
      </c>
      <c r="F777" s="12"/>
      <c r="G777" s="12"/>
      <c r="H777" s="12"/>
      <c r="I777" s="12"/>
      <c r="J777" s="12"/>
      <c r="K777" s="12"/>
      <c r="L777" s="12">
        <v>36000</v>
      </c>
      <c r="M777" s="15">
        <f t="shared" si="200"/>
        <v>2</v>
      </c>
      <c r="N777" s="15">
        <f t="shared" si="201"/>
        <v>0</v>
      </c>
      <c r="O777" s="12">
        <v>36000</v>
      </c>
      <c r="P777" s="12">
        <f t="shared" si="198"/>
        <v>3000</v>
      </c>
      <c r="Q777" s="12">
        <f t="shared" si="199"/>
        <v>3000</v>
      </c>
    </row>
    <row r="778" spans="1:18" x14ac:dyDescent="0.3">
      <c r="A778" s="1">
        <f t="shared" si="202"/>
        <v>28</v>
      </c>
      <c r="B778" s="2">
        <v>10036631</v>
      </c>
      <c r="C778" s="3" t="s">
        <v>447</v>
      </c>
      <c r="D778" s="12" t="s">
        <v>40</v>
      </c>
      <c r="E778" s="12" t="s">
        <v>40</v>
      </c>
      <c r="F778" s="12"/>
      <c r="G778" s="12"/>
      <c r="H778" s="12" t="s">
        <v>40</v>
      </c>
      <c r="I778" s="12"/>
      <c r="J778" s="12"/>
      <c r="K778" s="12"/>
      <c r="L778" s="12">
        <v>41760</v>
      </c>
      <c r="M778" s="15">
        <f t="shared" si="200"/>
        <v>5</v>
      </c>
      <c r="N778" s="15">
        <f t="shared" si="201"/>
        <v>0</v>
      </c>
      <c r="O778" s="12">
        <v>41760</v>
      </c>
      <c r="P778" s="12">
        <f t="shared" si="198"/>
        <v>3480</v>
      </c>
      <c r="Q778" s="12">
        <f t="shared" si="199"/>
        <v>3480</v>
      </c>
    </row>
    <row r="779" spans="1:18" x14ac:dyDescent="0.3">
      <c r="A779" s="1">
        <f t="shared" si="202"/>
        <v>29</v>
      </c>
      <c r="B779" s="2" t="s">
        <v>697</v>
      </c>
      <c r="C779" s="3" t="s">
        <v>447</v>
      </c>
      <c r="D779" s="12" t="s">
        <v>40</v>
      </c>
      <c r="E779" s="12" t="s">
        <v>40</v>
      </c>
      <c r="F779" s="12"/>
      <c r="G779" s="12"/>
      <c r="H779" s="12"/>
      <c r="I779" s="12"/>
      <c r="J779" s="12"/>
      <c r="K779" s="12"/>
      <c r="L779" s="12">
        <v>0</v>
      </c>
      <c r="M779" s="15">
        <f t="shared" si="200"/>
        <v>2</v>
      </c>
      <c r="N779" s="15">
        <f t="shared" si="201"/>
        <v>0</v>
      </c>
      <c r="O779" s="20"/>
      <c r="P779" s="12">
        <f t="shared" si="198"/>
        <v>0</v>
      </c>
      <c r="Q779" s="20"/>
    </row>
    <row r="780" spans="1:18" x14ac:dyDescent="0.3">
      <c r="A780" s="1">
        <f t="shared" si="202"/>
        <v>30</v>
      </c>
      <c r="B780" s="2" t="s">
        <v>698</v>
      </c>
      <c r="C780" s="3" t="s">
        <v>447</v>
      </c>
      <c r="D780" s="12" t="s">
        <v>40</v>
      </c>
      <c r="E780" s="12" t="s">
        <v>40</v>
      </c>
      <c r="F780" s="12"/>
      <c r="G780" s="12"/>
      <c r="H780" s="12"/>
      <c r="I780" s="12"/>
      <c r="J780" s="12"/>
      <c r="K780" s="12"/>
      <c r="L780" s="12">
        <v>36000</v>
      </c>
      <c r="M780" s="15">
        <f t="shared" si="200"/>
        <v>2</v>
      </c>
      <c r="N780" s="15">
        <f t="shared" si="201"/>
        <v>0</v>
      </c>
      <c r="O780" s="12">
        <v>36000</v>
      </c>
      <c r="P780" s="12">
        <f t="shared" si="198"/>
        <v>3000</v>
      </c>
      <c r="Q780" s="12">
        <f t="shared" si="199"/>
        <v>3000</v>
      </c>
    </row>
    <row r="781" spans="1:18" x14ac:dyDescent="0.3">
      <c r="B781" s="29"/>
      <c r="L781" s="14">
        <f>+AVERAGE(L751:L780)</f>
        <v>25188.86379310345</v>
      </c>
      <c r="M781" s="14">
        <f>+AVERAGE(M751:M780)</f>
        <v>4</v>
      </c>
      <c r="N781" s="14">
        <f>+SUM(N751:N780)</f>
        <v>1</v>
      </c>
      <c r="O781" s="14">
        <f>+AVERAGE(O751:O780)</f>
        <v>27402.202500000003</v>
      </c>
      <c r="P781" s="14">
        <f>+AVERAGE(P751:P780)</f>
        <v>2099.0719827586208</v>
      </c>
      <c r="Q781" s="14">
        <f>+AVERAGE(Q751:Q780)</f>
        <v>2283.5168750000003</v>
      </c>
      <c r="R781" s="14">
        <f>30-COUNTBLANK(R751:R780)</f>
        <v>0</v>
      </c>
    </row>
    <row r="782" spans="1:18" x14ac:dyDescent="0.3">
      <c r="L782" s="14">
        <f>+STDEV(L751:L780)</f>
        <v>36946.107492267169</v>
      </c>
      <c r="M782" s="14">
        <f>+STDEV(M751:M780)</f>
        <v>4.1661904489764821</v>
      </c>
      <c r="N782" s="17"/>
      <c r="O782" s="14">
        <f>+STDEV(O751:O780)</f>
        <v>20927.053049836024</v>
      </c>
      <c r="P782" s="14">
        <f>+STDEV(P751:P780)</f>
        <v>3078.8422910222635</v>
      </c>
      <c r="Q782" s="14">
        <f>+STDEV(Q751:Q780)</f>
        <v>1743.9210874863356</v>
      </c>
    </row>
    <row r="783" spans="1:18" x14ac:dyDescent="0.3">
      <c r="I783" s="15"/>
      <c r="J783" s="15"/>
      <c r="K783" s="11" t="s">
        <v>75</v>
      </c>
      <c r="L783" s="14">
        <f>+COUNTIF(L751:L780,0)</f>
        <v>8</v>
      </c>
      <c r="M783" s="14">
        <f>+COUNT(M751:M780)</f>
        <v>29</v>
      </c>
      <c r="P783" s="14">
        <f>+COUNTIF(P751:P780,0)</f>
        <v>8</v>
      </c>
    </row>
    <row r="785" spans="1:20" x14ac:dyDescent="0.3">
      <c r="A785" s="1">
        <v>1</v>
      </c>
      <c r="B785" s="2">
        <v>16484970</v>
      </c>
      <c r="C785" s="3" t="s">
        <v>448</v>
      </c>
      <c r="D785" s="12" t="s">
        <v>40</v>
      </c>
      <c r="E785" s="12" t="s">
        <v>40</v>
      </c>
      <c r="F785" s="12"/>
      <c r="G785" s="12"/>
      <c r="H785" s="12" t="s">
        <v>40</v>
      </c>
      <c r="I785" s="12" t="s">
        <v>40</v>
      </c>
      <c r="J785" s="12" t="s">
        <v>40</v>
      </c>
      <c r="K785" s="12" t="s">
        <v>40</v>
      </c>
      <c r="L785" s="12">
        <v>36000</v>
      </c>
      <c r="M785" s="15">
        <f>+IF(D785="X",1,0)+IF(E785="X",1,0)+IF(F785="X",2,0)+IF(G785="X",2,0)+IF(H785="X",3,IF(H785="Y",1.5,0))+IF(I785="X",5,IF(I785="Y",2.5,0))+IF(J785="X",10,IF(J785="Y",5,0))</f>
        <v>20</v>
      </c>
      <c r="N785" s="15">
        <f>+IF(K785="X",1,0)</f>
        <v>1</v>
      </c>
      <c r="O785" s="12">
        <v>36000</v>
      </c>
      <c r="P785" s="12">
        <f t="shared" ref="P785:P813" si="203">+L785/12</f>
        <v>3000</v>
      </c>
      <c r="Q785" s="12">
        <f t="shared" ref="Q785:Q813" si="204">+O785/12</f>
        <v>3000</v>
      </c>
    </row>
    <row r="786" spans="1:20" x14ac:dyDescent="0.3">
      <c r="A786" s="1">
        <f>+A785+1</f>
        <v>2</v>
      </c>
      <c r="B786" s="2" t="s">
        <v>705</v>
      </c>
      <c r="C786" s="3" t="s">
        <v>448</v>
      </c>
      <c r="D786" s="12" t="s">
        <v>40</v>
      </c>
      <c r="E786" s="12" t="s">
        <v>40</v>
      </c>
      <c r="F786" s="12"/>
      <c r="G786" s="12"/>
      <c r="H786" s="12" t="s">
        <v>40</v>
      </c>
      <c r="I786" s="12"/>
      <c r="J786" s="12"/>
      <c r="K786" s="12"/>
      <c r="L786" s="12">
        <v>62300</v>
      </c>
      <c r="M786" s="15">
        <f t="shared" ref="M786:M813" si="205">+IF(D786="X",1,0)+IF(E786="X",1,0)+IF(F786="X",2,0)+IF(G786="X",2,0)+IF(H786="X",3,IF(H786="Y",1.5,0))+IF(I786="X",5,IF(I786="Y",2.5,0))+IF(J786="X",10,IF(J786="Y",5,0))</f>
        <v>5</v>
      </c>
      <c r="N786" s="15">
        <f t="shared" ref="N786:N813" si="206">+IF(K786="X",1,0)</f>
        <v>0</v>
      </c>
      <c r="O786" s="12">
        <v>62300</v>
      </c>
      <c r="P786" s="12">
        <f t="shared" si="203"/>
        <v>5191.666666666667</v>
      </c>
      <c r="Q786" s="12">
        <f t="shared" si="204"/>
        <v>5191.666666666667</v>
      </c>
    </row>
    <row r="787" spans="1:20" x14ac:dyDescent="0.3">
      <c r="A787" s="1">
        <f t="shared" ref="A787:A814" si="207">+A786+1</f>
        <v>3</v>
      </c>
      <c r="B787" s="2" t="s">
        <v>706</v>
      </c>
      <c r="C787" s="3" t="s">
        <v>448</v>
      </c>
      <c r="D787" s="12" t="s">
        <v>40</v>
      </c>
      <c r="E787" s="12" t="s">
        <v>40</v>
      </c>
      <c r="F787" s="12"/>
      <c r="G787" s="12"/>
      <c r="H787" s="12" t="s">
        <v>40</v>
      </c>
      <c r="I787" s="12" t="s">
        <v>40</v>
      </c>
      <c r="J787" s="12"/>
      <c r="K787" s="12" t="s">
        <v>40</v>
      </c>
      <c r="L787" s="12">
        <v>44842</v>
      </c>
      <c r="M787" s="15">
        <f t="shared" si="205"/>
        <v>10</v>
      </c>
      <c r="N787" s="15">
        <f t="shared" si="206"/>
        <v>1</v>
      </c>
      <c r="O787" s="12">
        <v>44842</v>
      </c>
      <c r="P787" s="12">
        <f t="shared" si="203"/>
        <v>3736.8333333333335</v>
      </c>
      <c r="Q787" s="12">
        <f t="shared" si="204"/>
        <v>3736.8333333333335</v>
      </c>
      <c r="S787" t="s">
        <v>707</v>
      </c>
      <c r="T787" t="s">
        <v>151</v>
      </c>
    </row>
    <row r="788" spans="1:20" x14ac:dyDescent="0.3">
      <c r="A788" s="1">
        <f t="shared" si="207"/>
        <v>4</v>
      </c>
      <c r="B788" s="2" t="s">
        <v>708</v>
      </c>
      <c r="C788" s="3" t="s">
        <v>448</v>
      </c>
      <c r="D788" s="12" t="s">
        <v>40</v>
      </c>
      <c r="E788" s="12" t="s">
        <v>40</v>
      </c>
      <c r="F788" s="12"/>
      <c r="G788" s="12"/>
      <c r="H788" s="12" t="s">
        <v>40</v>
      </c>
      <c r="I788" s="12"/>
      <c r="J788" s="12"/>
      <c r="K788" s="12"/>
      <c r="L788" s="12">
        <v>161901.34</v>
      </c>
      <c r="M788" s="15">
        <f t="shared" si="205"/>
        <v>5</v>
      </c>
      <c r="N788" s="15">
        <f t="shared" si="206"/>
        <v>0</v>
      </c>
      <c r="O788" s="12">
        <v>161901.34</v>
      </c>
      <c r="P788" s="12">
        <f t="shared" si="203"/>
        <v>13491.778333333334</v>
      </c>
      <c r="Q788" s="12">
        <f t="shared" si="204"/>
        <v>13491.778333333334</v>
      </c>
    </row>
    <row r="789" spans="1:20" x14ac:dyDescent="0.3">
      <c r="A789" s="1">
        <f t="shared" si="207"/>
        <v>5</v>
      </c>
      <c r="B789" s="2" t="s">
        <v>709</v>
      </c>
      <c r="C789" s="3" t="s">
        <v>448</v>
      </c>
      <c r="D789" s="12" t="s">
        <v>40</v>
      </c>
      <c r="E789" s="12" t="s">
        <v>40</v>
      </c>
      <c r="F789" s="12" t="s">
        <v>40</v>
      </c>
      <c r="G789" s="12"/>
      <c r="H789" s="12" t="s">
        <v>40</v>
      </c>
      <c r="I789" s="12"/>
      <c r="J789" s="12"/>
      <c r="K789" s="12"/>
      <c r="L789" s="12">
        <v>341673</v>
      </c>
      <c r="M789" s="15">
        <f t="shared" si="205"/>
        <v>7</v>
      </c>
      <c r="N789" s="15">
        <f t="shared" si="206"/>
        <v>0</v>
      </c>
      <c r="O789" s="12">
        <v>341673</v>
      </c>
      <c r="P789" s="12">
        <f t="shared" si="203"/>
        <v>28472.75</v>
      </c>
      <c r="Q789" s="12">
        <f t="shared" si="204"/>
        <v>28472.75</v>
      </c>
    </row>
    <row r="790" spans="1:20" x14ac:dyDescent="0.3">
      <c r="A790" s="1">
        <f t="shared" si="207"/>
        <v>6</v>
      </c>
      <c r="B790" s="2" t="s">
        <v>710</v>
      </c>
      <c r="C790" s="3" t="s">
        <v>448</v>
      </c>
      <c r="D790" s="12" t="s">
        <v>40</v>
      </c>
      <c r="E790" s="12" t="s">
        <v>40</v>
      </c>
      <c r="F790" s="12" t="s">
        <v>40</v>
      </c>
      <c r="G790" s="12" t="s">
        <v>40</v>
      </c>
      <c r="H790" s="12"/>
      <c r="I790" s="12"/>
      <c r="J790" s="12"/>
      <c r="K790" s="12"/>
      <c r="L790" s="12">
        <v>165768</v>
      </c>
      <c r="M790" s="15">
        <f t="shared" si="205"/>
        <v>6</v>
      </c>
      <c r="N790" s="15">
        <f t="shared" si="206"/>
        <v>0</v>
      </c>
      <c r="O790" s="12">
        <v>165768</v>
      </c>
      <c r="P790" s="12">
        <f t="shared" si="203"/>
        <v>13814</v>
      </c>
      <c r="Q790" s="12">
        <f t="shared" si="204"/>
        <v>13814</v>
      </c>
    </row>
    <row r="791" spans="1:20" x14ac:dyDescent="0.3">
      <c r="A791" s="1">
        <f t="shared" si="207"/>
        <v>7</v>
      </c>
      <c r="B791" s="10"/>
      <c r="C791" s="9"/>
      <c r="D791" s="13"/>
      <c r="E791" s="13"/>
      <c r="F791" s="13"/>
      <c r="G791" s="13"/>
      <c r="H791" s="13"/>
      <c r="I791" s="13"/>
      <c r="J791" s="13"/>
      <c r="K791" s="13"/>
      <c r="L791" s="13"/>
      <c r="M791" s="16"/>
      <c r="N791" s="16"/>
      <c r="O791" s="13"/>
      <c r="P791" s="13"/>
      <c r="Q791" s="13"/>
    </row>
    <row r="792" spans="1:20" x14ac:dyDescent="0.3">
      <c r="A792" s="1">
        <f t="shared" si="207"/>
        <v>8</v>
      </c>
      <c r="B792" s="2" t="s">
        <v>711</v>
      </c>
      <c r="C792" s="3" t="s">
        <v>448</v>
      </c>
      <c r="D792" s="12" t="s">
        <v>40</v>
      </c>
      <c r="E792" s="12" t="s">
        <v>40</v>
      </c>
      <c r="F792" s="12"/>
      <c r="G792" s="12"/>
      <c r="H792" s="12" t="s">
        <v>40</v>
      </c>
      <c r="I792" s="12"/>
      <c r="J792" s="12"/>
      <c r="K792" s="12"/>
      <c r="L792" s="12">
        <v>135756</v>
      </c>
      <c r="M792" s="15">
        <f t="shared" si="205"/>
        <v>5</v>
      </c>
      <c r="N792" s="15">
        <f t="shared" si="206"/>
        <v>0</v>
      </c>
      <c r="O792" s="12">
        <v>135756</v>
      </c>
      <c r="P792" s="12">
        <f t="shared" si="203"/>
        <v>11313</v>
      </c>
      <c r="Q792" s="12">
        <f t="shared" si="204"/>
        <v>11313</v>
      </c>
    </row>
    <row r="793" spans="1:20" x14ac:dyDescent="0.3">
      <c r="A793" s="1">
        <f t="shared" si="207"/>
        <v>9</v>
      </c>
      <c r="B793" s="2" t="s">
        <v>712</v>
      </c>
      <c r="C793" s="3" t="s">
        <v>448</v>
      </c>
      <c r="D793" s="12" t="s">
        <v>40</v>
      </c>
      <c r="E793" s="12" t="s">
        <v>40</v>
      </c>
      <c r="F793" s="12"/>
      <c r="G793" s="12"/>
      <c r="H793" s="12" t="s">
        <v>40</v>
      </c>
      <c r="I793" s="12"/>
      <c r="J793" s="12"/>
      <c r="K793" s="12" t="s">
        <v>40</v>
      </c>
      <c r="L793" s="12">
        <v>41000</v>
      </c>
      <c r="M793" s="15">
        <f t="shared" si="205"/>
        <v>5</v>
      </c>
      <c r="N793" s="15">
        <f t="shared" si="206"/>
        <v>1</v>
      </c>
      <c r="O793" s="12">
        <v>41000</v>
      </c>
      <c r="P793" s="12">
        <f t="shared" si="203"/>
        <v>3416.6666666666665</v>
      </c>
      <c r="Q793" s="12">
        <f t="shared" si="204"/>
        <v>3416.6666666666665</v>
      </c>
    </row>
    <row r="794" spans="1:20" x14ac:dyDescent="0.3">
      <c r="A794" s="1">
        <f t="shared" si="207"/>
        <v>10</v>
      </c>
      <c r="B794" s="10"/>
      <c r="C794" s="9"/>
      <c r="D794" s="13"/>
      <c r="E794" s="13"/>
      <c r="F794" s="13"/>
      <c r="G794" s="13"/>
      <c r="H794" s="13"/>
      <c r="I794" s="13"/>
      <c r="J794" s="13"/>
      <c r="K794" s="13"/>
      <c r="L794" s="13"/>
      <c r="M794" s="16"/>
      <c r="N794" s="16"/>
      <c r="O794" s="13"/>
      <c r="P794" s="13"/>
      <c r="Q794" s="13"/>
    </row>
    <row r="795" spans="1:20" x14ac:dyDescent="0.3">
      <c r="A795" s="1">
        <f t="shared" si="207"/>
        <v>11</v>
      </c>
      <c r="B795" s="2" t="s">
        <v>713</v>
      </c>
      <c r="C795" s="3" t="s">
        <v>448</v>
      </c>
      <c r="D795" s="12" t="s">
        <v>40</v>
      </c>
      <c r="E795" s="12" t="s">
        <v>40</v>
      </c>
      <c r="F795" s="12"/>
      <c r="G795" s="12"/>
      <c r="H795" s="12" t="s">
        <v>40</v>
      </c>
      <c r="I795" s="12" t="s">
        <v>40</v>
      </c>
      <c r="J795" s="12"/>
      <c r="K795" s="12"/>
      <c r="L795" s="12">
        <v>0</v>
      </c>
      <c r="M795" s="15">
        <f t="shared" si="205"/>
        <v>10</v>
      </c>
      <c r="N795" s="15">
        <f t="shared" si="206"/>
        <v>0</v>
      </c>
      <c r="O795" s="20"/>
      <c r="P795" s="12">
        <f t="shared" ref="P795" si="208">+L795/12</f>
        <v>0</v>
      </c>
      <c r="Q795" s="20"/>
    </row>
    <row r="796" spans="1:20" x14ac:dyDescent="0.3">
      <c r="A796" s="1">
        <f t="shared" si="207"/>
        <v>12</v>
      </c>
      <c r="B796" s="2" t="s">
        <v>714</v>
      </c>
      <c r="C796" s="3" t="s">
        <v>448</v>
      </c>
      <c r="D796" s="12" t="s">
        <v>40</v>
      </c>
      <c r="E796" s="12" t="s">
        <v>40</v>
      </c>
      <c r="F796" s="12" t="s">
        <v>40</v>
      </c>
      <c r="G796" s="12"/>
      <c r="H796" s="12" t="s">
        <v>40</v>
      </c>
      <c r="I796" s="12"/>
      <c r="J796" s="12"/>
      <c r="K796" s="12"/>
      <c r="L796" s="12">
        <v>46000</v>
      </c>
      <c r="M796" s="15">
        <f t="shared" si="205"/>
        <v>7</v>
      </c>
      <c r="N796" s="15">
        <f t="shared" si="206"/>
        <v>0</v>
      </c>
      <c r="O796" s="12">
        <v>46000</v>
      </c>
      <c r="P796" s="12">
        <f t="shared" si="203"/>
        <v>3833.3333333333335</v>
      </c>
      <c r="Q796" s="12">
        <f t="shared" si="204"/>
        <v>3833.3333333333335</v>
      </c>
    </row>
    <row r="797" spans="1:20" x14ac:dyDescent="0.3">
      <c r="A797" s="1">
        <f t="shared" si="207"/>
        <v>13</v>
      </c>
      <c r="B797" s="2" t="s">
        <v>715</v>
      </c>
      <c r="C797" s="3" t="s">
        <v>448</v>
      </c>
      <c r="D797" s="12" t="s">
        <v>40</v>
      </c>
      <c r="E797" s="12" t="s">
        <v>40</v>
      </c>
      <c r="F797" s="12"/>
      <c r="G797" s="12"/>
      <c r="H797" s="12" t="s">
        <v>40</v>
      </c>
      <c r="I797" s="12" t="s">
        <v>40</v>
      </c>
      <c r="J797" s="12"/>
      <c r="K797" s="12" t="s">
        <v>40</v>
      </c>
      <c r="L797" s="12">
        <v>682626</v>
      </c>
      <c r="M797" s="15">
        <f t="shared" si="205"/>
        <v>10</v>
      </c>
      <c r="N797" s="15">
        <f t="shared" si="206"/>
        <v>1</v>
      </c>
      <c r="O797" s="20"/>
      <c r="P797" s="12">
        <f t="shared" si="203"/>
        <v>56885.5</v>
      </c>
      <c r="Q797" s="20"/>
    </row>
    <row r="798" spans="1:20" x14ac:dyDescent="0.3">
      <c r="A798" s="1">
        <f t="shared" si="207"/>
        <v>14</v>
      </c>
      <c r="B798" s="10"/>
      <c r="C798" s="9"/>
      <c r="D798" s="13"/>
      <c r="E798" s="13"/>
      <c r="F798" s="13"/>
      <c r="G798" s="13"/>
      <c r="H798" s="13"/>
      <c r="I798" s="13"/>
      <c r="J798" s="13"/>
      <c r="K798" s="13"/>
      <c r="L798" s="13"/>
      <c r="M798" s="16"/>
      <c r="N798" s="16"/>
      <c r="O798" s="13"/>
      <c r="P798" s="13"/>
      <c r="Q798" s="13"/>
    </row>
    <row r="799" spans="1:20" x14ac:dyDescent="0.3">
      <c r="A799" s="1">
        <f t="shared" si="207"/>
        <v>15</v>
      </c>
      <c r="B799" s="2" t="s">
        <v>716</v>
      </c>
      <c r="C799" s="3" t="s">
        <v>448</v>
      </c>
      <c r="D799" s="12" t="s">
        <v>40</v>
      </c>
      <c r="E799" s="12" t="s">
        <v>40</v>
      </c>
      <c r="F799" s="12"/>
      <c r="G799" s="12"/>
      <c r="H799" s="12" t="s">
        <v>40</v>
      </c>
      <c r="I799" s="12" t="s">
        <v>40</v>
      </c>
      <c r="J799" s="12"/>
      <c r="K799" s="12"/>
      <c r="L799" s="12">
        <v>0</v>
      </c>
      <c r="M799" s="15">
        <f t="shared" si="205"/>
        <v>10</v>
      </c>
      <c r="N799" s="15">
        <f t="shared" si="206"/>
        <v>0</v>
      </c>
      <c r="O799" s="20"/>
      <c r="P799" s="12">
        <f t="shared" ref="P799" si="209">+L799/12</f>
        <v>0</v>
      </c>
      <c r="Q799" s="20"/>
    </row>
    <row r="800" spans="1:20" x14ac:dyDescent="0.3">
      <c r="A800" s="1">
        <f t="shared" si="207"/>
        <v>16</v>
      </c>
      <c r="B800" s="2" t="s">
        <v>717</v>
      </c>
      <c r="C800" s="3" t="s">
        <v>448</v>
      </c>
      <c r="D800" s="12" t="s">
        <v>40</v>
      </c>
      <c r="E800" s="12" t="s">
        <v>40</v>
      </c>
      <c r="F800" s="12" t="s">
        <v>40</v>
      </c>
      <c r="G800" s="12"/>
      <c r="H800" s="12"/>
      <c r="I800" s="12"/>
      <c r="J800" s="12"/>
      <c r="K800" s="12"/>
      <c r="L800" s="12">
        <v>36624</v>
      </c>
      <c r="M800" s="15">
        <f t="shared" si="205"/>
        <v>4</v>
      </c>
      <c r="N800" s="15">
        <f t="shared" si="206"/>
        <v>0</v>
      </c>
      <c r="O800" s="12">
        <v>36624</v>
      </c>
      <c r="P800" s="12">
        <f t="shared" si="203"/>
        <v>3052</v>
      </c>
      <c r="Q800" s="12">
        <f t="shared" si="204"/>
        <v>3052</v>
      </c>
    </row>
    <row r="801" spans="1:18" x14ac:dyDescent="0.3">
      <c r="A801" s="1">
        <f t="shared" si="207"/>
        <v>17</v>
      </c>
      <c r="B801" s="2" t="s">
        <v>718</v>
      </c>
      <c r="C801" s="3" t="s">
        <v>448</v>
      </c>
      <c r="D801" s="12" t="s">
        <v>40</v>
      </c>
      <c r="E801" s="12" t="s">
        <v>40</v>
      </c>
      <c r="F801" s="12"/>
      <c r="G801" s="12"/>
      <c r="H801" s="12" t="s">
        <v>40</v>
      </c>
      <c r="I801" s="12" t="s">
        <v>40</v>
      </c>
      <c r="J801" s="12"/>
      <c r="K801" s="12"/>
      <c r="L801" s="12">
        <v>18000</v>
      </c>
      <c r="M801" s="15">
        <f t="shared" si="205"/>
        <v>10</v>
      </c>
      <c r="N801" s="15">
        <f t="shared" si="206"/>
        <v>0</v>
      </c>
      <c r="O801" s="12">
        <v>18000</v>
      </c>
      <c r="P801" s="12">
        <f t="shared" si="203"/>
        <v>1500</v>
      </c>
      <c r="Q801" s="12">
        <f t="shared" si="204"/>
        <v>1500</v>
      </c>
    </row>
    <row r="802" spans="1:18" x14ac:dyDescent="0.3">
      <c r="A802" s="1">
        <f t="shared" si="207"/>
        <v>18</v>
      </c>
      <c r="B802" s="2" t="s">
        <v>719</v>
      </c>
      <c r="C802" s="3" t="s">
        <v>448</v>
      </c>
      <c r="D802" s="12" t="s">
        <v>40</v>
      </c>
      <c r="E802" s="12" t="s">
        <v>40</v>
      </c>
      <c r="F802" s="12"/>
      <c r="G802" s="12"/>
      <c r="H802" s="12" t="s">
        <v>40</v>
      </c>
      <c r="I802" s="12"/>
      <c r="J802" s="12"/>
      <c r="K802" s="12"/>
      <c r="L802" s="12">
        <v>0</v>
      </c>
      <c r="M802" s="15">
        <f t="shared" si="205"/>
        <v>5</v>
      </c>
      <c r="N802" s="15">
        <f t="shared" si="206"/>
        <v>0</v>
      </c>
      <c r="O802" s="20"/>
      <c r="P802" s="12">
        <f t="shared" si="203"/>
        <v>0</v>
      </c>
      <c r="Q802" s="20"/>
    </row>
    <row r="803" spans="1:18" x14ac:dyDescent="0.3">
      <c r="A803" s="1">
        <f t="shared" si="207"/>
        <v>19</v>
      </c>
      <c r="B803" s="2" t="s">
        <v>720</v>
      </c>
      <c r="C803" s="3" t="s">
        <v>448</v>
      </c>
      <c r="D803" s="12" t="s">
        <v>40</v>
      </c>
      <c r="E803" s="12" t="s">
        <v>40</v>
      </c>
      <c r="F803" s="12"/>
      <c r="G803" s="12"/>
      <c r="H803" s="12"/>
      <c r="I803" s="12"/>
      <c r="J803" s="12"/>
      <c r="K803" s="12"/>
      <c r="L803" s="12">
        <v>43200</v>
      </c>
      <c r="M803" s="15">
        <f t="shared" si="205"/>
        <v>2</v>
      </c>
      <c r="N803" s="15">
        <f t="shared" si="206"/>
        <v>0</v>
      </c>
      <c r="O803" s="12">
        <v>43200</v>
      </c>
      <c r="P803" s="12">
        <f t="shared" si="203"/>
        <v>3600</v>
      </c>
      <c r="Q803" s="12">
        <f t="shared" si="204"/>
        <v>3600</v>
      </c>
    </row>
    <row r="804" spans="1:18" x14ac:dyDescent="0.3">
      <c r="A804" s="1">
        <f t="shared" si="207"/>
        <v>20</v>
      </c>
      <c r="B804" s="10"/>
      <c r="C804" s="9"/>
      <c r="D804" s="13"/>
      <c r="E804" s="13"/>
      <c r="F804" s="13"/>
      <c r="G804" s="13"/>
      <c r="H804" s="13"/>
      <c r="I804" s="13"/>
      <c r="J804" s="13"/>
      <c r="K804" s="13"/>
      <c r="L804" s="13"/>
      <c r="M804" s="16"/>
      <c r="N804" s="16"/>
      <c r="O804" s="13"/>
      <c r="P804" s="13"/>
      <c r="Q804" s="13"/>
    </row>
    <row r="805" spans="1:18" x14ac:dyDescent="0.3">
      <c r="A805" s="1">
        <f t="shared" si="207"/>
        <v>21</v>
      </c>
      <c r="B805" s="2" t="s">
        <v>721</v>
      </c>
      <c r="C805" s="3" t="s">
        <v>448</v>
      </c>
      <c r="D805" s="12" t="s">
        <v>40</v>
      </c>
      <c r="E805" s="12" t="s">
        <v>40</v>
      </c>
      <c r="F805" s="12" t="s">
        <v>40</v>
      </c>
      <c r="G805" s="12"/>
      <c r="H805" s="12" t="s">
        <v>40</v>
      </c>
      <c r="I805" s="12"/>
      <c r="J805" s="12"/>
      <c r="K805" s="12"/>
      <c r="L805" s="12">
        <v>87150</v>
      </c>
      <c r="M805" s="15">
        <f t="shared" si="205"/>
        <v>7</v>
      </c>
      <c r="N805" s="15">
        <f t="shared" si="206"/>
        <v>0</v>
      </c>
      <c r="O805" s="12">
        <v>87150</v>
      </c>
      <c r="P805" s="12">
        <f t="shared" si="203"/>
        <v>7262.5</v>
      </c>
      <c r="Q805" s="12">
        <f t="shared" si="204"/>
        <v>7262.5</v>
      </c>
    </row>
    <row r="806" spans="1:18" x14ac:dyDescent="0.3">
      <c r="A806" s="1">
        <f t="shared" si="207"/>
        <v>22</v>
      </c>
      <c r="B806" s="10"/>
      <c r="C806" s="9"/>
      <c r="D806" s="13"/>
      <c r="E806" s="13"/>
      <c r="F806" s="13"/>
      <c r="G806" s="13"/>
      <c r="H806" s="13"/>
      <c r="I806" s="13"/>
      <c r="J806" s="13"/>
      <c r="K806" s="13"/>
      <c r="L806" s="13"/>
      <c r="M806" s="16"/>
      <c r="N806" s="16"/>
      <c r="O806" s="13"/>
      <c r="P806" s="13"/>
      <c r="Q806" s="13"/>
    </row>
    <row r="807" spans="1:18" x14ac:dyDescent="0.3">
      <c r="A807" s="1">
        <f t="shared" si="207"/>
        <v>23</v>
      </c>
      <c r="B807" s="18" t="s">
        <v>722</v>
      </c>
      <c r="C807" s="3" t="s">
        <v>448</v>
      </c>
      <c r="D807" s="12" t="s">
        <v>40</v>
      </c>
      <c r="E807" s="12" t="s">
        <v>40</v>
      </c>
      <c r="F807" s="12" t="s">
        <v>40</v>
      </c>
      <c r="G807" s="12"/>
      <c r="H807" s="12" t="s">
        <v>40</v>
      </c>
      <c r="I807" s="12"/>
      <c r="J807" s="12"/>
      <c r="K807" s="12"/>
      <c r="L807" s="12">
        <v>31680</v>
      </c>
      <c r="M807" s="15">
        <f t="shared" si="205"/>
        <v>7</v>
      </c>
      <c r="N807" s="15">
        <f t="shared" si="206"/>
        <v>0</v>
      </c>
      <c r="O807" s="12">
        <v>31680</v>
      </c>
      <c r="P807" s="12">
        <f t="shared" si="203"/>
        <v>2640</v>
      </c>
      <c r="Q807" s="12">
        <f t="shared" si="204"/>
        <v>2640</v>
      </c>
    </row>
    <row r="808" spans="1:18" x14ac:dyDescent="0.3">
      <c r="A808" s="1">
        <f t="shared" si="207"/>
        <v>24</v>
      </c>
      <c r="B808" s="2" t="s">
        <v>723</v>
      </c>
      <c r="C808" s="3" t="s">
        <v>448</v>
      </c>
      <c r="D808" s="12" t="s">
        <v>40</v>
      </c>
      <c r="E808" s="12" t="s">
        <v>40</v>
      </c>
      <c r="F808" s="12" t="s">
        <v>40</v>
      </c>
      <c r="G808" s="12"/>
      <c r="H808" s="12"/>
      <c r="I808" s="12"/>
      <c r="J808" s="12"/>
      <c r="K808" s="12"/>
      <c r="L808" s="12">
        <v>0</v>
      </c>
      <c r="M808" s="15">
        <f t="shared" si="205"/>
        <v>4</v>
      </c>
      <c r="N808" s="15">
        <f t="shared" si="206"/>
        <v>0</v>
      </c>
      <c r="O808" s="20"/>
      <c r="P808" s="12">
        <f t="shared" si="203"/>
        <v>0</v>
      </c>
      <c r="Q808" s="20"/>
    </row>
    <row r="809" spans="1:18" x14ac:dyDescent="0.3">
      <c r="A809" s="1">
        <f t="shared" si="207"/>
        <v>25</v>
      </c>
      <c r="B809" s="2" t="s">
        <v>724</v>
      </c>
      <c r="C809" s="3" t="s">
        <v>448</v>
      </c>
      <c r="D809" s="12" t="s">
        <v>40</v>
      </c>
      <c r="E809" s="12" t="s">
        <v>40</v>
      </c>
      <c r="F809" s="12"/>
      <c r="G809" s="12"/>
      <c r="H809" s="12"/>
      <c r="I809" s="12"/>
      <c r="J809" s="12"/>
      <c r="K809" s="12"/>
      <c r="L809" s="12">
        <v>14400</v>
      </c>
      <c r="M809" s="15">
        <f t="shared" si="205"/>
        <v>2</v>
      </c>
      <c r="N809" s="15">
        <f t="shared" si="206"/>
        <v>0</v>
      </c>
      <c r="O809" s="12">
        <v>14400</v>
      </c>
      <c r="P809" s="12">
        <f t="shared" si="203"/>
        <v>1200</v>
      </c>
      <c r="Q809" s="12">
        <f t="shared" si="204"/>
        <v>1200</v>
      </c>
    </row>
    <row r="810" spans="1:18" x14ac:dyDescent="0.3">
      <c r="A810" s="1">
        <f t="shared" si="207"/>
        <v>26</v>
      </c>
      <c r="B810" s="2" t="s">
        <v>725</v>
      </c>
      <c r="C810" s="3" t="s">
        <v>448</v>
      </c>
      <c r="D810" s="12" t="s">
        <v>40</v>
      </c>
      <c r="E810" s="12" t="s">
        <v>40</v>
      </c>
      <c r="F810" s="12"/>
      <c r="G810" s="12"/>
      <c r="H810" s="12"/>
      <c r="I810" s="12"/>
      <c r="J810" s="12"/>
      <c r="K810" s="12"/>
      <c r="L810" s="12">
        <v>12000</v>
      </c>
      <c r="M810" s="15">
        <f t="shared" si="205"/>
        <v>2</v>
      </c>
      <c r="N810" s="15">
        <f t="shared" si="206"/>
        <v>0</v>
      </c>
      <c r="O810" s="12">
        <v>12000</v>
      </c>
      <c r="P810" s="12">
        <f t="shared" si="203"/>
        <v>1000</v>
      </c>
      <c r="Q810" s="12">
        <f t="shared" si="204"/>
        <v>1000</v>
      </c>
    </row>
    <row r="811" spans="1:18" x14ac:dyDescent="0.3">
      <c r="A811" s="1">
        <f t="shared" si="207"/>
        <v>27</v>
      </c>
      <c r="B811" s="2" t="s">
        <v>726</v>
      </c>
      <c r="C811" s="3" t="s">
        <v>448</v>
      </c>
      <c r="D811" s="12" t="s">
        <v>40</v>
      </c>
      <c r="E811" s="12" t="s">
        <v>40</v>
      </c>
      <c r="F811" s="12"/>
      <c r="G811" s="12"/>
      <c r="H811" s="12"/>
      <c r="I811" s="12"/>
      <c r="J811" s="12"/>
      <c r="K811" s="12" t="s">
        <v>40</v>
      </c>
      <c r="L811" s="12">
        <v>4000</v>
      </c>
      <c r="M811" s="15">
        <f t="shared" si="205"/>
        <v>2</v>
      </c>
      <c r="N811" s="15">
        <f t="shared" si="206"/>
        <v>1</v>
      </c>
      <c r="O811" s="12">
        <v>4000</v>
      </c>
      <c r="P811" s="12">
        <f t="shared" si="203"/>
        <v>333.33333333333331</v>
      </c>
      <c r="Q811" s="12">
        <f t="shared" si="204"/>
        <v>333.33333333333331</v>
      </c>
    </row>
    <row r="812" spans="1:18" x14ac:dyDescent="0.3">
      <c r="A812" s="1">
        <f t="shared" si="207"/>
        <v>28</v>
      </c>
      <c r="B812" s="2" t="s">
        <v>727</v>
      </c>
      <c r="C812" s="3" t="s">
        <v>448</v>
      </c>
      <c r="D812" s="12" t="s">
        <v>40</v>
      </c>
      <c r="E812" s="12" t="s">
        <v>40</v>
      </c>
      <c r="F812" s="12" t="s">
        <v>40</v>
      </c>
      <c r="G812" s="12" t="s">
        <v>40</v>
      </c>
      <c r="H812" s="12"/>
      <c r="I812" s="12"/>
      <c r="J812" s="12"/>
      <c r="K812" s="12"/>
      <c r="L812" s="12">
        <v>12000</v>
      </c>
      <c r="M812" s="15">
        <f t="shared" si="205"/>
        <v>6</v>
      </c>
      <c r="N812" s="15">
        <f t="shared" si="206"/>
        <v>0</v>
      </c>
      <c r="O812" s="12">
        <v>12000</v>
      </c>
      <c r="P812" s="12">
        <f t="shared" si="203"/>
        <v>1000</v>
      </c>
      <c r="Q812" s="12">
        <f t="shared" si="204"/>
        <v>1000</v>
      </c>
    </row>
    <row r="813" spans="1:18" x14ac:dyDescent="0.3">
      <c r="A813" s="1">
        <f t="shared" si="207"/>
        <v>29</v>
      </c>
      <c r="B813" s="2" t="s">
        <v>728</v>
      </c>
      <c r="C813" s="3" t="s">
        <v>448</v>
      </c>
      <c r="D813" s="12" t="s">
        <v>40</v>
      </c>
      <c r="E813" s="12" t="s">
        <v>40</v>
      </c>
      <c r="F813" s="12"/>
      <c r="G813" s="12"/>
      <c r="H813" s="12"/>
      <c r="I813" s="12"/>
      <c r="J813" s="12"/>
      <c r="K813" s="12"/>
      <c r="L813" s="12">
        <v>30000</v>
      </c>
      <c r="M813" s="15">
        <f t="shared" si="205"/>
        <v>2</v>
      </c>
      <c r="N813" s="15">
        <f t="shared" si="206"/>
        <v>0</v>
      </c>
      <c r="O813" s="12">
        <v>30000</v>
      </c>
      <c r="P813" s="12">
        <f t="shared" si="203"/>
        <v>2500</v>
      </c>
      <c r="Q813" s="12">
        <f t="shared" si="204"/>
        <v>2500</v>
      </c>
    </row>
    <row r="814" spans="1:18" x14ac:dyDescent="0.3">
      <c r="A814" s="1">
        <f t="shared" si="207"/>
        <v>30</v>
      </c>
      <c r="B814" s="10"/>
      <c r="C814" s="9"/>
      <c r="D814" s="13"/>
      <c r="E814" s="13"/>
      <c r="F814" s="13"/>
      <c r="G814" s="13"/>
      <c r="H814" s="13"/>
      <c r="I814" s="13"/>
      <c r="J814" s="13"/>
      <c r="K814" s="13"/>
      <c r="L814" s="13"/>
      <c r="M814" s="16"/>
      <c r="N814" s="16"/>
      <c r="O814" s="13"/>
      <c r="P814" s="13"/>
      <c r="Q814" s="13"/>
    </row>
    <row r="815" spans="1:18" x14ac:dyDescent="0.3">
      <c r="B815" s="29"/>
      <c r="L815" s="14">
        <f>+AVERAGE(L785:L814)</f>
        <v>83621.680833333332</v>
      </c>
      <c r="M815" s="14">
        <f>+AVERAGE(M785:M814)</f>
        <v>6.375</v>
      </c>
      <c r="N815" s="14">
        <f>+SUM(N785:N814)</f>
        <v>5</v>
      </c>
      <c r="O815" s="14">
        <f>+AVERAGE(O785:O814)</f>
        <v>69699.702105263146</v>
      </c>
      <c r="P815" s="14">
        <f>+AVERAGE(P785:P814)</f>
        <v>6968.4734027777777</v>
      </c>
      <c r="Q815" s="14">
        <f>+AVERAGE(Q785:Q814)</f>
        <v>5808.3085087719301</v>
      </c>
      <c r="R815" s="14">
        <f>30-COUNTBLANK(R785:R814)</f>
        <v>0</v>
      </c>
    </row>
    <row r="816" spans="1:18" x14ac:dyDescent="0.3">
      <c r="L816" s="14">
        <f>+STDEV(L785:L814)</f>
        <v>149134.33762731752</v>
      </c>
      <c r="M816" s="14">
        <f>+STDEV(M785:M814)</f>
        <v>4.0088217937335457</v>
      </c>
      <c r="N816" s="17"/>
      <c r="O816" s="14">
        <f>+STDEV(O785:O814)</f>
        <v>82017.965655604159</v>
      </c>
      <c r="P816" s="14">
        <f>+STDEV(P785:P814)</f>
        <v>12427.861468943123</v>
      </c>
      <c r="Q816" s="14">
        <f>+STDEV(Q785:Q814)</f>
        <v>6834.8304713003454</v>
      </c>
    </row>
    <row r="817" spans="1:21" x14ac:dyDescent="0.3">
      <c r="I817" s="15"/>
      <c r="J817" s="15"/>
      <c r="K817" s="11" t="s">
        <v>75</v>
      </c>
      <c r="L817" s="14">
        <f>+COUNTIF(L785:L814,0)</f>
        <v>4</v>
      </c>
      <c r="M817" s="14">
        <f>+COUNT(M785:M814)</f>
        <v>24</v>
      </c>
      <c r="P817" s="14">
        <f>+COUNTIF(P785:P814,0)</f>
        <v>4</v>
      </c>
    </row>
    <row r="819" spans="1:21" x14ac:dyDescent="0.3">
      <c r="A819" s="1">
        <v>1</v>
      </c>
      <c r="B819" s="2" t="s">
        <v>729</v>
      </c>
      <c r="C819" s="3" t="s">
        <v>449</v>
      </c>
      <c r="D819" s="12" t="s">
        <v>40</v>
      </c>
      <c r="E819" s="12" t="s">
        <v>40</v>
      </c>
      <c r="F819" s="12"/>
      <c r="G819" s="12"/>
      <c r="H819" s="12" t="s">
        <v>40</v>
      </c>
      <c r="I819" s="12" t="s">
        <v>40</v>
      </c>
      <c r="J819" s="12"/>
      <c r="K819" s="12"/>
      <c r="L819" s="12">
        <v>457574</v>
      </c>
      <c r="M819" s="15">
        <f>+IF(D819="X",1,0)+IF(E819="X",1,0)+IF(F819="X",2,0)+IF(G819="X",2,0)+IF(H819="X",3,IF(H819="Y",1.5,0))+IF(I819="X",5,IF(I819="Y",2.5,0))+IF(J819="X",10,IF(J819="Y",5,0))</f>
        <v>10</v>
      </c>
      <c r="N819" s="15">
        <f>+IF(K819="X",1,0)</f>
        <v>0</v>
      </c>
      <c r="O819" s="20"/>
      <c r="P819" s="12">
        <f t="shared" ref="P819" si="210">+L819/12</f>
        <v>38131.166666666664</v>
      </c>
      <c r="Q819" s="20"/>
      <c r="S819" t="s">
        <v>209</v>
      </c>
      <c r="T819" t="s">
        <v>151</v>
      </c>
    </row>
    <row r="820" spans="1:21" x14ac:dyDescent="0.3">
      <c r="A820" s="1">
        <f>+A819+1</f>
        <v>2</v>
      </c>
      <c r="B820" s="2" t="s">
        <v>730</v>
      </c>
      <c r="C820" s="3" t="s">
        <v>449</v>
      </c>
      <c r="D820" s="12" t="s">
        <v>40</v>
      </c>
      <c r="E820" s="12" t="s">
        <v>40</v>
      </c>
      <c r="F820" s="12" t="s">
        <v>40</v>
      </c>
      <c r="G820" s="12"/>
      <c r="H820" s="12" t="s">
        <v>40</v>
      </c>
      <c r="I820" s="12" t="s">
        <v>40</v>
      </c>
      <c r="J820" s="12"/>
      <c r="K820" s="12"/>
      <c r="L820" s="12">
        <v>98035.23</v>
      </c>
      <c r="M820" s="15">
        <f t="shared" ref="M820:M848" si="211">+IF(D820="X",1,0)+IF(E820="X",1,0)+IF(F820="X",2,0)+IF(G820="X",2,0)+IF(H820="X",3,IF(H820="Y",1.5,0))+IF(I820="X",5,IF(I820="Y",2.5,0))+IF(J820="X",10,IF(J820="Y",5,0))</f>
        <v>12</v>
      </c>
      <c r="N820" s="15">
        <f t="shared" ref="N820:N848" si="212">+IF(K820="X",1,0)</f>
        <v>0</v>
      </c>
      <c r="O820" s="12">
        <v>98035.23</v>
      </c>
      <c r="P820" s="12">
        <f t="shared" ref="P820:P846" si="213">+L820/12</f>
        <v>8169.6025</v>
      </c>
      <c r="Q820" s="12">
        <f t="shared" ref="Q820:Q845" si="214">+O820/12</f>
        <v>8169.6025</v>
      </c>
      <c r="U820" t="s">
        <v>165</v>
      </c>
    </row>
    <row r="821" spans="1:21" x14ac:dyDescent="0.3">
      <c r="A821" s="1">
        <f t="shared" ref="A821:A848" si="215">+A820+1</f>
        <v>3</v>
      </c>
      <c r="B821" s="2" t="s">
        <v>731</v>
      </c>
      <c r="C821" s="3" t="s">
        <v>449</v>
      </c>
      <c r="D821" s="12" t="s">
        <v>40</v>
      </c>
      <c r="E821" s="12" t="s">
        <v>40</v>
      </c>
      <c r="F821" s="12"/>
      <c r="G821" s="12"/>
      <c r="H821" s="12" t="s">
        <v>40</v>
      </c>
      <c r="I821" s="12"/>
      <c r="J821" s="12"/>
      <c r="K821" s="12"/>
      <c r="L821" s="12">
        <v>120000</v>
      </c>
      <c r="M821" s="15">
        <f t="shared" si="211"/>
        <v>5</v>
      </c>
      <c r="N821" s="15">
        <f t="shared" si="212"/>
        <v>0</v>
      </c>
      <c r="O821" s="12">
        <v>120000</v>
      </c>
      <c r="P821" s="12">
        <f t="shared" si="213"/>
        <v>10000</v>
      </c>
      <c r="Q821" s="12">
        <f t="shared" si="214"/>
        <v>10000</v>
      </c>
      <c r="S821" t="s">
        <v>76</v>
      </c>
      <c r="T821" t="s">
        <v>151</v>
      </c>
    </row>
    <row r="822" spans="1:21" x14ac:dyDescent="0.3">
      <c r="A822" s="1">
        <f t="shared" si="215"/>
        <v>4</v>
      </c>
      <c r="B822" s="18" t="s">
        <v>732</v>
      </c>
      <c r="C822" s="3" t="s">
        <v>449</v>
      </c>
      <c r="D822" s="12" t="s">
        <v>40</v>
      </c>
      <c r="E822" s="12" t="s">
        <v>40</v>
      </c>
      <c r="F822" s="12"/>
      <c r="G822" s="12"/>
      <c r="H822" s="12" t="s">
        <v>40</v>
      </c>
      <c r="I822" s="12"/>
      <c r="J822" s="12"/>
      <c r="K822" s="12"/>
      <c r="L822" s="12">
        <v>98000</v>
      </c>
      <c r="M822" s="15">
        <f t="shared" si="211"/>
        <v>5</v>
      </c>
      <c r="N822" s="15">
        <f t="shared" si="212"/>
        <v>0</v>
      </c>
      <c r="O822" s="12">
        <v>98000</v>
      </c>
      <c r="P822" s="12">
        <f t="shared" si="213"/>
        <v>8166.666666666667</v>
      </c>
      <c r="Q822" s="12">
        <f t="shared" si="214"/>
        <v>8166.666666666667</v>
      </c>
    </row>
    <row r="823" spans="1:21" x14ac:dyDescent="0.3">
      <c r="A823" s="1">
        <f t="shared" si="215"/>
        <v>5</v>
      </c>
      <c r="B823" s="2" t="s">
        <v>733</v>
      </c>
      <c r="C823" s="3" t="s">
        <v>449</v>
      </c>
      <c r="D823" s="12" t="s">
        <v>40</v>
      </c>
      <c r="E823" s="12" t="s">
        <v>40</v>
      </c>
      <c r="F823" s="12" t="s">
        <v>40</v>
      </c>
      <c r="G823" s="12"/>
      <c r="H823" s="12"/>
      <c r="I823" s="12"/>
      <c r="J823" s="12"/>
      <c r="K823" s="12"/>
      <c r="L823" s="12">
        <v>34300</v>
      </c>
      <c r="M823" s="15">
        <f t="shared" si="211"/>
        <v>4</v>
      </c>
      <c r="N823" s="15">
        <f t="shared" si="212"/>
        <v>0</v>
      </c>
      <c r="O823" s="12">
        <v>34300</v>
      </c>
      <c r="P823" s="12">
        <f t="shared" si="213"/>
        <v>2858.3333333333335</v>
      </c>
      <c r="Q823" s="12">
        <f t="shared" si="214"/>
        <v>2858.3333333333335</v>
      </c>
    </row>
    <row r="824" spans="1:21" x14ac:dyDescent="0.3">
      <c r="A824" s="1">
        <f t="shared" si="215"/>
        <v>6</v>
      </c>
      <c r="B824" s="2" t="s">
        <v>734</v>
      </c>
      <c r="C824" s="3" t="s">
        <v>449</v>
      </c>
      <c r="D824" s="12" t="s">
        <v>40</v>
      </c>
      <c r="E824" s="12" t="s">
        <v>40</v>
      </c>
      <c r="F824" s="12"/>
      <c r="G824" s="12" t="s">
        <v>40</v>
      </c>
      <c r="H824" s="12"/>
      <c r="I824" s="12"/>
      <c r="J824" s="12"/>
      <c r="K824" s="12"/>
      <c r="L824" s="12">
        <v>426946.27</v>
      </c>
      <c r="M824" s="15">
        <f t="shared" si="211"/>
        <v>4</v>
      </c>
      <c r="N824" s="15">
        <f t="shared" si="212"/>
        <v>0</v>
      </c>
      <c r="O824" s="12">
        <v>426946.27</v>
      </c>
      <c r="P824" s="12">
        <f t="shared" si="213"/>
        <v>35578.855833333335</v>
      </c>
      <c r="Q824" s="12">
        <f t="shared" si="214"/>
        <v>35578.855833333335</v>
      </c>
      <c r="R824" t="s">
        <v>140</v>
      </c>
    </row>
    <row r="825" spans="1:21" x14ac:dyDescent="0.3">
      <c r="A825" s="1">
        <f t="shared" si="215"/>
        <v>7</v>
      </c>
      <c r="B825" s="18" t="s">
        <v>735</v>
      </c>
      <c r="C825" s="3" t="s">
        <v>449</v>
      </c>
      <c r="D825" s="12" t="s">
        <v>40</v>
      </c>
      <c r="E825" s="12" t="s">
        <v>40</v>
      </c>
      <c r="F825" s="12"/>
      <c r="G825" s="12"/>
      <c r="H825" s="12" t="s">
        <v>40</v>
      </c>
      <c r="I825" s="12"/>
      <c r="J825" s="12"/>
      <c r="K825" s="12"/>
      <c r="L825" s="12">
        <v>307200</v>
      </c>
      <c r="M825" s="15">
        <f t="shared" si="211"/>
        <v>5</v>
      </c>
      <c r="N825" s="15">
        <f t="shared" si="212"/>
        <v>0</v>
      </c>
      <c r="O825" s="12">
        <v>307200</v>
      </c>
      <c r="P825" s="12">
        <f t="shared" si="213"/>
        <v>25600</v>
      </c>
      <c r="Q825" s="12">
        <f t="shared" si="214"/>
        <v>25600</v>
      </c>
      <c r="R825" t="s">
        <v>45</v>
      </c>
    </row>
    <row r="826" spans="1:21" x14ac:dyDescent="0.3">
      <c r="A826" s="1">
        <f t="shared" si="215"/>
        <v>8</v>
      </c>
      <c r="B826" s="2" t="s">
        <v>736</v>
      </c>
      <c r="C826" s="3" t="s">
        <v>449</v>
      </c>
      <c r="D826" s="12" t="s">
        <v>40</v>
      </c>
      <c r="E826" s="12" t="s">
        <v>40</v>
      </c>
      <c r="F826" s="12"/>
      <c r="G826" s="12"/>
      <c r="H826" s="12" t="s">
        <v>40</v>
      </c>
      <c r="I826" s="12"/>
      <c r="J826" s="12"/>
      <c r="K826" s="12"/>
      <c r="L826" s="12">
        <v>163979.26999999999</v>
      </c>
      <c r="M826" s="15">
        <f t="shared" si="211"/>
        <v>5</v>
      </c>
      <c r="N826" s="15">
        <f t="shared" si="212"/>
        <v>0</v>
      </c>
      <c r="O826" s="12">
        <v>163979.26999999999</v>
      </c>
      <c r="P826" s="12">
        <f t="shared" si="213"/>
        <v>13664.939166666665</v>
      </c>
      <c r="Q826" s="12">
        <f t="shared" si="214"/>
        <v>13664.939166666665</v>
      </c>
      <c r="U826" t="s">
        <v>737</v>
      </c>
    </row>
    <row r="827" spans="1:21" x14ac:dyDescent="0.3">
      <c r="A827" s="1">
        <f t="shared" si="215"/>
        <v>9</v>
      </c>
      <c r="B827" s="2" t="s">
        <v>738</v>
      </c>
      <c r="C827" s="3" t="s">
        <v>449</v>
      </c>
      <c r="D827" s="12" t="s">
        <v>40</v>
      </c>
      <c r="E827" s="12" t="s">
        <v>40</v>
      </c>
      <c r="F827" s="12"/>
      <c r="G827" s="12"/>
      <c r="H827" s="12" t="s">
        <v>40</v>
      </c>
      <c r="I827" s="12"/>
      <c r="J827" s="12"/>
      <c r="K827" s="12"/>
      <c r="L827" s="12">
        <v>419810.16</v>
      </c>
      <c r="M827" s="15">
        <f t="shared" si="211"/>
        <v>5</v>
      </c>
      <c r="N827" s="15">
        <f t="shared" si="212"/>
        <v>0</v>
      </c>
      <c r="O827" s="12">
        <v>419810.16</v>
      </c>
      <c r="P827" s="12">
        <f t="shared" si="213"/>
        <v>34984.18</v>
      </c>
      <c r="Q827" s="12">
        <f t="shared" si="214"/>
        <v>34984.18</v>
      </c>
      <c r="R827" t="s">
        <v>140</v>
      </c>
    </row>
    <row r="828" spans="1:21" x14ac:dyDescent="0.3">
      <c r="A828" s="1">
        <f t="shared" si="215"/>
        <v>10</v>
      </c>
      <c r="B828" s="2" t="s">
        <v>739</v>
      </c>
      <c r="C828" s="3" t="s">
        <v>449</v>
      </c>
      <c r="D828" s="12" t="s">
        <v>40</v>
      </c>
      <c r="E828" s="12" t="s">
        <v>40</v>
      </c>
      <c r="F828" s="12"/>
      <c r="G828" s="12"/>
      <c r="H828" s="12" t="s">
        <v>40</v>
      </c>
      <c r="I828" s="12" t="s">
        <v>40</v>
      </c>
      <c r="J828" s="12" t="s">
        <v>40</v>
      </c>
      <c r="K828" s="12"/>
      <c r="L828" s="12">
        <v>130836</v>
      </c>
      <c r="M828" s="15">
        <f t="shared" si="211"/>
        <v>20</v>
      </c>
      <c r="N828" s="15">
        <f t="shared" si="212"/>
        <v>0</v>
      </c>
      <c r="O828" s="12">
        <v>130836</v>
      </c>
      <c r="P828" s="12">
        <f t="shared" si="213"/>
        <v>10903</v>
      </c>
      <c r="Q828" s="12">
        <f t="shared" si="214"/>
        <v>10903</v>
      </c>
      <c r="U828" t="s">
        <v>740</v>
      </c>
    </row>
    <row r="829" spans="1:21" x14ac:dyDescent="0.3">
      <c r="A829" s="1">
        <f t="shared" si="215"/>
        <v>11</v>
      </c>
      <c r="B829" s="2" t="s">
        <v>741</v>
      </c>
      <c r="C829" s="3" t="s">
        <v>449</v>
      </c>
      <c r="D829" s="12" t="s">
        <v>40</v>
      </c>
      <c r="E829" s="12" t="s">
        <v>40</v>
      </c>
      <c r="F829" s="12"/>
      <c r="G829" s="12"/>
      <c r="H829" s="12" t="s">
        <v>40</v>
      </c>
      <c r="I829" s="12"/>
      <c r="J829" s="12"/>
      <c r="K829" s="12" t="s">
        <v>40</v>
      </c>
      <c r="L829" s="12">
        <v>20760</v>
      </c>
      <c r="M829" s="15">
        <f t="shared" si="211"/>
        <v>5</v>
      </c>
      <c r="N829" s="15">
        <f t="shared" si="212"/>
        <v>1</v>
      </c>
      <c r="O829" s="12">
        <v>20760</v>
      </c>
      <c r="P829" s="12">
        <f t="shared" si="213"/>
        <v>1730</v>
      </c>
      <c r="Q829" s="12">
        <f t="shared" si="214"/>
        <v>1730</v>
      </c>
    </row>
    <row r="830" spans="1:21" x14ac:dyDescent="0.3">
      <c r="A830" s="1">
        <f t="shared" si="215"/>
        <v>12</v>
      </c>
      <c r="B830" s="2" t="s">
        <v>742</v>
      </c>
      <c r="C830" s="3" t="s">
        <v>449</v>
      </c>
      <c r="D830" s="12" t="s">
        <v>40</v>
      </c>
      <c r="E830" s="12" t="s">
        <v>40</v>
      </c>
      <c r="F830" s="12"/>
      <c r="G830" s="12"/>
      <c r="H830" s="12" t="s">
        <v>40</v>
      </c>
      <c r="I830" s="12"/>
      <c r="J830" s="12"/>
      <c r="K830" s="12"/>
      <c r="L830" s="12">
        <v>10255</v>
      </c>
      <c r="M830" s="15">
        <f t="shared" si="211"/>
        <v>5</v>
      </c>
      <c r="N830" s="15">
        <f t="shared" si="212"/>
        <v>0</v>
      </c>
      <c r="O830" s="12">
        <v>10255</v>
      </c>
      <c r="P830" s="12">
        <f t="shared" si="213"/>
        <v>854.58333333333337</v>
      </c>
      <c r="Q830" s="12">
        <f t="shared" si="214"/>
        <v>854.58333333333337</v>
      </c>
    </row>
    <row r="831" spans="1:21" x14ac:dyDescent="0.3">
      <c r="A831" s="1">
        <f t="shared" si="215"/>
        <v>13</v>
      </c>
      <c r="B831" s="2" t="s">
        <v>743</v>
      </c>
      <c r="C831" s="3" t="s">
        <v>449</v>
      </c>
      <c r="D831" s="12" t="s">
        <v>40</v>
      </c>
      <c r="E831" s="12" t="s">
        <v>40</v>
      </c>
      <c r="F831" s="12"/>
      <c r="G831" s="12"/>
      <c r="H831" s="12" t="s">
        <v>40</v>
      </c>
      <c r="I831" s="12" t="s">
        <v>40</v>
      </c>
      <c r="J831" s="12"/>
      <c r="K831" s="12"/>
      <c r="L831" s="12">
        <v>95400</v>
      </c>
      <c r="M831" s="15">
        <f t="shared" si="211"/>
        <v>10</v>
      </c>
      <c r="N831" s="15">
        <f t="shared" si="212"/>
        <v>0</v>
      </c>
      <c r="O831" s="12">
        <v>95400</v>
      </c>
      <c r="P831" s="12">
        <f t="shared" si="213"/>
        <v>7950</v>
      </c>
      <c r="Q831" s="12">
        <f t="shared" si="214"/>
        <v>7950</v>
      </c>
    </row>
    <row r="832" spans="1:21" x14ac:dyDescent="0.3">
      <c r="A832" s="1">
        <f t="shared" si="215"/>
        <v>14</v>
      </c>
      <c r="B832" s="2" t="s">
        <v>744</v>
      </c>
      <c r="C832" s="3" t="s">
        <v>449</v>
      </c>
      <c r="D832" s="12" t="s">
        <v>40</v>
      </c>
      <c r="E832" s="12" t="s">
        <v>40</v>
      </c>
      <c r="F832" s="12" t="s">
        <v>40</v>
      </c>
      <c r="G832" s="12"/>
      <c r="H832" s="12"/>
      <c r="I832" s="12"/>
      <c r="J832" s="12"/>
      <c r="K832" s="12"/>
      <c r="L832" s="12">
        <v>0</v>
      </c>
      <c r="M832" s="15">
        <f t="shared" si="211"/>
        <v>4</v>
      </c>
      <c r="N832" s="15">
        <f t="shared" si="212"/>
        <v>0</v>
      </c>
      <c r="O832" s="20"/>
      <c r="P832" s="12">
        <f t="shared" si="213"/>
        <v>0</v>
      </c>
      <c r="Q832" s="20"/>
    </row>
    <row r="833" spans="1:21" x14ac:dyDescent="0.3">
      <c r="A833" s="1">
        <f t="shared" si="215"/>
        <v>15</v>
      </c>
      <c r="B833" s="2" t="s">
        <v>745</v>
      </c>
      <c r="C833" s="3" t="s">
        <v>449</v>
      </c>
      <c r="D833" s="12" t="s">
        <v>40</v>
      </c>
      <c r="E833" s="12" t="s">
        <v>40</v>
      </c>
      <c r="F833" s="12"/>
      <c r="G833" s="12"/>
      <c r="H833" s="12"/>
      <c r="I833" s="12"/>
      <c r="J833" s="12"/>
      <c r="K833" s="12"/>
      <c r="L833" s="12">
        <v>45000</v>
      </c>
      <c r="M833" s="15">
        <f t="shared" si="211"/>
        <v>2</v>
      </c>
      <c r="N833" s="15">
        <f t="shared" si="212"/>
        <v>0</v>
      </c>
      <c r="O833" s="12">
        <v>45000</v>
      </c>
      <c r="P833" s="12">
        <f t="shared" si="213"/>
        <v>3750</v>
      </c>
      <c r="Q833" s="12">
        <f t="shared" si="214"/>
        <v>3750</v>
      </c>
      <c r="U833" t="s">
        <v>746</v>
      </c>
    </row>
    <row r="834" spans="1:21" x14ac:dyDescent="0.3">
      <c r="A834" s="1">
        <f t="shared" si="215"/>
        <v>16</v>
      </c>
      <c r="B834" s="2" t="s">
        <v>747</v>
      </c>
      <c r="C834" s="3" t="s">
        <v>449</v>
      </c>
      <c r="D834" s="12" t="s">
        <v>40</v>
      </c>
      <c r="E834" s="12" t="s">
        <v>40</v>
      </c>
      <c r="F834" s="12"/>
      <c r="G834" s="12"/>
      <c r="H834" s="12" t="s">
        <v>40</v>
      </c>
      <c r="I834" s="12" t="s">
        <v>40</v>
      </c>
      <c r="J834" s="12"/>
      <c r="K834" s="12" t="s">
        <v>40</v>
      </c>
      <c r="L834" s="12">
        <v>26200</v>
      </c>
      <c r="M834" s="15">
        <f t="shared" si="211"/>
        <v>10</v>
      </c>
      <c r="N834" s="15">
        <f t="shared" si="212"/>
        <v>1</v>
      </c>
      <c r="O834" s="12">
        <v>26200</v>
      </c>
      <c r="P834" s="12">
        <f t="shared" si="213"/>
        <v>2183.3333333333335</v>
      </c>
      <c r="Q834" s="12">
        <f t="shared" si="214"/>
        <v>2183.3333333333335</v>
      </c>
    </row>
    <row r="835" spans="1:21" x14ac:dyDescent="0.3">
      <c r="A835" s="1">
        <f t="shared" si="215"/>
        <v>17</v>
      </c>
      <c r="B835" s="2" t="s">
        <v>748</v>
      </c>
      <c r="C835" s="3" t="s">
        <v>449</v>
      </c>
      <c r="D835" s="12" t="s">
        <v>40</v>
      </c>
      <c r="E835" s="12" t="s">
        <v>40</v>
      </c>
      <c r="F835" s="12" t="s">
        <v>40</v>
      </c>
      <c r="G835" s="12"/>
      <c r="H835" s="12" t="s">
        <v>40</v>
      </c>
      <c r="I835" s="12"/>
      <c r="J835" s="12"/>
      <c r="K835" s="12"/>
      <c r="L835" s="12">
        <v>80000</v>
      </c>
      <c r="M835" s="15">
        <f t="shared" si="211"/>
        <v>7</v>
      </c>
      <c r="N835" s="15">
        <f t="shared" si="212"/>
        <v>0</v>
      </c>
      <c r="O835" s="12">
        <v>80000</v>
      </c>
      <c r="P835" s="12">
        <f t="shared" si="213"/>
        <v>6666.666666666667</v>
      </c>
      <c r="Q835" s="12">
        <f t="shared" si="214"/>
        <v>6666.666666666667</v>
      </c>
    </row>
    <row r="836" spans="1:21" x14ac:dyDescent="0.3">
      <c r="A836" s="1">
        <f t="shared" si="215"/>
        <v>18</v>
      </c>
      <c r="B836" s="2" t="s">
        <v>749</v>
      </c>
      <c r="C836" s="3" t="s">
        <v>449</v>
      </c>
      <c r="D836" s="12" t="s">
        <v>40</v>
      </c>
      <c r="E836" s="12" t="s">
        <v>40</v>
      </c>
      <c r="F836" s="12"/>
      <c r="G836" s="12" t="s">
        <v>40</v>
      </c>
      <c r="H836" s="12"/>
      <c r="I836" s="12"/>
      <c r="J836" s="12"/>
      <c r="K836" s="12"/>
      <c r="L836" s="12">
        <v>12000</v>
      </c>
      <c r="M836" s="15">
        <f t="shared" si="211"/>
        <v>4</v>
      </c>
      <c r="N836" s="15">
        <f t="shared" si="212"/>
        <v>0</v>
      </c>
      <c r="O836" s="12">
        <v>12000</v>
      </c>
      <c r="P836" s="12">
        <f t="shared" si="213"/>
        <v>1000</v>
      </c>
      <c r="Q836" s="12">
        <f t="shared" si="214"/>
        <v>1000</v>
      </c>
    </row>
    <row r="837" spans="1:21" x14ac:dyDescent="0.3">
      <c r="A837" s="1">
        <f t="shared" si="215"/>
        <v>19</v>
      </c>
      <c r="B837" s="10"/>
      <c r="C837" s="9"/>
      <c r="D837" s="13"/>
      <c r="E837" s="13"/>
      <c r="F837" s="13"/>
      <c r="G837" s="13"/>
      <c r="H837" s="13"/>
      <c r="I837" s="13"/>
      <c r="J837" s="13"/>
      <c r="K837" s="13"/>
      <c r="L837" s="13"/>
      <c r="M837" s="16"/>
      <c r="N837" s="16"/>
      <c r="O837" s="13"/>
      <c r="P837" s="13"/>
      <c r="Q837" s="13"/>
    </row>
    <row r="838" spans="1:21" x14ac:dyDescent="0.3">
      <c r="A838" s="1">
        <f t="shared" si="215"/>
        <v>20</v>
      </c>
      <c r="B838" s="2" t="s">
        <v>750</v>
      </c>
      <c r="C838" s="3" t="s">
        <v>449</v>
      </c>
      <c r="D838" s="12" t="s">
        <v>40</v>
      </c>
      <c r="E838" s="12" t="s">
        <v>40</v>
      </c>
      <c r="F838" s="12" t="s">
        <v>40</v>
      </c>
      <c r="G838" s="12"/>
      <c r="H838" s="12"/>
      <c r="I838" s="12"/>
      <c r="J838" s="12"/>
      <c r="K838" s="12"/>
      <c r="L838" s="12">
        <v>9900</v>
      </c>
      <c r="M838" s="15">
        <f t="shared" si="211"/>
        <v>4</v>
      </c>
      <c r="N838" s="15">
        <f t="shared" si="212"/>
        <v>0</v>
      </c>
      <c r="O838" s="12">
        <v>9900</v>
      </c>
      <c r="P838" s="12">
        <f t="shared" si="213"/>
        <v>825</v>
      </c>
      <c r="Q838" s="12">
        <f t="shared" si="214"/>
        <v>825</v>
      </c>
    </row>
    <row r="839" spans="1:21" x14ac:dyDescent="0.3">
      <c r="A839" s="1">
        <f t="shared" si="215"/>
        <v>21</v>
      </c>
      <c r="B839" s="2" t="s">
        <v>751</v>
      </c>
      <c r="C839" s="3" t="s">
        <v>449</v>
      </c>
      <c r="D839" s="12" t="s">
        <v>40</v>
      </c>
      <c r="E839" s="12" t="s">
        <v>40</v>
      </c>
      <c r="F839" s="12" t="s">
        <v>40</v>
      </c>
      <c r="G839" s="12"/>
      <c r="H839" s="12" t="s">
        <v>40</v>
      </c>
      <c r="I839" s="12"/>
      <c r="J839" s="12"/>
      <c r="K839" s="12"/>
      <c r="L839" s="12">
        <v>30750</v>
      </c>
      <c r="M839" s="15">
        <f t="shared" si="211"/>
        <v>7</v>
      </c>
      <c r="N839" s="15">
        <f t="shared" si="212"/>
        <v>0</v>
      </c>
      <c r="O839" s="12">
        <v>30750</v>
      </c>
      <c r="P839" s="12">
        <f t="shared" si="213"/>
        <v>2562.5</v>
      </c>
      <c r="Q839" s="12">
        <f t="shared" si="214"/>
        <v>2562.5</v>
      </c>
    </row>
    <row r="840" spans="1:21" x14ac:dyDescent="0.3">
      <c r="A840" s="1">
        <f t="shared" si="215"/>
        <v>22</v>
      </c>
      <c r="B840" s="2" t="s">
        <v>752</v>
      </c>
      <c r="C840" s="3" t="s">
        <v>449</v>
      </c>
      <c r="D840" s="12" t="s">
        <v>40</v>
      </c>
      <c r="E840" s="12" t="s">
        <v>40</v>
      </c>
      <c r="F840" s="12"/>
      <c r="G840" s="12"/>
      <c r="H840" s="12"/>
      <c r="I840" s="12"/>
      <c r="J840" s="12"/>
      <c r="K840" s="12"/>
      <c r="L840" s="12">
        <v>21600</v>
      </c>
      <c r="M840" s="15">
        <f t="shared" si="211"/>
        <v>2</v>
      </c>
      <c r="N840" s="15">
        <f t="shared" si="212"/>
        <v>0</v>
      </c>
      <c r="O840" s="12">
        <v>21600</v>
      </c>
      <c r="P840" s="12">
        <f t="shared" si="213"/>
        <v>1800</v>
      </c>
      <c r="Q840" s="12">
        <f t="shared" si="214"/>
        <v>1800</v>
      </c>
    </row>
    <row r="841" spans="1:21" x14ac:dyDescent="0.3">
      <c r="A841" s="1">
        <f t="shared" si="215"/>
        <v>23</v>
      </c>
      <c r="B841" s="2" t="s">
        <v>753</v>
      </c>
      <c r="C841" s="3" t="s">
        <v>449</v>
      </c>
      <c r="D841" s="12" t="s">
        <v>40</v>
      </c>
      <c r="E841" s="12" t="s">
        <v>40</v>
      </c>
      <c r="F841" s="12" t="s">
        <v>40</v>
      </c>
      <c r="G841" s="12"/>
      <c r="H841" s="12" t="s">
        <v>40</v>
      </c>
      <c r="I841" s="12"/>
      <c r="J841" s="12"/>
      <c r="K841" s="12"/>
      <c r="L841" s="12">
        <v>87088</v>
      </c>
      <c r="M841" s="15">
        <f t="shared" si="211"/>
        <v>7</v>
      </c>
      <c r="N841" s="15">
        <f t="shared" si="212"/>
        <v>0</v>
      </c>
      <c r="O841" s="12">
        <v>87088</v>
      </c>
      <c r="P841" s="12">
        <f t="shared" si="213"/>
        <v>7257.333333333333</v>
      </c>
      <c r="Q841" s="12">
        <f t="shared" si="214"/>
        <v>7257.333333333333</v>
      </c>
    </row>
    <row r="842" spans="1:21" x14ac:dyDescent="0.3">
      <c r="A842" s="1">
        <f t="shared" si="215"/>
        <v>24</v>
      </c>
      <c r="B842" s="2" t="s">
        <v>754</v>
      </c>
      <c r="C842" s="3" t="s">
        <v>449</v>
      </c>
      <c r="D842" s="12" t="s">
        <v>40</v>
      </c>
      <c r="E842" s="12" t="s">
        <v>40</v>
      </c>
      <c r="F842" s="12"/>
      <c r="G842" s="12"/>
      <c r="H842" s="12"/>
      <c r="I842" s="12"/>
      <c r="J842" s="12"/>
      <c r="K842" s="12"/>
      <c r="L842" s="12">
        <v>9000</v>
      </c>
      <c r="M842" s="15">
        <f t="shared" si="211"/>
        <v>2</v>
      </c>
      <c r="N842" s="15">
        <f t="shared" si="212"/>
        <v>0</v>
      </c>
      <c r="O842" s="12">
        <v>9000</v>
      </c>
      <c r="P842" s="12">
        <f t="shared" si="213"/>
        <v>750</v>
      </c>
      <c r="Q842" s="12">
        <f t="shared" si="214"/>
        <v>750</v>
      </c>
    </row>
    <row r="843" spans="1:21" x14ac:dyDescent="0.3">
      <c r="A843" s="1">
        <f t="shared" si="215"/>
        <v>25</v>
      </c>
      <c r="B843" s="2" t="s">
        <v>755</v>
      </c>
      <c r="C843" s="3" t="s">
        <v>449</v>
      </c>
      <c r="D843" s="12" t="s">
        <v>40</v>
      </c>
      <c r="E843" s="12" t="s">
        <v>40</v>
      </c>
      <c r="F843" s="12"/>
      <c r="G843" s="12"/>
      <c r="H843" s="12" t="s">
        <v>40</v>
      </c>
      <c r="I843" s="12" t="s">
        <v>40</v>
      </c>
      <c r="J843" s="12" t="s">
        <v>40</v>
      </c>
      <c r="K843" s="12"/>
      <c r="L843" s="12">
        <v>124452</v>
      </c>
      <c r="M843" s="15">
        <f t="shared" si="211"/>
        <v>20</v>
      </c>
      <c r="N843" s="15">
        <f t="shared" si="212"/>
        <v>0</v>
      </c>
      <c r="O843" s="12">
        <v>124452</v>
      </c>
      <c r="P843" s="12">
        <f t="shared" si="213"/>
        <v>10371</v>
      </c>
      <c r="Q843" s="12">
        <f t="shared" si="214"/>
        <v>10371</v>
      </c>
    </row>
    <row r="844" spans="1:21" x14ac:dyDescent="0.3">
      <c r="A844" s="1">
        <f t="shared" si="215"/>
        <v>26</v>
      </c>
      <c r="B844" s="2" t="s">
        <v>756</v>
      </c>
      <c r="C844" s="3" t="s">
        <v>449</v>
      </c>
      <c r="D844" s="12" t="s">
        <v>40</v>
      </c>
      <c r="E844" s="12" t="s">
        <v>40</v>
      </c>
      <c r="F844" s="12"/>
      <c r="G844" s="12"/>
      <c r="H844" s="12"/>
      <c r="I844" s="12"/>
      <c r="J844" s="12"/>
      <c r="K844" s="12"/>
      <c r="L844" s="12">
        <v>36000</v>
      </c>
      <c r="M844" s="15">
        <f t="shared" si="211"/>
        <v>2</v>
      </c>
      <c r="N844" s="15">
        <f t="shared" si="212"/>
        <v>0</v>
      </c>
      <c r="O844" s="12">
        <v>36000</v>
      </c>
      <c r="P844" s="12">
        <f t="shared" si="213"/>
        <v>3000</v>
      </c>
      <c r="Q844" s="12">
        <f t="shared" si="214"/>
        <v>3000</v>
      </c>
    </row>
    <row r="845" spans="1:21" x14ac:dyDescent="0.3">
      <c r="A845" s="1">
        <f t="shared" si="215"/>
        <v>27</v>
      </c>
      <c r="B845" s="18" t="s">
        <v>757</v>
      </c>
      <c r="C845" s="3" t="s">
        <v>449</v>
      </c>
      <c r="D845" s="12" t="s">
        <v>40</v>
      </c>
      <c r="E845" s="12" t="s">
        <v>40</v>
      </c>
      <c r="F845" s="12"/>
      <c r="G845" s="12"/>
      <c r="H845" s="12" t="s">
        <v>40</v>
      </c>
      <c r="I845" s="12" t="s">
        <v>40</v>
      </c>
      <c r="J845" s="12" t="s">
        <v>40</v>
      </c>
      <c r="K845" s="12"/>
      <c r="L845" s="12">
        <v>220849</v>
      </c>
      <c r="M845" s="15">
        <f t="shared" si="211"/>
        <v>20</v>
      </c>
      <c r="N845" s="15">
        <f t="shared" si="212"/>
        <v>0</v>
      </c>
      <c r="O845" s="12">
        <v>220849</v>
      </c>
      <c r="P845" s="12">
        <f t="shared" si="213"/>
        <v>18404.083333333332</v>
      </c>
      <c r="Q845" s="12">
        <f t="shared" si="214"/>
        <v>18404.083333333332</v>
      </c>
    </row>
    <row r="846" spans="1:21" x14ac:dyDescent="0.3">
      <c r="A846" s="1">
        <f t="shared" si="215"/>
        <v>28</v>
      </c>
      <c r="B846" s="2" t="s">
        <v>758</v>
      </c>
      <c r="C846" s="3" t="s">
        <v>449</v>
      </c>
      <c r="D846" s="12" t="s">
        <v>40</v>
      </c>
      <c r="E846" s="12" t="s">
        <v>40</v>
      </c>
      <c r="F846" s="12"/>
      <c r="G846" s="12"/>
      <c r="H846" s="12"/>
      <c r="I846" s="12"/>
      <c r="J846" s="12"/>
      <c r="K846" s="12"/>
      <c r="L846" s="12">
        <v>0</v>
      </c>
      <c r="M846" s="15">
        <f t="shared" si="211"/>
        <v>2</v>
      </c>
      <c r="N846" s="15">
        <f t="shared" si="212"/>
        <v>0</v>
      </c>
      <c r="O846" s="20"/>
      <c r="P846" s="12">
        <f t="shared" si="213"/>
        <v>0</v>
      </c>
      <c r="Q846" s="20"/>
    </row>
    <row r="847" spans="1:21" x14ac:dyDescent="0.3">
      <c r="A847" s="1">
        <f t="shared" si="215"/>
        <v>29</v>
      </c>
      <c r="B847" s="10"/>
      <c r="C847" s="9"/>
      <c r="D847" s="13"/>
      <c r="E847" s="13"/>
      <c r="F847" s="13"/>
      <c r="G847" s="13"/>
      <c r="H847" s="13"/>
      <c r="I847" s="13"/>
      <c r="J847" s="13"/>
      <c r="K847" s="13"/>
      <c r="L847" s="13"/>
      <c r="M847" s="16"/>
      <c r="N847" s="16"/>
      <c r="O847" s="13"/>
      <c r="P847" s="13"/>
      <c r="Q847" s="13"/>
    </row>
    <row r="848" spans="1:21" x14ac:dyDescent="0.3">
      <c r="A848" s="1">
        <f t="shared" si="215"/>
        <v>30</v>
      </c>
      <c r="B848" s="2" t="s">
        <v>759</v>
      </c>
      <c r="C848" s="3" t="s">
        <v>449</v>
      </c>
      <c r="D848" s="12" t="s">
        <v>40</v>
      </c>
      <c r="E848" s="12" t="s">
        <v>40</v>
      </c>
      <c r="F848" s="12" t="s">
        <v>40</v>
      </c>
      <c r="G848" s="12"/>
      <c r="H848" s="12"/>
      <c r="I848" s="12"/>
      <c r="J848" s="12"/>
      <c r="K848" s="12"/>
      <c r="L848" s="12">
        <v>0</v>
      </c>
      <c r="M848" s="15">
        <f t="shared" si="211"/>
        <v>4</v>
      </c>
      <c r="N848" s="15">
        <f t="shared" si="212"/>
        <v>0</v>
      </c>
      <c r="O848" s="20"/>
      <c r="P848" s="12">
        <f t="shared" ref="P848" si="216">+L848/12</f>
        <v>0</v>
      </c>
      <c r="Q848" s="20"/>
    </row>
    <row r="849" spans="1:18" x14ac:dyDescent="0.3">
      <c r="B849" s="29"/>
      <c r="L849" s="14">
        <f>+AVERAGE(L819:L848)</f>
        <v>110211.96178571429</v>
      </c>
      <c r="M849" s="14">
        <f>+AVERAGE(M819:M848)</f>
        <v>6.8571428571428568</v>
      </c>
      <c r="N849" s="14">
        <f>+SUM(N819:N848)</f>
        <v>2</v>
      </c>
      <c r="O849" s="14">
        <f>+AVERAGE(O819:O848)</f>
        <v>109515.03874999999</v>
      </c>
      <c r="P849" s="14">
        <f>+AVERAGE(P819:P848)</f>
        <v>9184.3301488095258</v>
      </c>
      <c r="Q849" s="14">
        <f>+AVERAGE(Q819:Q848)</f>
        <v>9126.2532291666685</v>
      </c>
      <c r="R849" s="14">
        <f>30-COUNTBLANK(R819:R848)</f>
        <v>3</v>
      </c>
    </row>
    <row r="850" spans="1:18" x14ac:dyDescent="0.3">
      <c r="L850" s="14">
        <f>+STDEV(L819:L848)</f>
        <v>135344.27747000026</v>
      </c>
      <c r="M850" s="14">
        <f>+STDEV(M819:M848)</f>
        <v>5.3243972756741531</v>
      </c>
      <c r="N850" s="17"/>
      <c r="O850" s="14">
        <f>+STDEV(O819:O848)</f>
        <v>121131.60485677449</v>
      </c>
      <c r="P850" s="14">
        <f>+STDEV(P819:P848)</f>
        <v>11278.689789166687</v>
      </c>
      <c r="Q850" s="14">
        <f>+STDEV(Q819:Q848)</f>
        <v>10094.300404731206</v>
      </c>
    </row>
    <row r="851" spans="1:18" x14ac:dyDescent="0.3">
      <c r="I851" s="15"/>
      <c r="J851" s="15"/>
      <c r="K851" s="11" t="s">
        <v>75</v>
      </c>
      <c r="L851" s="14">
        <f>+COUNTIF(L819:L848,0)</f>
        <v>3</v>
      </c>
      <c r="M851" s="14">
        <f>+COUNT(M819:M848)</f>
        <v>28</v>
      </c>
      <c r="P851" s="14">
        <f>+COUNTIF(P819:P848,0)</f>
        <v>3</v>
      </c>
    </row>
    <row r="853" spans="1:18" x14ac:dyDescent="0.3">
      <c r="A853" s="1">
        <v>1</v>
      </c>
      <c r="B853" s="2">
        <v>16121633</v>
      </c>
      <c r="C853" s="3" t="s">
        <v>450</v>
      </c>
      <c r="D853" s="12" t="s">
        <v>40</v>
      </c>
      <c r="E853" s="12" t="s">
        <v>40</v>
      </c>
      <c r="F853" s="12"/>
      <c r="G853" s="12"/>
      <c r="H853" s="12" t="s">
        <v>40</v>
      </c>
      <c r="I853" s="12" t="s">
        <v>40</v>
      </c>
      <c r="J853" s="12"/>
      <c r="K853" s="12"/>
      <c r="L853" s="12">
        <v>152619</v>
      </c>
      <c r="M853" s="15">
        <f>+IF(D853="X",1,0)+IF(E853="X",1,0)+IF(F853="X",2,0)+IF(G853="X",2,0)+IF(H853="X",3,IF(H853="Y",1.5,0))+IF(I853="X",5,IF(I853="Y",2.5,0))+IF(J853="X",10,IF(J853="Y",5,0))</f>
        <v>10</v>
      </c>
      <c r="N853" s="15">
        <f>+IF(K853="X",1,0)</f>
        <v>0</v>
      </c>
      <c r="O853" s="12">
        <v>152619</v>
      </c>
      <c r="P853" s="12">
        <f t="shared" ref="P853:P882" si="217">+L853/12</f>
        <v>12718.25</v>
      </c>
      <c r="Q853" s="12">
        <f t="shared" ref="Q853:Q882" si="218">+O853/12</f>
        <v>12718.25</v>
      </c>
    </row>
    <row r="854" spans="1:18" x14ac:dyDescent="0.3">
      <c r="A854" s="1">
        <f>+A853+1</f>
        <v>2</v>
      </c>
      <c r="B854" s="2">
        <v>23962652</v>
      </c>
      <c r="C854" s="3" t="s">
        <v>450</v>
      </c>
      <c r="D854" s="12" t="s">
        <v>40</v>
      </c>
      <c r="E854" s="12" t="s">
        <v>40</v>
      </c>
      <c r="F854" s="12"/>
      <c r="G854" s="12"/>
      <c r="H854" s="12"/>
      <c r="I854" s="12"/>
      <c r="J854" s="12"/>
      <c r="K854" s="12"/>
      <c r="L854" s="12">
        <v>26500</v>
      </c>
      <c r="M854" s="15">
        <f>+IF(D854="X",1,0)+IF(E854="X",1,0)+IF(F854="X",2,0)+IF(G854="X",2,0)+IF(H854="X",3,IF(H854="Y",1.5,0))+IF(I854="X",5,IF(I854="Y",2.5,0))+IF(J854="X",10,IF(J854="Y",5,0))</f>
        <v>2</v>
      </c>
      <c r="N854" s="15">
        <f>+IF(K854="X",1,0)</f>
        <v>0</v>
      </c>
      <c r="O854" s="12">
        <v>26500</v>
      </c>
      <c r="P854" s="12">
        <f>+L854/12</f>
        <v>2208.3333333333335</v>
      </c>
      <c r="Q854" s="12">
        <f>+O854/12</f>
        <v>2208.3333333333335</v>
      </c>
    </row>
    <row r="855" spans="1:18" x14ac:dyDescent="0.3">
      <c r="A855" s="1">
        <f t="shared" ref="A855:A882" si="219">+A854+1</f>
        <v>3</v>
      </c>
      <c r="B855" s="4" t="s">
        <v>541</v>
      </c>
      <c r="C855" s="3" t="s">
        <v>450</v>
      </c>
      <c r="D855" s="12" t="s">
        <v>40</v>
      </c>
      <c r="E855" s="12" t="s">
        <v>40</v>
      </c>
      <c r="F855" s="12"/>
      <c r="G855" s="12"/>
      <c r="H855" s="12"/>
      <c r="I855" s="12"/>
      <c r="J855" s="12"/>
      <c r="K855" s="12"/>
      <c r="L855" s="12">
        <v>36000</v>
      </c>
      <c r="M855" s="15">
        <f t="shared" ref="M855:M882" si="220">+IF(D855="X",1,0)+IF(E855="X",1,0)+IF(F855="X",2,0)+IF(G855="X",2,0)+IF(H855="X",3,IF(H855="Y",1.5,0))+IF(I855="X",5,IF(I855="Y",2.5,0))+IF(J855="X",10,IF(J855="Y",5,0))</f>
        <v>2</v>
      </c>
      <c r="N855" s="15">
        <f t="shared" ref="N855:N882" si="221">+IF(K855="X",1,0)</f>
        <v>0</v>
      </c>
      <c r="O855" s="12">
        <v>36000</v>
      </c>
      <c r="P855" s="12">
        <f t="shared" si="217"/>
        <v>3000</v>
      </c>
      <c r="Q855" s="12">
        <f t="shared" si="218"/>
        <v>3000</v>
      </c>
    </row>
    <row r="856" spans="1:18" x14ac:dyDescent="0.3">
      <c r="A856" s="1">
        <f t="shared" si="219"/>
        <v>4</v>
      </c>
      <c r="B856" s="4" t="s">
        <v>542</v>
      </c>
      <c r="C856" s="3" t="s">
        <v>450</v>
      </c>
      <c r="D856" s="12" t="s">
        <v>40</v>
      </c>
      <c r="E856" s="12" t="s">
        <v>40</v>
      </c>
      <c r="F856" s="12"/>
      <c r="G856" s="12"/>
      <c r="H856" s="12" t="s">
        <v>40</v>
      </c>
      <c r="I856" s="12" t="s">
        <v>40</v>
      </c>
      <c r="J856" s="12"/>
      <c r="K856" s="12"/>
      <c r="L856" s="12">
        <v>180000</v>
      </c>
      <c r="M856" s="15">
        <f t="shared" si="220"/>
        <v>10</v>
      </c>
      <c r="N856" s="15">
        <f t="shared" si="221"/>
        <v>0</v>
      </c>
      <c r="O856" s="12">
        <v>180000</v>
      </c>
      <c r="P856" s="12">
        <f t="shared" si="217"/>
        <v>15000</v>
      </c>
      <c r="Q856" s="12">
        <f t="shared" si="218"/>
        <v>15000</v>
      </c>
    </row>
    <row r="857" spans="1:18" x14ac:dyDescent="0.3">
      <c r="A857" s="1">
        <f t="shared" si="219"/>
        <v>5</v>
      </c>
      <c r="B857" s="4" t="s">
        <v>543</v>
      </c>
      <c r="C857" s="3" t="s">
        <v>450</v>
      </c>
      <c r="D857" s="12" t="s">
        <v>40</v>
      </c>
      <c r="E857" s="12" t="s">
        <v>40</v>
      </c>
      <c r="F857" s="12"/>
      <c r="G857" s="12"/>
      <c r="H857" s="12" t="s">
        <v>40</v>
      </c>
      <c r="I857" s="12" t="s">
        <v>40</v>
      </c>
      <c r="J857" s="12"/>
      <c r="K857" s="12"/>
      <c r="L857" s="12">
        <v>144744</v>
      </c>
      <c r="M857" s="15">
        <f t="shared" si="220"/>
        <v>10</v>
      </c>
      <c r="N857" s="15">
        <f t="shared" si="221"/>
        <v>0</v>
      </c>
      <c r="O857" s="12">
        <v>144744</v>
      </c>
      <c r="P857" s="12">
        <f t="shared" si="217"/>
        <v>12062</v>
      </c>
      <c r="Q857" s="12">
        <f t="shared" si="218"/>
        <v>12062</v>
      </c>
    </row>
    <row r="858" spans="1:18" x14ac:dyDescent="0.3">
      <c r="A858" s="1">
        <f t="shared" si="219"/>
        <v>6</v>
      </c>
      <c r="B858" s="4" t="s">
        <v>544</v>
      </c>
      <c r="C858" s="3" t="s">
        <v>450</v>
      </c>
      <c r="D858" s="12" t="s">
        <v>40</v>
      </c>
      <c r="E858" s="12" t="s">
        <v>40</v>
      </c>
      <c r="F858" s="12" t="s">
        <v>40</v>
      </c>
      <c r="G858" s="12" t="s">
        <v>40</v>
      </c>
      <c r="H858" s="12" t="s">
        <v>40</v>
      </c>
      <c r="I858" s="12" t="s">
        <v>40</v>
      </c>
      <c r="J858" s="12"/>
      <c r="K858" s="12"/>
      <c r="L858" s="12">
        <v>200400</v>
      </c>
      <c r="M858" s="15">
        <f t="shared" si="220"/>
        <v>14</v>
      </c>
      <c r="N858" s="15">
        <f t="shared" si="221"/>
        <v>0</v>
      </c>
      <c r="O858" s="20"/>
      <c r="P858" s="12">
        <f t="shared" si="217"/>
        <v>16700</v>
      </c>
      <c r="Q858" s="20"/>
    </row>
    <row r="859" spans="1:18" x14ac:dyDescent="0.3">
      <c r="A859" s="1">
        <f t="shared" si="219"/>
        <v>7</v>
      </c>
      <c r="B859" s="4" t="s">
        <v>545</v>
      </c>
      <c r="C859" s="3" t="s">
        <v>450</v>
      </c>
      <c r="D859" s="12" t="s">
        <v>40</v>
      </c>
      <c r="E859" s="12" t="s">
        <v>40</v>
      </c>
      <c r="F859" s="12"/>
      <c r="G859" s="12"/>
      <c r="H859" s="12" t="s">
        <v>40</v>
      </c>
      <c r="I859" s="12"/>
      <c r="J859" s="12"/>
      <c r="K859" s="12"/>
      <c r="L859" s="12">
        <v>132383</v>
      </c>
      <c r="M859" s="15">
        <f t="shared" si="220"/>
        <v>5</v>
      </c>
      <c r="N859" s="15">
        <f t="shared" si="221"/>
        <v>0</v>
      </c>
      <c r="O859" s="12">
        <v>132383</v>
      </c>
      <c r="P859" s="12">
        <f t="shared" si="217"/>
        <v>11031.916666666666</v>
      </c>
      <c r="Q859" s="12">
        <f t="shared" si="218"/>
        <v>11031.916666666666</v>
      </c>
    </row>
    <row r="860" spans="1:18" x14ac:dyDescent="0.3">
      <c r="A860" s="1">
        <f t="shared" si="219"/>
        <v>8</v>
      </c>
      <c r="B860" s="4" t="s">
        <v>546</v>
      </c>
      <c r="C860" s="3" t="s">
        <v>450</v>
      </c>
      <c r="D860" s="12" t="s">
        <v>40</v>
      </c>
      <c r="E860" s="12" t="s">
        <v>40</v>
      </c>
      <c r="F860" s="12"/>
      <c r="G860" s="12" t="s">
        <v>40</v>
      </c>
      <c r="H860" s="12" t="s">
        <v>40</v>
      </c>
      <c r="I860" s="12"/>
      <c r="J860" s="12"/>
      <c r="K860" s="12"/>
      <c r="L860" s="12">
        <v>54000</v>
      </c>
      <c r="M860" s="15">
        <f t="shared" si="220"/>
        <v>7</v>
      </c>
      <c r="N860" s="15">
        <f t="shared" si="221"/>
        <v>0</v>
      </c>
      <c r="O860" s="12">
        <v>54000</v>
      </c>
      <c r="P860" s="12">
        <f t="shared" si="217"/>
        <v>4500</v>
      </c>
      <c r="Q860" s="12">
        <f t="shared" si="218"/>
        <v>4500</v>
      </c>
    </row>
    <row r="861" spans="1:18" x14ac:dyDescent="0.3">
      <c r="A861" s="1">
        <f t="shared" si="219"/>
        <v>9</v>
      </c>
      <c r="B861" s="4" t="s">
        <v>547</v>
      </c>
      <c r="C861" s="3" t="s">
        <v>450</v>
      </c>
      <c r="D861" s="12" t="s">
        <v>40</v>
      </c>
      <c r="E861" s="12" t="s">
        <v>40</v>
      </c>
      <c r="F861" s="12"/>
      <c r="G861" s="12"/>
      <c r="H861" s="12"/>
      <c r="I861" s="12"/>
      <c r="J861" s="12"/>
      <c r="K861" s="12"/>
      <c r="L861" s="12">
        <v>0</v>
      </c>
      <c r="M861" s="15">
        <f t="shared" si="220"/>
        <v>2</v>
      </c>
      <c r="N861" s="15">
        <f t="shared" si="221"/>
        <v>0</v>
      </c>
      <c r="O861" s="20"/>
      <c r="P861" s="12">
        <f t="shared" si="217"/>
        <v>0</v>
      </c>
      <c r="Q861" s="20"/>
    </row>
    <row r="862" spans="1:18" x14ac:dyDescent="0.3">
      <c r="A862" s="1">
        <f t="shared" si="219"/>
        <v>10</v>
      </c>
      <c r="B862" s="4" t="s">
        <v>548</v>
      </c>
      <c r="C862" s="3" t="s">
        <v>450</v>
      </c>
      <c r="D862" s="12" t="s">
        <v>40</v>
      </c>
      <c r="E862" s="12" t="s">
        <v>40</v>
      </c>
      <c r="F862" s="12"/>
      <c r="G862" s="12"/>
      <c r="H862" s="12"/>
      <c r="I862" s="12"/>
      <c r="J862" s="12"/>
      <c r="K862" s="12"/>
      <c r="L862" s="12">
        <v>84510</v>
      </c>
      <c r="M862" s="15">
        <f t="shared" si="220"/>
        <v>2</v>
      </c>
      <c r="N862" s="15">
        <f t="shared" si="221"/>
        <v>0</v>
      </c>
      <c r="O862" s="12">
        <v>84510</v>
      </c>
      <c r="P862" s="12">
        <f t="shared" si="217"/>
        <v>7042.5</v>
      </c>
      <c r="Q862" s="12">
        <f t="shared" si="218"/>
        <v>7042.5</v>
      </c>
    </row>
    <row r="863" spans="1:18" x14ac:dyDescent="0.3">
      <c r="A863" s="1">
        <f t="shared" si="219"/>
        <v>11</v>
      </c>
      <c r="B863" s="4" t="s">
        <v>549</v>
      </c>
      <c r="C863" s="3" t="s">
        <v>450</v>
      </c>
      <c r="D863" s="12" t="s">
        <v>40</v>
      </c>
      <c r="E863" s="12" t="s">
        <v>40</v>
      </c>
      <c r="F863" s="12"/>
      <c r="G863" s="12"/>
      <c r="H863" s="12" t="s">
        <v>40</v>
      </c>
      <c r="I863" s="12" t="s">
        <v>40</v>
      </c>
      <c r="J863" s="12"/>
      <c r="K863" s="12"/>
      <c r="L863" s="12">
        <v>61800</v>
      </c>
      <c r="M863" s="15">
        <f t="shared" si="220"/>
        <v>10</v>
      </c>
      <c r="N863" s="15">
        <f t="shared" si="221"/>
        <v>0</v>
      </c>
      <c r="O863" s="12">
        <v>61800</v>
      </c>
      <c r="P863" s="12">
        <f t="shared" si="217"/>
        <v>5150</v>
      </c>
      <c r="Q863" s="12">
        <f t="shared" si="218"/>
        <v>5150</v>
      </c>
    </row>
    <row r="864" spans="1:18" x14ac:dyDescent="0.3">
      <c r="A864" s="1">
        <f t="shared" si="219"/>
        <v>12</v>
      </c>
      <c r="B864" s="2">
        <v>29591627</v>
      </c>
      <c r="C864" s="3" t="s">
        <v>450</v>
      </c>
      <c r="D864" s="12" t="s">
        <v>40</v>
      </c>
      <c r="E864" s="12" t="s">
        <v>40</v>
      </c>
      <c r="F864" s="12"/>
      <c r="G864" s="12"/>
      <c r="H864" s="12" t="s">
        <v>40</v>
      </c>
      <c r="I864" s="12"/>
      <c r="J864" s="12"/>
      <c r="K864" s="12"/>
      <c r="L864" s="12">
        <v>24000</v>
      </c>
      <c r="M864" s="15">
        <f t="shared" si="220"/>
        <v>5</v>
      </c>
      <c r="N864" s="15">
        <f t="shared" si="221"/>
        <v>0</v>
      </c>
      <c r="O864" s="12">
        <v>24000</v>
      </c>
      <c r="P864" s="12">
        <f t="shared" si="217"/>
        <v>2000</v>
      </c>
      <c r="Q864" s="12">
        <f t="shared" si="218"/>
        <v>2000</v>
      </c>
    </row>
    <row r="865" spans="1:17" x14ac:dyDescent="0.3">
      <c r="A865" s="1">
        <f t="shared" si="219"/>
        <v>13</v>
      </c>
      <c r="B865" s="2">
        <v>10474708</v>
      </c>
      <c r="C865" s="3" t="s">
        <v>450</v>
      </c>
      <c r="D865" s="12" t="s">
        <v>40</v>
      </c>
      <c r="E865" s="12" t="s">
        <v>40</v>
      </c>
      <c r="F865" s="12"/>
      <c r="G865" s="12"/>
      <c r="H865" s="12" t="s">
        <v>40</v>
      </c>
      <c r="I865" s="12" t="s">
        <v>40</v>
      </c>
      <c r="J865" s="12" t="s">
        <v>40</v>
      </c>
      <c r="K865" s="12"/>
      <c r="L865" s="12">
        <v>67439</v>
      </c>
      <c r="M865" s="15">
        <f t="shared" si="220"/>
        <v>20</v>
      </c>
      <c r="N865" s="15">
        <f t="shared" si="221"/>
        <v>0</v>
      </c>
      <c r="O865" s="12">
        <v>67439</v>
      </c>
      <c r="P865" s="12">
        <f t="shared" si="217"/>
        <v>5619.916666666667</v>
      </c>
      <c r="Q865" s="12">
        <f t="shared" si="218"/>
        <v>5619.916666666667</v>
      </c>
    </row>
    <row r="866" spans="1:17" x14ac:dyDescent="0.3">
      <c r="A866" s="1">
        <f t="shared" si="219"/>
        <v>14</v>
      </c>
      <c r="B866" s="2">
        <v>41468162</v>
      </c>
      <c r="C866" s="3" t="s">
        <v>450</v>
      </c>
      <c r="D866" s="12" t="s">
        <v>40</v>
      </c>
      <c r="E866" s="12" t="s">
        <v>40</v>
      </c>
      <c r="F866" s="12"/>
      <c r="G866" s="12"/>
      <c r="H866" s="12"/>
      <c r="I866" s="12"/>
      <c r="J866" s="12"/>
      <c r="K866" s="12"/>
      <c r="L866" s="12">
        <v>18000</v>
      </c>
      <c r="M866" s="15">
        <f t="shared" si="220"/>
        <v>2</v>
      </c>
      <c r="N866" s="15">
        <f t="shared" si="221"/>
        <v>0</v>
      </c>
      <c r="O866" s="12">
        <v>18000</v>
      </c>
      <c r="P866" s="12">
        <f t="shared" si="217"/>
        <v>1500</v>
      </c>
      <c r="Q866" s="12">
        <f t="shared" si="218"/>
        <v>1500</v>
      </c>
    </row>
    <row r="867" spans="1:17" x14ac:dyDescent="0.3">
      <c r="A867" s="1">
        <f t="shared" si="219"/>
        <v>15</v>
      </c>
      <c r="B867" s="2" t="s">
        <v>530</v>
      </c>
      <c r="C867" s="3" t="s">
        <v>450</v>
      </c>
      <c r="D867" s="12" t="s">
        <v>40</v>
      </c>
      <c r="E867" s="12" t="s">
        <v>40</v>
      </c>
      <c r="F867" s="12" t="s">
        <v>40</v>
      </c>
      <c r="G867" s="12"/>
      <c r="H867" s="12" t="s">
        <v>40</v>
      </c>
      <c r="I867" s="12"/>
      <c r="J867" s="12"/>
      <c r="K867" s="12"/>
      <c r="L867" s="12">
        <v>45800</v>
      </c>
      <c r="M867" s="15">
        <f t="shared" si="220"/>
        <v>7</v>
      </c>
      <c r="N867" s="15">
        <f t="shared" si="221"/>
        <v>0</v>
      </c>
      <c r="O867" s="12">
        <v>45800</v>
      </c>
      <c r="P867" s="12">
        <f t="shared" si="217"/>
        <v>3816.6666666666665</v>
      </c>
      <c r="Q867" s="12">
        <f t="shared" si="218"/>
        <v>3816.6666666666665</v>
      </c>
    </row>
    <row r="868" spans="1:17" x14ac:dyDescent="0.3">
      <c r="A868" s="1">
        <f t="shared" si="219"/>
        <v>16</v>
      </c>
      <c r="B868" s="2" t="s">
        <v>531</v>
      </c>
      <c r="C868" s="3" t="s">
        <v>450</v>
      </c>
      <c r="D868" s="12" t="s">
        <v>40</v>
      </c>
      <c r="E868" s="12" t="s">
        <v>40</v>
      </c>
      <c r="F868" s="12"/>
      <c r="G868" s="12"/>
      <c r="H868" s="12" t="s">
        <v>40</v>
      </c>
      <c r="I868" s="12"/>
      <c r="J868" s="12"/>
      <c r="K868" s="12"/>
      <c r="L868" s="12">
        <v>0</v>
      </c>
      <c r="M868" s="15">
        <f t="shared" si="220"/>
        <v>5</v>
      </c>
      <c r="N868" s="15">
        <f t="shared" si="221"/>
        <v>0</v>
      </c>
      <c r="O868" s="20"/>
      <c r="P868" s="12">
        <f t="shared" si="217"/>
        <v>0</v>
      </c>
      <c r="Q868" s="20"/>
    </row>
    <row r="869" spans="1:17" x14ac:dyDescent="0.3">
      <c r="A869" s="1">
        <f t="shared" si="219"/>
        <v>17</v>
      </c>
      <c r="B869" s="2" t="s">
        <v>532</v>
      </c>
      <c r="C869" s="3" t="s">
        <v>450</v>
      </c>
      <c r="D869" s="12" t="s">
        <v>40</v>
      </c>
      <c r="E869" s="12" t="s">
        <v>40</v>
      </c>
      <c r="F869" s="12" t="s">
        <v>40</v>
      </c>
      <c r="G869" s="12" t="s">
        <v>40</v>
      </c>
      <c r="H869" s="12"/>
      <c r="I869" s="12"/>
      <c r="J869" s="12"/>
      <c r="K869" s="12"/>
      <c r="L869" s="12">
        <v>30000</v>
      </c>
      <c r="M869" s="15">
        <f t="shared" si="220"/>
        <v>6</v>
      </c>
      <c r="N869" s="15">
        <f t="shared" si="221"/>
        <v>0</v>
      </c>
      <c r="O869" s="12">
        <v>30000</v>
      </c>
      <c r="P869" s="12">
        <f t="shared" si="217"/>
        <v>2500</v>
      </c>
      <c r="Q869" s="12">
        <f t="shared" si="218"/>
        <v>2500</v>
      </c>
    </row>
    <row r="870" spans="1:17" x14ac:dyDescent="0.3">
      <c r="A870" s="1">
        <f t="shared" si="219"/>
        <v>18</v>
      </c>
      <c r="B870" s="2" t="s">
        <v>533</v>
      </c>
      <c r="C870" s="3" t="s">
        <v>450</v>
      </c>
      <c r="D870" s="12" t="s">
        <v>40</v>
      </c>
      <c r="E870" s="12" t="s">
        <v>40</v>
      </c>
      <c r="F870" s="12" t="s">
        <v>40</v>
      </c>
      <c r="G870" s="12" t="s">
        <v>40</v>
      </c>
      <c r="H870" s="12" t="s">
        <v>40</v>
      </c>
      <c r="I870" s="12" t="s">
        <v>40</v>
      </c>
      <c r="J870" s="12"/>
      <c r="K870" s="12"/>
      <c r="L870" s="12">
        <v>11000</v>
      </c>
      <c r="M870" s="15">
        <f t="shared" si="220"/>
        <v>14</v>
      </c>
      <c r="N870" s="15">
        <f t="shared" si="221"/>
        <v>0</v>
      </c>
      <c r="O870" s="12">
        <v>11000</v>
      </c>
      <c r="P870" s="12">
        <f t="shared" si="217"/>
        <v>916.66666666666663</v>
      </c>
      <c r="Q870" s="12">
        <f t="shared" si="218"/>
        <v>916.66666666666663</v>
      </c>
    </row>
    <row r="871" spans="1:17" x14ac:dyDescent="0.3">
      <c r="A871" s="1">
        <f t="shared" si="219"/>
        <v>19</v>
      </c>
      <c r="B871" s="2" t="s">
        <v>534</v>
      </c>
      <c r="C871" s="3" t="s">
        <v>450</v>
      </c>
      <c r="D871" s="12" t="s">
        <v>40</v>
      </c>
      <c r="E871" s="12" t="s">
        <v>40</v>
      </c>
      <c r="F871" s="12"/>
      <c r="G871" s="12"/>
      <c r="H871" s="12" t="s">
        <v>40</v>
      </c>
      <c r="I871" s="12" t="s">
        <v>40</v>
      </c>
      <c r="J871" s="12" t="s">
        <v>40</v>
      </c>
      <c r="K871" s="12"/>
      <c r="L871" s="12">
        <v>143600</v>
      </c>
      <c r="M871" s="15">
        <f t="shared" si="220"/>
        <v>20</v>
      </c>
      <c r="N871" s="15">
        <f t="shared" si="221"/>
        <v>0</v>
      </c>
      <c r="O871" s="12">
        <v>143600</v>
      </c>
      <c r="P871" s="12">
        <f t="shared" si="217"/>
        <v>11966.666666666666</v>
      </c>
      <c r="Q871" s="12">
        <f t="shared" si="218"/>
        <v>11966.666666666666</v>
      </c>
    </row>
    <row r="872" spans="1:17" x14ac:dyDescent="0.3">
      <c r="A872" s="1">
        <f t="shared" si="219"/>
        <v>20</v>
      </c>
      <c r="B872" s="10"/>
      <c r="C872" s="9"/>
      <c r="D872" s="13"/>
      <c r="E872" s="13"/>
      <c r="F872" s="13"/>
      <c r="G872" s="13"/>
      <c r="H872" s="13"/>
      <c r="I872" s="13"/>
      <c r="J872" s="13"/>
      <c r="K872" s="13"/>
      <c r="L872" s="13"/>
      <c r="M872" s="16"/>
      <c r="N872" s="16"/>
      <c r="O872" s="13"/>
      <c r="P872" s="13"/>
      <c r="Q872" s="13"/>
    </row>
    <row r="873" spans="1:17" x14ac:dyDescent="0.3">
      <c r="A873" s="1">
        <f t="shared" si="219"/>
        <v>21</v>
      </c>
      <c r="B873" s="2">
        <v>32948742</v>
      </c>
      <c r="C873" s="3" t="s">
        <v>450</v>
      </c>
      <c r="D873" s="12" t="s">
        <v>40</v>
      </c>
      <c r="E873" s="12" t="s">
        <v>40</v>
      </c>
      <c r="F873" s="12"/>
      <c r="G873" s="12"/>
      <c r="H873" s="12"/>
      <c r="I873" s="12"/>
      <c r="J873" s="12"/>
      <c r="K873" s="12"/>
      <c r="L873" s="12">
        <v>0</v>
      </c>
      <c r="M873" s="15">
        <f t="shared" si="220"/>
        <v>2</v>
      </c>
      <c r="N873" s="15">
        <f t="shared" si="221"/>
        <v>0</v>
      </c>
      <c r="O873" s="20"/>
      <c r="P873" s="12">
        <f t="shared" ref="P873" si="222">+L873/12</f>
        <v>0</v>
      </c>
      <c r="Q873" s="20"/>
    </row>
    <row r="874" spans="1:17" x14ac:dyDescent="0.3">
      <c r="A874" s="1">
        <f t="shared" si="219"/>
        <v>22</v>
      </c>
      <c r="B874" s="2">
        <v>43317845</v>
      </c>
      <c r="C874" s="3" t="s">
        <v>450</v>
      </c>
      <c r="D874" s="12" t="s">
        <v>40</v>
      </c>
      <c r="E874" s="12" t="s">
        <v>40</v>
      </c>
      <c r="F874" s="12"/>
      <c r="G874" s="12"/>
      <c r="H874" s="12" t="s">
        <v>40</v>
      </c>
      <c r="I874" s="12" t="s">
        <v>40</v>
      </c>
      <c r="J874" s="12"/>
      <c r="K874" s="12"/>
      <c r="L874" s="12">
        <v>112816</v>
      </c>
      <c r="M874" s="15">
        <f t="shared" si="220"/>
        <v>10</v>
      </c>
      <c r="N874" s="15">
        <f t="shared" si="221"/>
        <v>0</v>
      </c>
      <c r="O874" s="12">
        <v>112816</v>
      </c>
      <c r="P874" s="12">
        <f t="shared" si="217"/>
        <v>9401.3333333333339</v>
      </c>
      <c r="Q874" s="12">
        <f t="shared" si="218"/>
        <v>9401.3333333333339</v>
      </c>
    </row>
    <row r="875" spans="1:17" x14ac:dyDescent="0.3">
      <c r="A875" s="1">
        <f t="shared" si="219"/>
        <v>23</v>
      </c>
      <c r="B875" s="18" t="s">
        <v>550</v>
      </c>
      <c r="C875" s="3" t="s">
        <v>450</v>
      </c>
      <c r="D875" s="12"/>
      <c r="E875" s="12"/>
      <c r="F875" s="12"/>
      <c r="G875" s="12"/>
      <c r="H875" s="12"/>
      <c r="I875" s="12"/>
      <c r="J875" s="12"/>
      <c r="K875" s="12"/>
      <c r="L875" s="12">
        <v>0</v>
      </c>
      <c r="M875" s="15">
        <f t="shared" si="220"/>
        <v>0</v>
      </c>
      <c r="N875" s="15">
        <f t="shared" si="221"/>
        <v>0</v>
      </c>
      <c r="O875" s="20"/>
      <c r="P875" s="12">
        <f t="shared" si="217"/>
        <v>0</v>
      </c>
      <c r="Q875" s="20"/>
    </row>
    <row r="876" spans="1:17" x14ac:dyDescent="0.3">
      <c r="A876" s="1">
        <f t="shared" si="219"/>
        <v>24</v>
      </c>
      <c r="B876" s="2" t="s">
        <v>535</v>
      </c>
      <c r="C876" s="3" t="s">
        <v>450</v>
      </c>
      <c r="D876" s="12" t="s">
        <v>40</v>
      </c>
      <c r="E876" s="12" t="s">
        <v>40</v>
      </c>
      <c r="F876" s="12"/>
      <c r="G876" s="12" t="s">
        <v>40</v>
      </c>
      <c r="H876" s="12"/>
      <c r="I876" s="12"/>
      <c r="J876" s="12"/>
      <c r="K876" s="12"/>
      <c r="L876" s="12">
        <v>0</v>
      </c>
      <c r="M876" s="15">
        <f t="shared" si="220"/>
        <v>4</v>
      </c>
      <c r="N876" s="15">
        <f t="shared" si="221"/>
        <v>0</v>
      </c>
      <c r="O876" s="20"/>
      <c r="P876" s="12">
        <f t="shared" si="217"/>
        <v>0</v>
      </c>
      <c r="Q876" s="20"/>
    </row>
    <row r="877" spans="1:17" x14ac:dyDescent="0.3">
      <c r="A877" s="1">
        <f t="shared" si="219"/>
        <v>25</v>
      </c>
      <c r="B877" s="2" t="s">
        <v>551</v>
      </c>
      <c r="C877" s="3" t="s">
        <v>450</v>
      </c>
      <c r="D877" s="12" t="s">
        <v>40</v>
      </c>
      <c r="E877" s="12" t="s">
        <v>40</v>
      </c>
      <c r="F877" s="12"/>
      <c r="G877" s="12"/>
      <c r="H877" s="12"/>
      <c r="I877" s="12"/>
      <c r="J877" s="12"/>
      <c r="K877" s="12"/>
      <c r="L877" s="12">
        <v>34000</v>
      </c>
      <c r="M877" s="15">
        <f t="shared" si="220"/>
        <v>2</v>
      </c>
      <c r="N877" s="15">
        <f t="shared" si="221"/>
        <v>0</v>
      </c>
      <c r="O877" s="12">
        <v>34000</v>
      </c>
      <c r="P877" s="12">
        <f t="shared" si="217"/>
        <v>2833.3333333333335</v>
      </c>
      <c r="Q877" s="12">
        <f t="shared" si="218"/>
        <v>2833.3333333333335</v>
      </c>
    </row>
    <row r="878" spans="1:17" x14ac:dyDescent="0.3">
      <c r="A878" s="1">
        <f t="shared" si="219"/>
        <v>26</v>
      </c>
      <c r="B878" s="2" t="s">
        <v>536</v>
      </c>
      <c r="C878" s="3" t="s">
        <v>450</v>
      </c>
      <c r="D878" s="12" t="s">
        <v>40</v>
      </c>
      <c r="E878" s="12" t="s">
        <v>40</v>
      </c>
      <c r="F878" s="12"/>
      <c r="G878" s="12" t="s">
        <v>40</v>
      </c>
      <c r="H878" s="12"/>
      <c r="I878" s="12"/>
      <c r="J878" s="12"/>
      <c r="K878" s="12"/>
      <c r="L878" s="12">
        <v>30000</v>
      </c>
      <c r="M878" s="15">
        <f t="shared" si="220"/>
        <v>4</v>
      </c>
      <c r="N878" s="15">
        <f t="shared" si="221"/>
        <v>0</v>
      </c>
      <c r="O878" s="12">
        <v>30000</v>
      </c>
      <c r="P878" s="12">
        <f t="shared" si="217"/>
        <v>2500</v>
      </c>
      <c r="Q878" s="12">
        <f t="shared" si="218"/>
        <v>2500</v>
      </c>
    </row>
    <row r="879" spans="1:17" x14ac:dyDescent="0.3">
      <c r="A879" s="1">
        <f t="shared" si="219"/>
        <v>27</v>
      </c>
      <c r="B879" s="2" t="s">
        <v>537</v>
      </c>
      <c r="C879" s="3" t="s">
        <v>450</v>
      </c>
      <c r="D879" s="12" t="s">
        <v>40</v>
      </c>
      <c r="E879" s="12"/>
      <c r="F879" s="12"/>
      <c r="G879" s="12"/>
      <c r="H879" s="12"/>
      <c r="I879" s="12"/>
      <c r="J879" s="12"/>
      <c r="K879" s="12"/>
      <c r="L879" s="12">
        <v>43000</v>
      </c>
      <c r="M879" s="15">
        <f t="shared" si="220"/>
        <v>1</v>
      </c>
      <c r="N879" s="15">
        <f t="shared" si="221"/>
        <v>0</v>
      </c>
      <c r="O879" s="12">
        <v>43000</v>
      </c>
      <c r="P879" s="12">
        <f t="shared" si="217"/>
        <v>3583.3333333333335</v>
      </c>
      <c r="Q879" s="12">
        <f t="shared" si="218"/>
        <v>3583.3333333333335</v>
      </c>
    </row>
    <row r="880" spans="1:17" x14ac:dyDescent="0.3">
      <c r="A880" s="1">
        <f t="shared" si="219"/>
        <v>28</v>
      </c>
      <c r="B880" s="2" t="s">
        <v>538</v>
      </c>
      <c r="C880" s="3" t="s">
        <v>450</v>
      </c>
      <c r="D880" s="12" t="s">
        <v>40</v>
      </c>
      <c r="E880" s="12" t="s">
        <v>40</v>
      </c>
      <c r="F880" s="12" t="s">
        <v>40</v>
      </c>
      <c r="G880" s="12"/>
      <c r="H880" s="12"/>
      <c r="I880" s="12"/>
      <c r="J880" s="12"/>
      <c r="K880" s="12"/>
      <c r="L880" s="12">
        <v>42336</v>
      </c>
      <c r="M880" s="15">
        <f t="shared" si="220"/>
        <v>4</v>
      </c>
      <c r="N880" s="15">
        <f t="shared" si="221"/>
        <v>0</v>
      </c>
      <c r="O880" s="12">
        <v>42336</v>
      </c>
      <c r="P880" s="12">
        <f t="shared" si="217"/>
        <v>3528</v>
      </c>
      <c r="Q880" s="12">
        <f t="shared" si="218"/>
        <v>3528</v>
      </c>
    </row>
    <row r="881" spans="1:18" x14ac:dyDescent="0.3">
      <c r="A881" s="1">
        <f t="shared" si="219"/>
        <v>29</v>
      </c>
      <c r="B881" s="2" t="s">
        <v>539</v>
      </c>
      <c r="C881" s="3" t="s">
        <v>450</v>
      </c>
      <c r="D881" s="12" t="s">
        <v>40</v>
      </c>
      <c r="E881" s="12" t="s">
        <v>40</v>
      </c>
      <c r="F881" s="12"/>
      <c r="G881" s="12"/>
      <c r="H881" s="12"/>
      <c r="I881" s="12"/>
      <c r="J881" s="12"/>
      <c r="K881" s="12"/>
      <c r="L881" s="12">
        <v>0</v>
      </c>
      <c r="M881" s="15">
        <f t="shared" si="220"/>
        <v>2</v>
      </c>
      <c r="N881" s="15">
        <f t="shared" si="221"/>
        <v>0</v>
      </c>
      <c r="O881" s="20"/>
      <c r="P881" s="12">
        <f t="shared" si="217"/>
        <v>0</v>
      </c>
      <c r="Q881" s="20"/>
    </row>
    <row r="882" spans="1:18" x14ac:dyDescent="0.3">
      <c r="A882" s="1">
        <f t="shared" si="219"/>
        <v>30</v>
      </c>
      <c r="B882" s="2" t="s">
        <v>540</v>
      </c>
      <c r="C882" s="3" t="s">
        <v>450</v>
      </c>
      <c r="D882" s="12" t="s">
        <v>40</v>
      </c>
      <c r="E882" s="12" t="s">
        <v>40</v>
      </c>
      <c r="F882" s="12"/>
      <c r="G882" s="12"/>
      <c r="H882" s="12" t="s">
        <v>40</v>
      </c>
      <c r="I882" s="12" t="s">
        <v>40</v>
      </c>
      <c r="J882" s="12"/>
      <c r="K882" s="12"/>
      <c r="L882" s="12">
        <v>160456</v>
      </c>
      <c r="M882" s="15">
        <f t="shared" si="220"/>
        <v>10</v>
      </c>
      <c r="N882" s="15">
        <f t="shared" si="221"/>
        <v>0</v>
      </c>
      <c r="O882" s="12">
        <v>160456</v>
      </c>
      <c r="P882" s="12">
        <f t="shared" si="217"/>
        <v>13371.333333333334</v>
      </c>
      <c r="Q882" s="12">
        <f t="shared" si="218"/>
        <v>13371.333333333334</v>
      </c>
      <c r="R882" s="14">
        <f>30-COUNTBLANK(R852:R881)</f>
        <v>0</v>
      </c>
    </row>
    <row r="883" spans="1:18" x14ac:dyDescent="0.3">
      <c r="B883" s="29"/>
      <c r="L883" s="14">
        <f>+AVERAGE(L853:L882)</f>
        <v>63289.758620689652</v>
      </c>
      <c r="M883" s="14">
        <f>+AVERAGE(M853:M882)</f>
        <v>6.6206896551724137</v>
      </c>
      <c r="N883" s="14">
        <f>+SUM(N853:N882)</f>
        <v>0</v>
      </c>
      <c r="O883" s="14">
        <f>+AVERAGE(O853:O882)</f>
        <v>74318.318181818177</v>
      </c>
      <c r="P883" s="14">
        <f>+AVERAGE(P853:P882)</f>
        <v>5274.1465517241386</v>
      </c>
      <c r="Q883" s="14">
        <f>+AVERAGE(Q853:Q882)</f>
        <v>6193.193181818182</v>
      </c>
    </row>
    <row r="884" spans="1:18" x14ac:dyDescent="0.3">
      <c r="L884" s="14">
        <f>+STDEV(L853:L882)</f>
        <v>61933.30342660976</v>
      </c>
      <c r="M884" s="14">
        <f>+STDEV(M853:M882)</f>
        <v>5.3812756925117426</v>
      </c>
      <c r="N884" s="17"/>
      <c r="O884" s="14">
        <f>+STDEV(O853:O882)</f>
        <v>54288.442036067521</v>
      </c>
      <c r="P884" s="14">
        <f>+STDEV(P853:P882)</f>
        <v>5161.1086188841455</v>
      </c>
      <c r="Q884" s="14">
        <f>+STDEV(Q853:Q882)</f>
        <v>4524.0368363389607</v>
      </c>
    </row>
    <row r="885" spans="1:18" x14ac:dyDescent="0.3">
      <c r="I885" s="15"/>
      <c r="J885" s="15"/>
      <c r="K885" s="11" t="s">
        <v>75</v>
      </c>
      <c r="L885" s="14">
        <f>+COUNTIF(L853:L882,0)</f>
        <v>6</v>
      </c>
      <c r="M885" s="14">
        <f>+COUNT(M853:M882)</f>
        <v>29</v>
      </c>
      <c r="P885" s="14">
        <f>+COUNTIF(P853:P882,0)</f>
        <v>6</v>
      </c>
    </row>
    <row r="887" spans="1:18" x14ac:dyDescent="0.3">
      <c r="A887" s="1">
        <v>1</v>
      </c>
      <c r="B887" s="2">
        <v>43409673</v>
      </c>
      <c r="C887" s="3" t="s">
        <v>451</v>
      </c>
      <c r="D887" s="12" t="s">
        <v>40</v>
      </c>
      <c r="E887" s="12" t="s">
        <v>40</v>
      </c>
      <c r="F887" s="12"/>
      <c r="G887" s="12"/>
      <c r="H887" s="12" t="s">
        <v>40</v>
      </c>
      <c r="I887" s="12" t="s">
        <v>40</v>
      </c>
      <c r="J887" s="12"/>
      <c r="K887" s="12"/>
      <c r="L887" s="12">
        <v>186259.32</v>
      </c>
      <c r="M887" s="15">
        <f>+IF(D887="X",1,0)+IF(E887="X",1,0)+IF(F887="X",2,0)+IF(G887="X",2,0)+IF(H887="X",3,IF(H887="Y",1.5,0))+IF(I887="X",5,IF(I887="Y",2.5,0))+IF(J887="X",10,IF(J887="Y",5,0))</f>
        <v>10</v>
      </c>
      <c r="N887" s="15">
        <f>+IF(K887="X",1,0)</f>
        <v>0</v>
      </c>
      <c r="O887" s="12">
        <v>24000</v>
      </c>
      <c r="P887" s="12">
        <f t="shared" ref="P887" si="223">+L887/12</f>
        <v>15521.61</v>
      </c>
      <c r="Q887" s="12">
        <f t="shared" ref="Q887" si="224">+O887/12</f>
        <v>2000</v>
      </c>
    </row>
    <row r="888" spans="1:18" x14ac:dyDescent="0.3">
      <c r="A888" s="1">
        <f>+A887+1</f>
        <v>2</v>
      </c>
      <c r="B888" s="4" t="s">
        <v>769</v>
      </c>
      <c r="C888" s="3" t="s">
        <v>451</v>
      </c>
      <c r="D888" s="12" t="s">
        <v>40</v>
      </c>
      <c r="E888" s="12" t="s">
        <v>40</v>
      </c>
      <c r="F888" s="12"/>
      <c r="G888" s="12"/>
      <c r="H888" s="12"/>
      <c r="I888" s="12"/>
      <c r="J888" s="12"/>
      <c r="K888" s="12"/>
      <c r="L888" s="12">
        <v>24000</v>
      </c>
      <c r="M888" s="15">
        <f t="shared" ref="M888:M916" si="225">+IF(D888="X",1,0)+IF(E888="X",1,0)+IF(F888="X",2,0)+IF(G888="X",2,0)+IF(H888="X",3,IF(H888="Y",1.5,0))+IF(I888="X",5,IF(I888="Y",2.5,0))+IF(J888="X",10,IF(J888="Y",5,0))</f>
        <v>2</v>
      </c>
      <c r="N888" s="15">
        <f t="shared" ref="N888:N916" si="226">+IF(K888="X",1,0)</f>
        <v>0</v>
      </c>
      <c r="O888" s="12">
        <v>24000</v>
      </c>
      <c r="P888" s="12">
        <f t="shared" ref="P888:P916" si="227">+L888/12</f>
        <v>2000</v>
      </c>
      <c r="Q888" s="12">
        <f t="shared" ref="Q888:Q916" si="228">+O888/12</f>
        <v>2000</v>
      </c>
    </row>
    <row r="889" spans="1:18" x14ac:dyDescent="0.3">
      <c r="A889" s="1">
        <f t="shared" ref="A889:A916" si="229">+A888+1</f>
        <v>3</v>
      </c>
      <c r="B889" s="4" t="s">
        <v>770</v>
      </c>
      <c r="C889" s="3" t="s">
        <v>451</v>
      </c>
      <c r="D889" s="12" t="s">
        <v>40</v>
      </c>
      <c r="E889" s="12" t="s">
        <v>40</v>
      </c>
      <c r="F889" s="12"/>
      <c r="G889" s="12"/>
      <c r="H889" s="12" t="s">
        <v>40</v>
      </c>
      <c r="I889" s="12" t="s">
        <v>40</v>
      </c>
      <c r="J889" s="12" t="s">
        <v>40</v>
      </c>
      <c r="K889" s="12"/>
      <c r="L889" s="12">
        <v>15370</v>
      </c>
      <c r="M889" s="15">
        <f t="shared" si="225"/>
        <v>20</v>
      </c>
      <c r="N889" s="15">
        <f t="shared" si="226"/>
        <v>0</v>
      </c>
      <c r="O889" s="12">
        <v>15370</v>
      </c>
      <c r="P889" s="12">
        <f t="shared" si="227"/>
        <v>1280.8333333333333</v>
      </c>
      <c r="Q889" s="12">
        <f t="shared" si="228"/>
        <v>1280.8333333333333</v>
      </c>
    </row>
    <row r="890" spans="1:18" x14ac:dyDescent="0.3">
      <c r="A890" s="1">
        <f t="shared" si="229"/>
        <v>4</v>
      </c>
      <c r="B890" s="4" t="s">
        <v>771</v>
      </c>
      <c r="C890" s="3" t="s">
        <v>451</v>
      </c>
      <c r="D890" s="12" t="s">
        <v>40</v>
      </c>
      <c r="E890" s="12" t="s">
        <v>40</v>
      </c>
      <c r="F890" s="12"/>
      <c r="G890" s="12"/>
      <c r="H890" s="12" t="s">
        <v>40</v>
      </c>
      <c r="I890" s="12"/>
      <c r="J890" s="12"/>
      <c r="K890" s="12"/>
      <c r="L890" s="12">
        <v>500</v>
      </c>
      <c r="M890" s="15">
        <f t="shared" si="225"/>
        <v>5</v>
      </c>
      <c r="N890" s="15">
        <f t="shared" si="226"/>
        <v>0</v>
      </c>
      <c r="O890" s="12">
        <v>500</v>
      </c>
      <c r="P890" s="12">
        <f t="shared" si="227"/>
        <v>41.666666666666664</v>
      </c>
      <c r="Q890" s="12">
        <f t="shared" si="228"/>
        <v>41.666666666666664</v>
      </c>
    </row>
    <row r="891" spans="1:18" x14ac:dyDescent="0.3">
      <c r="A891" s="1">
        <f t="shared" si="229"/>
        <v>5</v>
      </c>
      <c r="B891" s="2">
        <v>40758358</v>
      </c>
      <c r="C891" s="3" t="s">
        <v>451</v>
      </c>
      <c r="D891" s="12" t="s">
        <v>40</v>
      </c>
      <c r="E891" s="12" t="s">
        <v>40</v>
      </c>
      <c r="F891" s="12"/>
      <c r="G891" s="12"/>
      <c r="H891" s="12" t="s">
        <v>40</v>
      </c>
      <c r="I891" s="12"/>
      <c r="J891" s="12"/>
      <c r="K891" s="12"/>
      <c r="L891" s="12">
        <v>123024</v>
      </c>
      <c r="M891" s="15">
        <f t="shared" si="225"/>
        <v>5</v>
      </c>
      <c r="N891" s="15">
        <f t="shared" si="226"/>
        <v>0</v>
      </c>
      <c r="O891" s="12">
        <v>123024</v>
      </c>
      <c r="P891" s="12">
        <f t="shared" si="227"/>
        <v>10252</v>
      </c>
      <c r="Q891" s="12">
        <f t="shared" si="228"/>
        <v>10252</v>
      </c>
    </row>
    <row r="892" spans="1:18" x14ac:dyDescent="0.3">
      <c r="A892" s="1">
        <f t="shared" si="229"/>
        <v>6</v>
      </c>
      <c r="B892" s="10"/>
      <c r="C892" s="9"/>
      <c r="D892" s="13"/>
      <c r="E892" s="13"/>
      <c r="F892" s="13"/>
      <c r="G892" s="13"/>
      <c r="H892" s="13"/>
      <c r="I892" s="13"/>
      <c r="J892" s="13"/>
      <c r="K892" s="13"/>
      <c r="L892" s="13"/>
      <c r="M892" s="16"/>
      <c r="N892" s="16"/>
      <c r="O892" s="13"/>
      <c r="P892" s="13"/>
      <c r="Q892" s="13"/>
    </row>
    <row r="893" spans="1:18" x14ac:dyDescent="0.3">
      <c r="A893" s="1">
        <f t="shared" si="229"/>
        <v>7</v>
      </c>
      <c r="B893" s="4" t="s">
        <v>772</v>
      </c>
      <c r="C893" s="3" t="s">
        <v>451</v>
      </c>
      <c r="D893" s="12" t="s">
        <v>40</v>
      </c>
      <c r="E893" s="12" t="s">
        <v>40</v>
      </c>
      <c r="F893" s="12"/>
      <c r="G893" s="12"/>
      <c r="H893" s="12" t="s">
        <v>40</v>
      </c>
      <c r="I893" s="12"/>
      <c r="J893" s="12"/>
      <c r="K893" s="12"/>
      <c r="L893" s="12">
        <v>20000</v>
      </c>
      <c r="M893" s="15">
        <f t="shared" si="225"/>
        <v>5</v>
      </c>
      <c r="N893" s="15">
        <f t="shared" si="226"/>
        <v>0</v>
      </c>
      <c r="O893" s="12">
        <v>20000</v>
      </c>
      <c r="P893" s="12">
        <f t="shared" si="227"/>
        <v>1666.6666666666667</v>
      </c>
      <c r="Q893" s="12">
        <f t="shared" si="228"/>
        <v>1666.6666666666667</v>
      </c>
    </row>
    <row r="894" spans="1:18" x14ac:dyDescent="0.3">
      <c r="A894" s="1">
        <f t="shared" si="229"/>
        <v>8</v>
      </c>
      <c r="B894" s="2">
        <v>23930593</v>
      </c>
      <c r="C894" s="3" t="s">
        <v>451</v>
      </c>
      <c r="D894" s="12" t="s">
        <v>40</v>
      </c>
      <c r="E894" s="12" t="s">
        <v>40</v>
      </c>
      <c r="F894" s="12" t="s">
        <v>40</v>
      </c>
      <c r="G894" s="12"/>
      <c r="H894" s="12" t="s">
        <v>40</v>
      </c>
      <c r="I894" s="12"/>
      <c r="J894" s="12"/>
      <c r="K894" s="12"/>
      <c r="L894" s="12">
        <v>0</v>
      </c>
      <c r="M894" s="15">
        <f t="shared" si="225"/>
        <v>7</v>
      </c>
      <c r="N894" s="15">
        <f t="shared" si="226"/>
        <v>0</v>
      </c>
      <c r="O894" s="20"/>
      <c r="P894" s="12">
        <f t="shared" si="227"/>
        <v>0</v>
      </c>
      <c r="Q894" s="20"/>
    </row>
    <row r="895" spans="1:18" x14ac:dyDescent="0.3">
      <c r="A895" s="1">
        <f t="shared" si="229"/>
        <v>9</v>
      </c>
      <c r="B895" s="2">
        <v>10355825</v>
      </c>
      <c r="C895" s="3" t="s">
        <v>451</v>
      </c>
      <c r="D895" s="12" t="s">
        <v>40</v>
      </c>
      <c r="E895" s="12" t="s">
        <v>40</v>
      </c>
      <c r="F895" s="12"/>
      <c r="G895" s="12" t="s">
        <v>40</v>
      </c>
      <c r="H895" s="12" t="s">
        <v>40</v>
      </c>
      <c r="I895" s="12"/>
      <c r="J895" s="12"/>
      <c r="K895" s="12"/>
      <c r="L895" s="12">
        <v>24000</v>
      </c>
      <c r="M895" s="15">
        <f t="shared" si="225"/>
        <v>7</v>
      </c>
      <c r="N895" s="15">
        <f t="shared" si="226"/>
        <v>0</v>
      </c>
      <c r="O895" s="12">
        <v>24000</v>
      </c>
      <c r="P895" s="12">
        <f t="shared" si="227"/>
        <v>2000</v>
      </c>
      <c r="Q895" s="12">
        <f t="shared" si="228"/>
        <v>2000</v>
      </c>
    </row>
    <row r="896" spans="1:18" x14ac:dyDescent="0.3">
      <c r="A896" s="1">
        <f t="shared" si="229"/>
        <v>10</v>
      </c>
      <c r="B896" s="2">
        <v>32928393</v>
      </c>
      <c r="C896" s="3" t="s">
        <v>451</v>
      </c>
      <c r="D896" s="12" t="s">
        <v>40</v>
      </c>
      <c r="E896" s="12" t="s">
        <v>40</v>
      </c>
      <c r="F896" s="12"/>
      <c r="G896" s="12"/>
      <c r="H896" s="12"/>
      <c r="I896" s="12"/>
      <c r="J896" s="12"/>
      <c r="K896" s="12"/>
      <c r="L896" s="12">
        <v>72000</v>
      </c>
      <c r="M896" s="15">
        <f t="shared" si="225"/>
        <v>2</v>
      </c>
      <c r="N896" s="15">
        <f t="shared" si="226"/>
        <v>0</v>
      </c>
      <c r="O896" s="12">
        <v>72000</v>
      </c>
      <c r="P896" s="12">
        <f t="shared" si="227"/>
        <v>6000</v>
      </c>
      <c r="Q896" s="12">
        <f t="shared" si="228"/>
        <v>6000</v>
      </c>
    </row>
    <row r="897" spans="1:17" x14ac:dyDescent="0.3">
      <c r="A897" s="1">
        <f t="shared" si="229"/>
        <v>11</v>
      </c>
      <c r="B897" s="2" t="s">
        <v>762</v>
      </c>
      <c r="C897" s="3" t="s">
        <v>451</v>
      </c>
      <c r="D897" s="12" t="s">
        <v>40</v>
      </c>
      <c r="E897" s="12" t="s">
        <v>40</v>
      </c>
      <c r="F897" s="12"/>
      <c r="G897" s="12"/>
      <c r="H897" s="12"/>
      <c r="I897" s="12"/>
      <c r="J897" s="12"/>
      <c r="K897" s="12"/>
      <c r="L897" s="12">
        <v>33720</v>
      </c>
      <c r="M897" s="15">
        <f t="shared" si="225"/>
        <v>2</v>
      </c>
      <c r="N897" s="15">
        <f t="shared" si="226"/>
        <v>0</v>
      </c>
      <c r="O897" s="12">
        <v>33720</v>
      </c>
      <c r="P897" s="12">
        <f t="shared" si="227"/>
        <v>2810</v>
      </c>
      <c r="Q897" s="12">
        <f t="shared" si="228"/>
        <v>2810</v>
      </c>
    </row>
    <row r="898" spans="1:17" x14ac:dyDescent="0.3">
      <c r="A898" s="1">
        <f t="shared" si="229"/>
        <v>12</v>
      </c>
      <c r="B898" s="2">
        <v>40846145</v>
      </c>
      <c r="C898" s="3" t="s">
        <v>451</v>
      </c>
      <c r="D898" s="12" t="s">
        <v>40</v>
      </c>
      <c r="E898" s="12" t="s">
        <v>40</v>
      </c>
      <c r="F898" s="12"/>
      <c r="G898" s="12"/>
      <c r="H898" s="12" t="s">
        <v>40</v>
      </c>
      <c r="I898" s="12"/>
      <c r="J898" s="12"/>
      <c r="K898" s="12"/>
      <c r="L898" s="12">
        <v>18000</v>
      </c>
      <c r="M898" s="15">
        <f t="shared" si="225"/>
        <v>5</v>
      </c>
      <c r="N898" s="15">
        <f t="shared" si="226"/>
        <v>0</v>
      </c>
      <c r="O898" s="12">
        <v>18000</v>
      </c>
      <c r="P898" s="12">
        <f t="shared" si="227"/>
        <v>1500</v>
      </c>
      <c r="Q898" s="12">
        <f t="shared" si="228"/>
        <v>1500</v>
      </c>
    </row>
    <row r="899" spans="1:17" x14ac:dyDescent="0.3">
      <c r="A899" s="1">
        <f t="shared" si="229"/>
        <v>13</v>
      </c>
      <c r="B899" s="2" t="s">
        <v>763</v>
      </c>
      <c r="C899" s="3" t="s">
        <v>451</v>
      </c>
      <c r="D899" s="12" t="s">
        <v>40</v>
      </c>
      <c r="E899" s="12" t="s">
        <v>40</v>
      </c>
      <c r="F899" s="12"/>
      <c r="G899" s="12"/>
      <c r="H899" s="12"/>
      <c r="I899" s="12"/>
      <c r="J899" s="12"/>
      <c r="K899" s="12"/>
      <c r="L899" s="12">
        <v>30000</v>
      </c>
      <c r="M899" s="15">
        <f t="shared" si="225"/>
        <v>2</v>
      </c>
      <c r="N899" s="15">
        <f t="shared" si="226"/>
        <v>0</v>
      </c>
      <c r="O899" s="12">
        <v>30000</v>
      </c>
      <c r="P899" s="12">
        <f t="shared" si="227"/>
        <v>2500</v>
      </c>
      <c r="Q899" s="12">
        <f t="shared" si="228"/>
        <v>2500</v>
      </c>
    </row>
    <row r="900" spans="1:17" x14ac:dyDescent="0.3">
      <c r="A900" s="1">
        <f t="shared" si="229"/>
        <v>14</v>
      </c>
      <c r="B900" s="2">
        <v>32874925</v>
      </c>
      <c r="C900" s="3" t="s">
        <v>451</v>
      </c>
      <c r="D900" s="12" t="s">
        <v>40</v>
      </c>
      <c r="E900" s="12" t="s">
        <v>40</v>
      </c>
      <c r="F900" s="12" t="s">
        <v>40</v>
      </c>
      <c r="G900" s="12"/>
      <c r="H900" s="12"/>
      <c r="I900" s="12"/>
      <c r="J900" s="12"/>
      <c r="K900" s="12"/>
      <c r="L900" s="12">
        <v>37200</v>
      </c>
      <c r="M900" s="15">
        <f t="shared" si="225"/>
        <v>4</v>
      </c>
      <c r="N900" s="15">
        <f t="shared" si="226"/>
        <v>0</v>
      </c>
      <c r="O900" s="12">
        <v>37200</v>
      </c>
      <c r="P900" s="12">
        <f t="shared" si="227"/>
        <v>3100</v>
      </c>
      <c r="Q900" s="12">
        <f t="shared" si="228"/>
        <v>3100</v>
      </c>
    </row>
    <row r="901" spans="1:17" x14ac:dyDescent="0.3">
      <c r="A901" s="1">
        <f t="shared" si="229"/>
        <v>15</v>
      </c>
      <c r="B901" s="2" t="s">
        <v>764</v>
      </c>
      <c r="C901" s="3" t="s">
        <v>451</v>
      </c>
      <c r="D901" s="12" t="s">
        <v>40</v>
      </c>
      <c r="E901" s="12" t="s">
        <v>40</v>
      </c>
      <c r="F901" s="12"/>
      <c r="G901" s="12"/>
      <c r="H901" s="12"/>
      <c r="I901" s="12"/>
      <c r="J901" s="12"/>
      <c r="K901" s="12"/>
      <c r="L901" s="12">
        <v>47528.639999999999</v>
      </c>
      <c r="M901" s="15">
        <f t="shared" si="225"/>
        <v>2</v>
      </c>
      <c r="N901" s="15">
        <f t="shared" si="226"/>
        <v>0</v>
      </c>
      <c r="O901" s="12">
        <v>47528.639999999999</v>
      </c>
      <c r="P901" s="12">
        <f t="shared" si="227"/>
        <v>3960.72</v>
      </c>
      <c r="Q901" s="12">
        <f t="shared" si="228"/>
        <v>3960.72</v>
      </c>
    </row>
    <row r="902" spans="1:17" x14ac:dyDescent="0.3">
      <c r="A902" s="1">
        <f t="shared" si="229"/>
        <v>16</v>
      </c>
      <c r="B902" s="2">
        <v>32796381</v>
      </c>
      <c r="C902" s="3" t="s">
        <v>451</v>
      </c>
      <c r="D902" s="12" t="s">
        <v>40</v>
      </c>
      <c r="E902" s="12" t="s">
        <v>40</v>
      </c>
      <c r="F902" s="12"/>
      <c r="G902" s="12" t="s">
        <v>40</v>
      </c>
      <c r="H902" s="12" t="s">
        <v>40</v>
      </c>
      <c r="I902" s="12" t="s">
        <v>40</v>
      </c>
      <c r="J902" s="12"/>
      <c r="K902" s="12"/>
      <c r="L902" s="12">
        <v>30000</v>
      </c>
      <c r="M902" s="15">
        <f t="shared" si="225"/>
        <v>12</v>
      </c>
      <c r="N902" s="15">
        <f t="shared" si="226"/>
        <v>0</v>
      </c>
      <c r="O902" s="12">
        <v>30000</v>
      </c>
      <c r="P902" s="12">
        <f t="shared" si="227"/>
        <v>2500</v>
      </c>
      <c r="Q902" s="12">
        <f t="shared" si="228"/>
        <v>2500</v>
      </c>
    </row>
    <row r="903" spans="1:17" x14ac:dyDescent="0.3">
      <c r="A903" s="1">
        <f t="shared" si="229"/>
        <v>17</v>
      </c>
      <c r="B903" s="4" t="s">
        <v>773</v>
      </c>
      <c r="C903" s="3" t="s">
        <v>451</v>
      </c>
      <c r="D903" s="12" t="s">
        <v>40</v>
      </c>
      <c r="E903" s="12" t="s">
        <v>40</v>
      </c>
      <c r="F903" s="12"/>
      <c r="G903" s="12"/>
      <c r="H903" s="12"/>
      <c r="I903" s="12"/>
      <c r="J903" s="12"/>
      <c r="K903" s="12"/>
      <c r="L903" s="12">
        <v>25000</v>
      </c>
      <c r="M903" s="15">
        <f t="shared" si="225"/>
        <v>2</v>
      </c>
      <c r="N903" s="15">
        <f t="shared" si="226"/>
        <v>0</v>
      </c>
      <c r="O903" s="12">
        <v>25000</v>
      </c>
      <c r="P903" s="12">
        <f t="shared" si="227"/>
        <v>2083.3333333333335</v>
      </c>
      <c r="Q903" s="12">
        <f t="shared" si="228"/>
        <v>2083.3333333333335</v>
      </c>
    </row>
    <row r="904" spans="1:17" x14ac:dyDescent="0.3">
      <c r="A904" s="1">
        <f t="shared" si="229"/>
        <v>18</v>
      </c>
      <c r="B904" s="10"/>
      <c r="C904" s="9"/>
      <c r="D904" s="13"/>
      <c r="E904" s="13"/>
      <c r="F904" s="13"/>
      <c r="G904" s="13"/>
      <c r="H904" s="13"/>
      <c r="I904" s="13"/>
      <c r="J904" s="13"/>
      <c r="K904" s="13"/>
      <c r="L904" s="13"/>
      <c r="M904" s="16"/>
      <c r="N904" s="16"/>
      <c r="O904" s="13"/>
      <c r="P904" s="13"/>
      <c r="Q904" s="13"/>
    </row>
    <row r="905" spans="1:17" x14ac:dyDescent="0.3">
      <c r="A905" s="1">
        <f t="shared" si="229"/>
        <v>19</v>
      </c>
      <c r="B905" s="2">
        <v>43448254</v>
      </c>
      <c r="C905" s="3" t="s">
        <v>451</v>
      </c>
      <c r="D905" s="12" t="s">
        <v>40</v>
      </c>
      <c r="E905" s="12" t="s">
        <v>40</v>
      </c>
      <c r="F905" s="12"/>
      <c r="G905" s="12"/>
      <c r="H905" s="12" t="s">
        <v>40</v>
      </c>
      <c r="I905" s="12" t="s">
        <v>40</v>
      </c>
      <c r="J905" s="12"/>
      <c r="K905" s="12"/>
      <c r="L905" s="12">
        <v>220000</v>
      </c>
      <c r="M905" s="15">
        <f t="shared" si="225"/>
        <v>10</v>
      </c>
      <c r="N905" s="15">
        <f t="shared" si="226"/>
        <v>0</v>
      </c>
      <c r="O905" s="20"/>
      <c r="P905" s="12">
        <f t="shared" ref="P905" si="230">+L905/12</f>
        <v>18333.333333333332</v>
      </c>
      <c r="Q905" s="20"/>
    </row>
    <row r="906" spans="1:17" x14ac:dyDescent="0.3">
      <c r="A906" s="1">
        <f t="shared" si="229"/>
        <v>20</v>
      </c>
      <c r="B906" s="2">
        <v>20099934</v>
      </c>
      <c r="C906" s="3" t="s">
        <v>451</v>
      </c>
      <c r="D906" s="12" t="s">
        <v>40</v>
      </c>
      <c r="E906" s="12" t="s">
        <v>40</v>
      </c>
      <c r="F906" s="12"/>
      <c r="G906" s="12" t="s">
        <v>40</v>
      </c>
      <c r="H906" s="12" t="s">
        <v>40</v>
      </c>
      <c r="I906" s="12"/>
      <c r="J906" s="12"/>
      <c r="K906" s="12"/>
      <c r="L906" s="12">
        <v>36000</v>
      </c>
      <c r="M906" s="15">
        <f t="shared" si="225"/>
        <v>7</v>
      </c>
      <c r="N906" s="15">
        <f t="shared" si="226"/>
        <v>0</v>
      </c>
      <c r="O906" s="12">
        <v>36000</v>
      </c>
      <c r="P906" s="12">
        <f t="shared" si="227"/>
        <v>3000</v>
      </c>
      <c r="Q906" s="12">
        <f t="shared" si="228"/>
        <v>3000</v>
      </c>
    </row>
    <row r="907" spans="1:17" x14ac:dyDescent="0.3">
      <c r="A907" s="1">
        <f t="shared" si="229"/>
        <v>21</v>
      </c>
      <c r="B907" s="2">
        <v>20591425</v>
      </c>
      <c r="C907" s="3" t="s">
        <v>451</v>
      </c>
      <c r="D907" s="12" t="s">
        <v>40</v>
      </c>
      <c r="E907" s="12" t="s">
        <v>40</v>
      </c>
      <c r="F907" s="12"/>
      <c r="G907" s="12"/>
      <c r="H907" s="12"/>
      <c r="I907" s="12"/>
      <c r="J907" s="12"/>
      <c r="K907" s="12"/>
      <c r="L907" s="12">
        <v>24000</v>
      </c>
      <c r="M907" s="15">
        <f t="shared" si="225"/>
        <v>2</v>
      </c>
      <c r="N907" s="15">
        <f t="shared" si="226"/>
        <v>0</v>
      </c>
      <c r="O907" s="12">
        <v>24000</v>
      </c>
      <c r="P907" s="12">
        <f t="shared" si="227"/>
        <v>2000</v>
      </c>
      <c r="Q907" s="12">
        <f t="shared" si="228"/>
        <v>2000</v>
      </c>
    </row>
    <row r="908" spans="1:17" x14ac:dyDescent="0.3">
      <c r="A908" s="1">
        <f t="shared" si="229"/>
        <v>22</v>
      </c>
      <c r="B908" s="2">
        <v>23923643</v>
      </c>
      <c r="C908" s="3" t="s">
        <v>451</v>
      </c>
      <c r="D908" s="12" t="s">
        <v>40</v>
      </c>
      <c r="E908" s="12" t="s">
        <v>40</v>
      </c>
      <c r="F908" s="12"/>
      <c r="G908" s="12"/>
      <c r="H908" s="12"/>
      <c r="I908" s="12"/>
      <c r="J908" s="12"/>
      <c r="K908" s="12"/>
      <c r="L908" s="12">
        <v>18000</v>
      </c>
      <c r="M908" s="15">
        <f t="shared" si="225"/>
        <v>2</v>
      </c>
      <c r="N908" s="15">
        <f t="shared" si="226"/>
        <v>0</v>
      </c>
      <c r="O908" s="12">
        <v>18000</v>
      </c>
      <c r="P908" s="12">
        <f t="shared" si="227"/>
        <v>1500</v>
      </c>
      <c r="Q908" s="12">
        <f t="shared" si="228"/>
        <v>1500</v>
      </c>
    </row>
    <row r="909" spans="1:17" x14ac:dyDescent="0.3">
      <c r="A909" s="1">
        <f t="shared" si="229"/>
        <v>23</v>
      </c>
      <c r="B909" s="2" t="s">
        <v>765</v>
      </c>
      <c r="C909" s="3" t="s">
        <v>451</v>
      </c>
      <c r="D909" s="12" t="s">
        <v>40</v>
      </c>
      <c r="E909" s="12" t="s">
        <v>40</v>
      </c>
      <c r="F909" s="12"/>
      <c r="G909" s="12"/>
      <c r="H909" s="12" t="s">
        <v>40</v>
      </c>
      <c r="I909" s="12" t="s">
        <v>40</v>
      </c>
      <c r="J909" s="12" t="s">
        <v>40</v>
      </c>
      <c r="K909" s="12"/>
      <c r="L909" s="12">
        <v>78000</v>
      </c>
      <c r="M909" s="15">
        <f t="shared" si="225"/>
        <v>20</v>
      </c>
      <c r="N909" s="15">
        <f t="shared" si="226"/>
        <v>0</v>
      </c>
      <c r="O909" s="12">
        <v>78000</v>
      </c>
      <c r="P909" s="12">
        <f t="shared" si="227"/>
        <v>6500</v>
      </c>
      <c r="Q909" s="12">
        <f t="shared" si="228"/>
        <v>6500</v>
      </c>
    </row>
    <row r="910" spans="1:17" x14ac:dyDescent="0.3">
      <c r="A910" s="1">
        <f t="shared" si="229"/>
        <v>24</v>
      </c>
      <c r="B910" s="2" t="s">
        <v>766</v>
      </c>
      <c r="C910" s="3" t="s">
        <v>451</v>
      </c>
      <c r="D910" s="12" t="s">
        <v>40</v>
      </c>
      <c r="E910" s="12" t="s">
        <v>40</v>
      </c>
      <c r="F910" s="12"/>
      <c r="G910" s="12"/>
      <c r="H910" s="12"/>
      <c r="I910" s="12"/>
      <c r="J910" s="12"/>
      <c r="K910" s="12"/>
      <c r="L910" s="12">
        <v>18000</v>
      </c>
      <c r="M910" s="15">
        <f t="shared" si="225"/>
        <v>2</v>
      </c>
      <c r="N910" s="15">
        <f t="shared" si="226"/>
        <v>0</v>
      </c>
      <c r="O910" s="12">
        <v>18000</v>
      </c>
      <c r="P910" s="12">
        <f t="shared" si="227"/>
        <v>1500</v>
      </c>
      <c r="Q910" s="12">
        <f t="shared" si="228"/>
        <v>1500</v>
      </c>
    </row>
    <row r="911" spans="1:17" x14ac:dyDescent="0.3">
      <c r="A911" s="1">
        <f t="shared" si="229"/>
        <v>25</v>
      </c>
      <c r="B911" s="2" t="s">
        <v>767</v>
      </c>
      <c r="C911" s="3" t="s">
        <v>451</v>
      </c>
      <c r="D911" s="12" t="s">
        <v>40</v>
      </c>
      <c r="E911" s="12" t="s">
        <v>40</v>
      </c>
      <c r="F911" s="12"/>
      <c r="G911" s="12"/>
      <c r="H911" s="12"/>
      <c r="I911" s="12"/>
      <c r="J911" s="12"/>
      <c r="K911" s="12"/>
      <c r="L911" s="12">
        <v>0</v>
      </c>
      <c r="M911" s="15">
        <f t="shared" si="225"/>
        <v>2</v>
      </c>
      <c r="N911" s="15">
        <f t="shared" si="226"/>
        <v>0</v>
      </c>
      <c r="O911" s="20"/>
      <c r="P911" s="12">
        <f t="shared" si="227"/>
        <v>0</v>
      </c>
      <c r="Q911" s="20"/>
    </row>
    <row r="912" spans="1:17" x14ac:dyDescent="0.3">
      <c r="A912" s="1">
        <f t="shared" si="229"/>
        <v>26</v>
      </c>
      <c r="B912" s="2">
        <v>32972493</v>
      </c>
      <c r="C912" s="3" t="s">
        <v>451</v>
      </c>
      <c r="D912" s="12" t="s">
        <v>40</v>
      </c>
      <c r="E912" s="12" t="s">
        <v>40</v>
      </c>
      <c r="F912" s="12"/>
      <c r="G912" s="12"/>
      <c r="H912" s="12"/>
      <c r="I912" s="12"/>
      <c r="J912" s="12"/>
      <c r="K912" s="12"/>
      <c r="L912" s="12">
        <v>24000</v>
      </c>
      <c r="M912" s="15">
        <f t="shared" si="225"/>
        <v>2</v>
      </c>
      <c r="N912" s="15">
        <f t="shared" si="226"/>
        <v>0</v>
      </c>
      <c r="O912" s="12">
        <v>24000</v>
      </c>
      <c r="P912" s="12">
        <f t="shared" si="227"/>
        <v>2000</v>
      </c>
      <c r="Q912" s="12">
        <f t="shared" si="228"/>
        <v>2000</v>
      </c>
    </row>
    <row r="913" spans="1:18" x14ac:dyDescent="0.3">
      <c r="A913" s="1">
        <f t="shared" si="229"/>
        <v>27</v>
      </c>
      <c r="B913" s="10"/>
      <c r="C913" s="9"/>
      <c r="D913" s="13"/>
      <c r="E913" s="13"/>
      <c r="F913" s="13"/>
      <c r="G913" s="13"/>
      <c r="H913" s="13"/>
      <c r="I913" s="13"/>
      <c r="J913" s="13"/>
      <c r="K913" s="13"/>
      <c r="L913" s="13"/>
      <c r="M913" s="16"/>
      <c r="N913" s="16"/>
      <c r="O913" s="13"/>
      <c r="P913" s="13"/>
      <c r="Q913" s="13"/>
    </row>
    <row r="914" spans="1:18" x14ac:dyDescent="0.3">
      <c r="A914" s="1">
        <f t="shared" si="229"/>
        <v>28</v>
      </c>
      <c r="B914" s="2" t="s">
        <v>768</v>
      </c>
      <c r="C914" s="3" t="s">
        <v>451</v>
      </c>
      <c r="D914" s="12" t="s">
        <v>40</v>
      </c>
      <c r="E914" s="12" t="s">
        <v>40</v>
      </c>
      <c r="F914" s="12"/>
      <c r="G914" s="12"/>
      <c r="H914" s="12"/>
      <c r="I914" s="12"/>
      <c r="J914" s="12"/>
      <c r="K914" s="12"/>
      <c r="L914" s="12">
        <v>18000</v>
      </c>
      <c r="M914" s="15">
        <f t="shared" si="225"/>
        <v>2</v>
      </c>
      <c r="N914" s="15">
        <f t="shared" si="226"/>
        <v>0</v>
      </c>
      <c r="O914" s="12">
        <v>18000</v>
      </c>
      <c r="P914" s="12">
        <f t="shared" si="227"/>
        <v>1500</v>
      </c>
      <c r="Q914" s="12">
        <f t="shared" si="228"/>
        <v>1500</v>
      </c>
    </row>
    <row r="915" spans="1:18" x14ac:dyDescent="0.3">
      <c r="A915" s="1">
        <f t="shared" si="229"/>
        <v>29</v>
      </c>
      <c r="B915" s="10"/>
      <c r="C915" s="9"/>
      <c r="D915" s="13"/>
      <c r="E915" s="13"/>
      <c r="F915" s="13"/>
      <c r="G915" s="13"/>
      <c r="H915" s="13"/>
      <c r="I915" s="13"/>
      <c r="J915" s="13"/>
      <c r="K915" s="13"/>
      <c r="L915" s="13"/>
      <c r="M915" s="16"/>
      <c r="N915" s="16"/>
      <c r="O915" s="13"/>
      <c r="P915" s="13"/>
      <c r="Q915" s="13"/>
    </row>
    <row r="916" spans="1:18" x14ac:dyDescent="0.3">
      <c r="A916" s="1">
        <f t="shared" si="229"/>
        <v>30</v>
      </c>
      <c r="B916" s="2">
        <v>15411799</v>
      </c>
      <c r="C916" s="3" t="s">
        <v>451</v>
      </c>
      <c r="D916" s="12" t="s">
        <v>40</v>
      </c>
      <c r="E916" s="12" t="s">
        <v>40</v>
      </c>
      <c r="F916" s="12"/>
      <c r="G916" s="12"/>
      <c r="H916" s="12"/>
      <c r="I916" s="12"/>
      <c r="J916" s="12"/>
      <c r="K916" s="12"/>
      <c r="L916" s="12">
        <v>18000</v>
      </c>
      <c r="M916" s="15">
        <f t="shared" si="225"/>
        <v>2</v>
      </c>
      <c r="N916" s="15">
        <f t="shared" si="226"/>
        <v>0</v>
      </c>
      <c r="O916" s="12">
        <v>18000</v>
      </c>
      <c r="P916" s="12">
        <f t="shared" si="227"/>
        <v>1500</v>
      </c>
      <c r="Q916" s="12">
        <f t="shared" si="228"/>
        <v>1500</v>
      </c>
    </row>
    <row r="917" spans="1:18" x14ac:dyDescent="0.3">
      <c r="B917" s="29"/>
      <c r="L917" s="14">
        <f>+AVERAGE(L887:L916)</f>
        <v>43869.306153846155</v>
      </c>
      <c r="M917" s="14">
        <f>+AVERAGE(M887:M916)</f>
        <v>5.5</v>
      </c>
      <c r="N917" s="14">
        <f>+SUM(N887:N916)</f>
        <v>0</v>
      </c>
      <c r="O917" s="14">
        <f>+AVERAGE(O887:O916)</f>
        <v>32971.419130434784</v>
      </c>
      <c r="P917" s="14">
        <f>+AVERAGE(P887:P916)</f>
        <v>3655.7755128205131</v>
      </c>
      <c r="Q917" s="14">
        <f>+AVERAGE(Q887:Q916)</f>
        <v>2747.6182608695658</v>
      </c>
      <c r="R917" s="14">
        <f>30-COUNTBLANK(R887:R916)</f>
        <v>0</v>
      </c>
    </row>
    <row r="918" spans="1:18" x14ac:dyDescent="0.3">
      <c r="L918" s="14">
        <f>+STDEV(L887:L916)</f>
        <v>53858.83741790014</v>
      </c>
      <c r="M918" s="14">
        <f>+STDEV(M887:M916)</f>
        <v>5.1865209919559758</v>
      </c>
      <c r="N918" s="17"/>
      <c r="O918" s="14">
        <f>+STDEV(O887:O916)</f>
        <v>26143.492557534693</v>
      </c>
      <c r="P918" s="14">
        <f>+STDEV(P887:P916)</f>
        <v>4488.2364514916781</v>
      </c>
      <c r="Q918" s="14">
        <f>+STDEV(Q887:Q916)</f>
        <v>2178.6243797945576</v>
      </c>
    </row>
    <row r="919" spans="1:18" x14ac:dyDescent="0.3">
      <c r="I919" s="15"/>
      <c r="J919" s="15"/>
      <c r="K919" s="11" t="s">
        <v>75</v>
      </c>
      <c r="L919" s="14">
        <f>+COUNTIF(L887:L916,0)</f>
        <v>2</v>
      </c>
      <c r="M919" s="14">
        <f>+COUNT(M887:M916)</f>
        <v>26</v>
      </c>
      <c r="P919" s="14">
        <f>+COUNTIF(P887:P916,0)</f>
        <v>2</v>
      </c>
    </row>
    <row r="921" spans="1:18" x14ac:dyDescent="0.3">
      <c r="A921" s="1">
        <v>1</v>
      </c>
      <c r="B921" s="2" t="s">
        <v>462</v>
      </c>
      <c r="C921" s="3" t="s">
        <v>452</v>
      </c>
      <c r="D921" s="12" t="s">
        <v>40</v>
      </c>
      <c r="E921" s="12" t="s">
        <v>40</v>
      </c>
      <c r="F921" s="12"/>
      <c r="G921" s="12"/>
      <c r="H921" s="12" t="s">
        <v>40</v>
      </c>
      <c r="I921" s="12"/>
      <c r="J921" s="12"/>
      <c r="K921" s="12"/>
      <c r="L921" s="12">
        <v>45000</v>
      </c>
      <c r="M921" s="15">
        <f>+IF(D921="X",1,0)+IF(E921="X",1,0)+IF(F921="X",2,0)+IF(G921="X",2,0)+IF(H921="X",3,IF(H921="Y",1.5,0))+IF(I921="X",5,IF(I921="Y",2.5,0))+IF(J921="X",10,IF(J921="Y",5,0))</f>
        <v>5</v>
      </c>
      <c r="N921" s="15">
        <f>+IF(K921="X",1,0)</f>
        <v>0</v>
      </c>
      <c r="O921" s="12">
        <v>45000</v>
      </c>
      <c r="P921" s="12">
        <f t="shared" ref="P921:P950" si="231">+L921/12</f>
        <v>3750</v>
      </c>
      <c r="Q921" s="12">
        <f t="shared" ref="Q921:Q945" si="232">+O921/12</f>
        <v>3750</v>
      </c>
    </row>
    <row r="922" spans="1:18" x14ac:dyDescent="0.3">
      <c r="A922" s="1">
        <f>+A921+1</f>
        <v>2</v>
      </c>
      <c r="B922" s="28" t="s">
        <v>774</v>
      </c>
      <c r="C922" s="3" t="s">
        <v>452</v>
      </c>
      <c r="D922" s="12" t="s">
        <v>40</v>
      </c>
      <c r="E922" s="12" t="s">
        <v>40</v>
      </c>
      <c r="F922" s="12" t="s">
        <v>40</v>
      </c>
      <c r="G922" s="12"/>
      <c r="H922" s="12" t="s">
        <v>40</v>
      </c>
      <c r="I922" s="12"/>
      <c r="J922" s="12"/>
      <c r="K922" s="12"/>
      <c r="L922" s="12">
        <v>40486</v>
      </c>
      <c r="M922" s="15">
        <f t="shared" ref="M922:M950" si="233">+IF(D922="X",1,0)+IF(E922="X",1,0)+IF(F922="X",2,0)+IF(G922="X",2,0)+IF(H922="X",3,IF(H922="Y",1.5,0))+IF(I922="X",5,IF(I922="Y",2.5,0))+IF(J922="X",10,IF(J922="Y",5,0))</f>
        <v>7</v>
      </c>
      <c r="N922" s="15">
        <f t="shared" ref="N922:N950" si="234">+IF(K922="X",1,0)</f>
        <v>0</v>
      </c>
      <c r="O922" s="12">
        <v>40486</v>
      </c>
      <c r="P922" s="12">
        <f t="shared" si="231"/>
        <v>3373.8333333333335</v>
      </c>
      <c r="Q922" s="12">
        <f t="shared" si="232"/>
        <v>3373.8333333333335</v>
      </c>
    </row>
    <row r="923" spans="1:18" x14ac:dyDescent="0.3">
      <c r="A923" s="1">
        <f t="shared" ref="A923:A950" si="235">+A922+1</f>
        <v>3</v>
      </c>
      <c r="B923" s="2" t="s">
        <v>465</v>
      </c>
      <c r="C923" s="3" t="s">
        <v>452</v>
      </c>
      <c r="D923" s="12" t="s">
        <v>40</v>
      </c>
      <c r="E923" s="12" t="s">
        <v>40</v>
      </c>
      <c r="F923" s="12" t="s">
        <v>40</v>
      </c>
      <c r="G923" s="12" t="s">
        <v>40</v>
      </c>
      <c r="H923" s="12" t="s">
        <v>40</v>
      </c>
      <c r="I923" s="12"/>
      <c r="J923" s="12"/>
      <c r="K923" s="12"/>
      <c r="L923" s="12">
        <v>22800</v>
      </c>
      <c r="M923" s="15">
        <f t="shared" si="233"/>
        <v>9</v>
      </c>
      <c r="N923" s="15">
        <f t="shared" si="234"/>
        <v>0</v>
      </c>
      <c r="O923" s="12">
        <v>22800</v>
      </c>
      <c r="P923" s="12">
        <f t="shared" si="231"/>
        <v>1900</v>
      </c>
      <c r="Q923" s="12">
        <f t="shared" si="232"/>
        <v>1900</v>
      </c>
    </row>
    <row r="924" spans="1:18" x14ac:dyDescent="0.3">
      <c r="A924" s="1">
        <f t="shared" si="235"/>
        <v>4</v>
      </c>
      <c r="B924" s="2" t="s">
        <v>466</v>
      </c>
      <c r="C924" s="3" t="s">
        <v>452</v>
      </c>
      <c r="D924" s="12" t="s">
        <v>40</v>
      </c>
      <c r="E924" s="12" t="s">
        <v>40</v>
      </c>
      <c r="F924" s="12" t="s">
        <v>40</v>
      </c>
      <c r="G924" s="12"/>
      <c r="H924" s="12"/>
      <c r="I924" s="12"/>
      <c r="J924" s="12"/>
      <c r="K924" s="12"/>
      <c r="L924" s="12">
        <v>12000</v>
      </c>
      <c r="M924" s="15">
        <f t="shared" si="233"/>
        <v>4</v>
      </c>
      <c r="N924" s="15">
        <f t="shared" si="234"/>
        <v>0</v>
      </c>
      <c r="O924" s="12">
        <v>12000</v>
      </c>
      <c r="P924" s="12">
        <f t="shared" si="231"/>
        <v>1000</v>
      </c>
      <c r="Q924" s="12">
        <f t="shared" si="232"/>
        <v>1000</v>
      </c>
    </row>
    <row r="925" spans="1:18" x14ac:dyDescent="0.3">
      <c r="A925" s="1">
        <f t="shared" si="235"/>
        <v>5</v>
      </c>
      <c r="B925" s="2" t="s">
        <v>467</v>
      </c>
      <c r="C925" s="3" t="s">
        <v>452</v>
      </c>
      <c r="D925" s="12" t="s">
        <v>40</v>
      </c>
      <c r="E925" s="12" t="s">
        <v>40</v>
      </c>
      <c r="F925" s="12"/>
      <c r="G925" s="12"/>
      <c r="H925" s="12"/>
      <c r="I925" s="12"/>
      <c r="J925" s="12"/>
      <c r="K925" s="12"/>
      <c r="L925" s="12">
        <v>10275</v>
      </c>
      <c r="M925" s="15">
        <f t="shared" si="233"/>
        <v>2</v>
      </c>
      <c r="N925" s="15">
        <f t="shared" si="234"/>
        <v>0</v>
      </c>
      <c r="O925" s="12">
        <v>10275</v>
      </c>
      <c r="P925" s="12">
        <f t="shared" si="231"/>
        <v>856.25</v>
      </c>
      <c r="Q925" s="12">
        <f t="shared" si="232"/>
        <v>856.25</v>
      </c>
    </row>
    <row r="926" spans="1:18" x14ac:dyDescent="0.3">
      <c r="A926" s="1">
        <f t="shared" si="235"/>
        <v>6</v>
      </c>
      <c r="B926" s="4" t="s">
        <v>775</v>
      </c>
      <c r="C926" s="3" t="s">
        <v>452</v>
      </c>
      <c r="D926" s="12" t="s">
        <v>40</v>
      </c>
      <c r="E926" s="12" t="s">
        <v>40</v>
      </c>
      <c r="F926" s="12"/>
      <c r="G926" s="12"/>
      <c r="H926" s="12" t="s">
        <v>40</v>
      </c>
      <c r="I926" s="12" t="s">
        <v>40</v>
      </c>
      <c r="J926" s="12" t="s">
        <v>40</v>
      </c>
      <c r="K926" s="12"/>
      <c r="L926" s="12">
        <v>199000</v>
      </c>
      <c r="M926" s="15">
        <f t="shared" si="233"/>
        <v>20</v>
      </c>
      <c r="N926" s="15">
        <f t="shared" si="234"/>
        <v>0</v>
      </c>
      <c r="O926" s="20"/>
      <c r="P926" s="12">
        <f t="shared" si="231"/>
        <v>16583.333333333332</v>
      </c>
      <c r="Q926" s="20"/>
    </row>
    <row r="927" spans="1:18" x14ac:dyDescent="0.3">
      <c r="A927" s="1">
        <f t="shared" si="235"/>
        <v>7</v>
      </c>
      <c r="B927" s="4" t="s">
        <v>776</v>
      </c>
      <c r="C927" s="3" t="s">
        <v>452</v>
      </c>
      <c r="D927" s="12" t="s">
        <v>40</v>
      </c>
      <c r="E927" s="12" t="s">
        <v>40</v>
      </c>
      <c r="F927" s="12"/>
      <c r="G927" s="12"/>
      <c r="H927" s="12" t="s">
        <v>43</v>
      </c>
      <c r="I927" s="12"/>
      <c r="J927" s="12"/>
      <c r="K927" s="12"/>
      <c r="L927" s="12">
        <v>50000</v>
      </c>
      <c r="M927" s="15">
        <f t="shared" si="233"/>
        <v>3.5</v>
      </c>
      <c r="N927" s="15">
        <f t="shared" si="234"/>
        <v>0</v>
      </c>
      <c r="O927" s="12">
        <v>50000</v>
      </c>
      <c r="P927" s="12">
        <f t="shared" si="231"/>
        <v>4166.666666666667</v>
      </c>
      <c r="Q927" s="12">
        <f t="shared" si="232"/>
        <v>4166.666666666667</v>
      </c>
    </row>
    <row r="928" spans="1:18" x14ac:dyDescent="0.3">
      <c r="A928" s="1">
        <f t="shared" si="235"/>
        <v>8</v>
      </c>
      <c r="B928" s="4" t="s">
        <v>777</v>
      </c>
      <c r="C928" s="3" t="s">
        <v>452</v>
      </c>
      <c r="D928" s="12" t="s">
        <v>40</v>
      </c>
      <c r="E928" s="12" t="s">
        <v>40</v>
      </c>
      <c r="F928" s="12"/>
      <c r="G928" s="12"/>
      <c r="H928" s="12"/>
      <c r="I928" s="12"/>
      <c r="J928" s="12"/>
      <c r="K928" s="12"/>
      <c r="L928" s="12">
        <v>0</v>
      </c>
      <c r="M928" s="15">
        <f t="shared" si="233"/>
        <v>2</v>
      </c>
      <c r="N928" s="15">
        <f t="shared" si="234"/>
        <v>0</v>
      </c>
      <c r="O928" s="20"/>
      <c r="P928" s="12">
        <f t="shared" si="231"/>
        <v>0</v>
      </c>
      <c r="Q928" s="20"/>
    </row>
    <row r="929" spans="1:17" x14ac:dyDescent="0.3">
      <c r="A929" s="1">
        <f t="shared" si="235"/>
        <v>9</v>
      </c>
      <c r="B929" s="2">
        <v>22081767</v>
      </c>
      <c r="C929" s="3" t="s">
        <v>452</v>
      </c>
      <c r="D929" s="12" t="s">
        <v>40</v>
      </c>
      <c r="E929" s="12" t="s">
        <v>40</v>
      </c>
      <c r="F929" s="12"/>
      <c r="G929" s="12"/>
      <c r="H929" s="12" t="s">
        <v>40</v>
      </c>
      <c r="I929" s="12"/>
      <c r="J929" s="12"/>
      <c r="K929" s="12"/>
      <c r="L929" s="12">
        <v>60000</v>
      </c>
      <c r="M929" s="15">
        <f t="shared" si="233"/>
        <v>5</v>
      </c>
      <c r="N929" s="15">
        <f t="shared" si="234"/>
        <v>0</v>
      </c>
      <c r="O929" s="12">
        <v>60000</v>
      </c>
      <c r="P929" s="12">
        <f t="shared" si="231"/>
        <v>5000</v>
      </c>
      <c r="Q929" s="12">
        <f t="shared" si="232"/>
        <v>5000</v>
      </c>
    </row>
    <row r="930" spans="1:17" x14ac:dyDescent="0.3">
      <c r="A930" s="1">
        <f t="shared" si="235"/>
        <v>10</v>
      </c>
      <c r="B930" s="2" t="s">
        <v>780</v>
      </c>
      <c r="C930" s="3" t="s">
        <v>452</v>
      </c>
      <c r="D930" s="12" t="s">
        <v>40</v>
      </c>
      <c r="E930" s="12" t="s">
        <v>40</v>
      </c>
      <c r="F930" s="12" t="s">
        <v>40</v>
      </c>
      <c r="G930" s="12" t="s">
        <v>40</v>
      </c>
      <c r="H930" s="12" t="s">
        <v>40</v>
      </c>
      <c r="I930" s="12"/>
      <c r="J930" s="12"/>
      <c r="K930" s="12"/>
      <c r="L930" s="12">
        <v>28800</v>
      </c>
      <c r="M930" s="15">
        <f t="shared" si="233"/>
        <v>9</v>
      </c>
      <c r="N930" s="15">
        <f t="shared" si="234"/>
        <v>0</v>
      </c>
      <c r="O930" s="12">
        <v>28800</v>
      </c>
      <c r="P930" s="12">
        <f t="shared" si="231"/>
        <v>2400</v>
      </c>
      <c r="Q930" s="12">
        <f t="shared" si="232"/>
        <v>2400</v>
      </c>
    </row>
    <row r="931" spans="1:17" x14ac:dyDescent="0.3">
      <c r="A931" s="1">
        <f t="shared" si="235"/>
        <v>11</v>
      </c>
      <c r="B931" s="2" t="s">
        <v>473</v>
      </c>
      <c r="C931" s="3" t="s">
        <v>452</v>
      </c>
      <c r="D931" s="12" t="s">
        <v>40</v>
      </c>
      <c r="E931" s="12" t="s">
        <v>40</v>
      </c>
      <c r="F931" s="12"/>
      <c r="G931" s="12"/>
      <c r="H931" s="12" t="s">
        <v>40</v>
      </c>
      <c r="I931" s="12" t="s">
        <v>40</v>
      </c>
      <c r="J931" s="12" t="s">
        <v>40</v>
      </c>
      <c r="K931" s="12"/>
      <c r="L931" s="12">
        <v>156000</v>
      </c>
      <c r="M931" s="15">
        <f t="shared" si="233"/>
        <v>20</v>
      </c>
      <c r="N931" s="15">
        <f t="shared" si="234"/>
        <v>0</v>
      </c>
      <c r="O931" s="12">
        <v>156000</v>
      </c>
      <c r="P931" s="12">
        <f t="shared" si="231"/>
        <v>13000</v>
      </c>
      <c r="Q931" s="12">
        <f t="shared" si="232"/>
        <v>13000</v>
      </c>
    </row>
    <row r="932" spans="1:17" x14ac:dyDescent="0.3">
      <c r="A932" s="1">
        <f t="shared" si="235"/>
        <v>12</v>
      </c>
      <c r="B932" s="2" t="s">
        <v>475</v>
      </c>
      <c r="C932" s="3" t="s">
        <v>452</v>
      </c>
      <c r="D932" s="12" t="s">
        <v>40</v>
      </c>
      <c r="E932" s="12" t="s">
        <v>40</v>
      </c>
      <c r="F932" s="12"/>
      <c r="G932" s="12"/>
      <c r="H932" s="12"/>
      <c r="I932" s="12"/>
      <c r="J932" s="12"/>
      <c r="K932" s="12"/>
      <c r="L932" s="12">
        <v>0</v>
      </c>
      <c r="M932" s="15">
        <f t="shared" si="233"/>
        <v>2</v>
      </c>
      <c r="N932" s="15">
        <f t="shared" si="234"/>
        <v>0</v>
      </c>
      <c r="O932" s="20"/>
      <c r="P932" s="12">
        <f t="shared" si="231"/>
        <v>0</v>
      </c>
      <c r="Q932" s="20"/>
    </row>
    <row r="933" spans="1:17" x14ac:dyDescent="0.3">
      <c r="A933" s="1">
        <f t="shared" si="235"/>
        <v>13</v>
      </c>
      <c r="B933" s="4" t="s">
        <v>495</v>
      </c>
      <c r="C933" s="3" t="s">
        <v>452</v>
      </c>
      <c r="D933" s="12" t="s">
        <v>40</v>
      </c>
      <c r="E933" s="12" t="s">
        <v>40</v>
      </c>
      <c r="F933" s="12"/>
      <c r="G933" s="12"/>
      <c r="H933" s="12" t="s">
        <v>40</v>
      </c>
      <c r="I933" s="12"/>
      <c r="J933" s="12"/>
      <c r="K933" s="12"/>
      <c r="L933" s="12">
        <v>15000</v>
      </c>
      <c r="M933" s="15">
        <f t="shared" si="233"/>
        <v>5</v>
      </c>
      <c r="N933" s="15">
        <f t="shared" si="234"/>
        <v>0</v>
      </c>
      <c r="O933" s="12">
        <v>15000</v>
      </c>
      <c r="P933" s="12">
        <f t="shared" si="231"/>
        <v>1250</v>
      </c>
      <c r="Q933" s="12">
        <f t="shared" si="232"/>
        <v>1250</v>
      </c>
    </row>
    <row r="934" spans="1:17" x14ac:dyDescent="0.3">
      <c r="A934" s="1">
        <f t="shared" si="235"/>
        <v>14</v>
      </c>
      <c r="B934" s="2" t="s">
        <v>476</v>
      </c>
      <c r="C934" s="3" t="s">
        <v>452</v>
      </c>
      <c r="D934" s="12" t="s">
        <v>40</v>
      </c>
      <c r="E934" s="12" t="s">
        <v>40</v>
      </c>
      <c r="F934" s="12"/>
      <c r="G934" s="12"/>
      <c r="H934" s="12"/>
      <c r="I934" s="12"/>
      <c r="J934" s="12"/>
      <c r="K934" s="12"/>
      <c r="L934" s="12">
        <v>0</v>
      </c>
      <c r="M934" s="15">
        <f t="shared" si="233"/>
        <v>2</v>
      </c>
      <c r="N934" s="15">
        <f t="shared" si="234"/>
        <v>0</v>
      </c>
      <c r="O934" s="20"/>
      <c r="P934" s="12">
        <f t="shared" si="231"/>
        <v>0</v>
      </c>
      <c r="Q934" s="20"/>
    </row>
    <row r="935" spans="1:17" x14ac:dyDescent="0.3">
      <c r="A935" s="1">
        <f t="shared" si="235"/>
        <v>15</v>
      </c>
      <c r="B935" s="2" t="s">
        <v>781</v>
      </c>
      <c r="C935" s="3" t="s">
        <v>452</v>
      </c>
      <c r="D935" s="12" t="s">
        <v>40</v>
      </c>
      <c r="E935" s="12" t="s">
        <v>40</v>
      </c>
      <c r="F935" s="12" t="s">
        <v>40</v>
      </c>
      <c r="G935" s="12"/>
      <c r="H935" s="12"/>
      <c r="I935" s="12"/>
      <c r="J935" s="12"/>
      <c r="K935" s="12"/>
      <c r="L935" s="12">
        <v>0</v>
      </c>
      <c r="M935" s="15">
        <f t="shared" si="233"/>
        <v>4</v>
      </c>
      <c r="N935" s="15">
        <f t="shared" si="234"/>
        <v>0</v>
      </c>
      <c r="O935" s="20"/>
      <c r="P935" s="12">
        <f t="shared" si="231"/>
        <v>0</v>
      </c>
      <c r="Q935" s="20"/>
    </row>
    <row r="936" spans="1:17" x14ac:dyDescent="0.3">
      <c r="A936" s="1">
        <f t="shared" si="235"/>
        <v>16</v>
      </c>
      <c r="B936" s="2" t="s">
        <v>480</v>
      </c>
      <c r="C936" s="3" t="s">
        <v>452</v>
      </c>
      <c r="D936" s="12" t="s">
        <v>40</v>
      </c>
      <c r="E936" s="12" t="s">
        <v>40</v>
      </c>
      <c r="F936" s="12"/>
      <c r="G936" s="12"/>
      <c r="H936" s="12"/>
      <c r="I936" s="12"/>
      <c r="J936" s="12"/>
      <c r="K936" s="12"/>
      <c r="L936" s="12">
        <v>0</v>
      </c>
      <c r="M936" s="15">
        <f t="shared" si="233"/>
        <v>2</v>
      </c>
      <c r="N936" s="15">
        <f t="shared" si="234"/>
        <v>0</v>
      </c>
      <c r="O936" s="20"/>
      <c r="P936" s="12">
        <f t="shared" si="231"/>
        <v>0</v>
      </c>
      <c r="Q936" s="20"/>
    </row>
    <row r="937" spans="1:17" x14ac:dyDescent="0.3">
      <c r="A937" s="1">
        <f t="shared" si="235"/>
        <v>17</v>
      </c>
      <c r="B937" s="2">
        <v>21142650</v>
      </c>
      <c r="C937" s="3" t="s">
        <v>452</v>
      </c>
      <c r="D937" s="12" t="s">
        <v>40</v>
      </c>
      <c r="E937" s="12" t="s">
        <v>40</v>
      </c>
      <c r="F937" s="12"/>
      <c r="G937" s="12"/>
      <c r="H937" s="12" t="s">
        <v>40</v>
      </c>
      <c r="I937" s="12"/>
      <c r="J937" s="12"/>
      <c r="K937" s="12"/>
      <c r="L937" s="12">
        <v>20000</v>
      </c>
      <c r="M937" s="15">
        <f t="shared" si="233"/>
        <v>5</v>
      </c>
      <c r="N937" s="15">
        <f t="shared" si="234"/>
        <v>0</v>
      </c>
      <c r="O937" s="12">
        <v>20000</v>
      </c>
      <c r="P937" s="12">
        <f t="shared" si="231"/>
        <v>1666.6666666666667</v>
      </c>
      <c r="Q937" s="12">
        <f t="shared" si="232"/>
        <v>1666.6666666666667</v>
      </c>
    </row>
    <row r="938" spans="1:17" x14ac:dyDescent="0.3">
      <c r="A938" s="1">
        <f t="shared" si="235"/>
        <v>18</v>
      </c>
      <c r="B938" s="2" t="s">
        <v>782</v>
      </c>
      <c r="C938" s="3" t="s">
        <v>452</v>
      </c>
      <c r="D938" s="12" t="s">
        <v>40</v>
      </c>
      <c r="E938" s="12" t="s">
        <v>40</v>
      </c>
      <c r="F938" s="12"/>
      <c r="G938" s="12"/>
      <c r="H938" s="12"/>
      <c r="I938" s="12"/>
      <c r="J938" s="12"/>
      <c r="K938" s="12"/>
      <c r="L938" s="12">
        <v>0</v>
      </c>
      <c r="M938" s="15">
        <f t="shared" si="233"/>
        <v>2</v>
      </c>
      <c r="N938" s="15">
        <f t="shared" si="234"/>
        <v>0</v>
      </c>
      <c r="O938" s="20"/>
      <c r="P938" s="12">
        <f t="shared" si="231"/>
        <v>0</v>
      </c>
      <c r="Q938" s="20"/>
    </row>
    <row r="939" spans="1:17" x14ac:dyDescent="0.3">
      <c r="A939" s="1">
        <f t="shared" si="235"/>
        <v>19</v>
      </c>
      <c r="B939" s="10"/>
      <c r="C939" s="9"/>
      <c r="D939" s="13"/>
      <c r="E939" s="13"/>
      <c r="F939" s="13"/>
      <c r="G939" s="13"/>
      <c r="H939" s="13"/>
      <c r="I939" s="13"/>
      <c r="J939" s="13"/>
      <c r="K939" s="13"/>
      <c r="L939" s="13"/>
      <c r="M939" s="16"/>
      <c r="N939" s="16"/>
      <c r="O939" s="13"/>
      <c r="P939" s="13"/>
      <c r="Q939" s="13"/>
    </row>
    <row r="940" spans="1:17" x14ac:dyDescent="0.3">
      <c r="A940" s="1">
        <f t="shared" si="235"/>
        <v>20</v>
      </c>
      <c r="B940" s="2" t="s">
        <v>485</v>
      </c>
      <c r="C940" s="3" t="s">
        <v>452</v>
      </c>
      <c r="D940" s="12" t="s">
        <v>40</v>
      </c>
      <c r="E940" s="12" t="s">
        <v>40</v>
      </c>
      <c r="F940" s="12"/>
      <c r="G940" s="12"/>
      <c r="H940" s="12"/>
      <c r="I940" s="12"/>
      <c r="J940" s="12"/>
      <c r="K940" s="12"/>
      <c r="L940" s="12">
        <v>0</v>
      </c>
      <c r="M940" s="15">
        <f t="shared" si="233"/>
        <v>2</v>
      </c>
      <c r="N940" s="15">
        <f t="shared" si="234"/>
        <v>0</v>
      </c>
      <c r="O940" s="20"/>
      <c r="P940" s="12">
        <f t="shared" ref="P940" si="236">+L940/12</f>
        <v>0</v>
      </c>
      <c r="Q940" s="20"/>
    </row>
    <row r="941" spans="1:17" x14ac:dyDescent="0.3">
      <c r="A941" s="1">
        <f t="shared" si="235"/>
        <v>21</v>
      </c>
      <c r="B941" s="2" t="s">
        <v>486</v>
      </c>
      <c r="C941" s="3" t="s">
        <v>452</v>
      </c>
      <c r="D941" s="12" t="s">
        <v>40</v>
      </c>
      <c r="E941" s="12" t="s">
        <v>40</v>
      </c>
      <c r="F941" s="12"/>
      <c r="G941" s="12"/>
      <c r="H941" s="12"/>
      <c r="I941" s="12"/>
      <c r="J941" s="12"/>
      <c r="K941" s="12" t="s">
        <v>40</v>
      </c>
      <c r="L941" s="12">
        <v>24000</v>
      </c>
      <c r="M941" s="15">
        <f t="shared" si="233"/>
        <v>2</v>
      </c>
      <c r="N941" s="15">
        <f t="shared" si="234"/>
        <v>1</v>
      </c>
      <c r="O941" s="12">
        <v>24000</v>
      </c>
      <c r="P941" s="12">
        <f t="shared" si="231"/>
        <v>2000</v>
      </c>
      <c r="Q941" s="12">
        <f t="shared" si="232"/>
        <v>2000</v>
      </c>
    </row>
    <row r="942" spans="1:17" x14ac:dyDescent="0.3">
      <c r="A942" s="1">
        <f t="shared" si="235"/>
        <v>22</v>
      </c>
      <c r="B942" s="2" t="s">
        <v>492</v>
      </c>
      <c r="C942" s="3" t="s">
        <v>452</v>
      </c>
      <c r="D942" s="12" t="s">
        <v>40</v>
      </c>
      <c r="E942" s="12" t="s">
        <v>40</v>
      </c>
      <c r="F942" s="12"/>
      <c r="G942" s="12"/>
      <c r="H942" s="12"/>
      <c r="I942" s="12"/>
      <c r="J942" s="12"/>
      <c r="K942" s="12"/>
      <c r="L942" s="12">
        <v>0</v>
      </c>
      <c r="M942" s="15">
        <f t="shared" si="233"/>
        <v>2</v>
      </c>
      <c r="N942" s="15">
        <f t="shared" si="234"/>
        <v>0</v>
      </c>
      <c r="O942" s="20"/>
      <c r="P942" s="12">
        <f t="shared" si="231"/>
        <v>0</v>
      </c>
      <c r="Q942" s="20"/>
    </row>
    <row r="943" spans="1:17" x14ac:dyDescent="0.3">
      <c r="A943" s="1">
        <f t="shared" si="235"/>
        <v>23</v>
      </c>
      <c r="B943" s="2">
        <v>10419588</v>
      </c>
      <c r="C943" s="3" t="s">
        <v>452</v>
      </c>
      <c r="D943" s="12" t="s">
        <v>40</v>
      </c>
      <c r="E943" s="12" t="s">
        <v>40</v>
      </c>
      <c r="F943" s="12"/>
      <c r="G943" s="12"/>
      <c r="H943" s="12" t="s">
        <v>40</v>
      </c>
      <c r="I943" s="12"/>
      <c r="J943" s="12"/>
      <c r="K943" s="12"/>
      <c r="L943" s="12">
        <v>0</v>
      </c>
      <c r="M943" s="15">
        <f t="shared" si="233"/>
        <v>5</v>
      </c>
      <c r="N943" s="15">
        <f t="shared" si="234"/>
        <v>0</v>
      </c>
      <c r="O943" s="20"/>
      <c r="P943" s="12">
        <f t="shared" si="231"/>
        <v>0</v>
      </c>
      <c r="Q943" s="20"/>
    </row>
    <row r="944" spans="1:17" x14ac:dyDescent="0.3">
      <c r="A944" s="1">
        <f t="shared" si="235"/>
        <v>24</v>
      </c>
      <c r="B944" s="2">
        <v>10442760</v>
      </c>
      <c r="C944" s="3" t="s">
        <v>452</v>
      </c>
      <c r="D944" s="12" t="s">
        <v>40</v>
      </c>
      <c r="E944" s="12" t="s">
        <v>40</v>
      </c>
      <c r="F944" s="12"/>
      <c r="G944" s="12"/>
      <c r="H944" s="12"/>
      <c r="I944" s="12"/>
      <c r="J944" s="12"/>
      <c r="K944" s="12"/>
      <c r="L944" s="12">
        <v>0</v>
      </c>
      <c r="M944" s="15">
        <f t="shared" si="233"/>
        <v>2</v>
      </c>
      <c r="N944" s="15">
        <f t="shared" si="234"/>
        <v>0</v>
      </c>
      <c r="O944" s="20"/>
      <c r="P944" s="12">
        <f t="shared" si="231"/>
        <v>0</v>
      </c>
      <c r="Q944" s="20"/>
    </row>
    <row r="945" spans="1:18" x14ac:dyDescent="0.3">
      <c r="A945" s="1">
        <f t="shared" si="235"/>
        <v>25</v>
      </c>
      <c r="B945" s="2">
        <v>25707576</v>
      </c>
      <c r="C945" s="3" t="s">
        <v>452</v>
      </c>
      <c r="D945" s="12" t="s">
        <v>40</v>
      </c>
      <c r="E945" s="12" t="s">
        <v>40</v>
      </c>
      <c r="F945" s="12" t="s">
        <v>40</v>
      </c>
      <c r="G945" s="12" t="s">
        <v>40</v>
      </c>
      <c r="H945" s="12"/>
      <c r="I945" s="12"/>
      <c r="J945" s="12"/>
      <c r="K945" s="12"/>
      <c r="L945" s="12">
        <v>15000</v>
      </c>
      <c r="M945" s="15">
        <f t="shared" si="233"/>
        <v>6</v>
      </c>
      <c r="N945" s="15">
        <f t="shared" si="234"/>
        <v>0</v>
      </c>
      <c r="O945" s="12">
        <v>15000</v>
      </c>
      <c r="P945" s="12">
        <f t="shared" si="231"/>
        <v>1250</v>
      </c>
      <c r="Q945" s="12">
        <f t="shared" si="232"/>
        <v>1250</v>
      </c>
    </row>
    <row r="946" spans="1:18" x14ac:dyDescent="0.3">
      <c r="A946" s="1">
        <f t="shared" si="235"/>
        <v>26</v>
      </c>
      <c r="B946" s="2">
        <v>25724565</v>
      </c>
      <c r="C946" s="3" t="s">
        <v>452</v>
      </c>
      <c r="D946" s="12" t="s">
        <v>40</v>
      </c>
      <c r="E946" s="12" t="s">
        <v>40</v>
      </c>
      <c r="F946" s="12"/>
      <c r="G946" s="12"/>
      <c r="H946" s="12"/>
      <c r="I946" s="12"/>
      <c r="J946" s="12"/>
      <c r="K946" s="12"/>
      <c r="L946" s="12">
        <v>0</v>
      </c>
      <c r="M946" s="15">
        <f t="shared" si="233"/>
        <v>2</v>
      </c>
      <c r="N946" s="15">
        <f t="shared" si="234"/>
        <v>0</v>
      </c>
      <c r="O946" s="20"/>
      <c r="P946" s="12">
        <f t="shared" si="231"/>
        <v>0</v>
      </c>
      <c r="Q946" s="20"/>
    </row>
    <row r="947" spans="1:18" x14ac:dyDescent="0.3">
      <c r="A947" s="1">
        <f t="shared" si="235"/>
        <v>27</v>
      </c>
      <c r="B947" s="4" t="s">
        <v>778</v>
      </c>
      <c r="C947" s="3" t="s">
        <v>452</v>
      </c>
      <c r="D947" s="12" t="s">
        <v>40</v>
      </c>
      <c r="E947" s="12" t="s">
        <v>40</v>
      </c>
      <c r="F947" s="12"/>
      <c r="G947" s="12"/>
      <c r="H947" s="12" t="s">
        <v>40</v>
      </c>
      <c r="I947" s="12"/>
      <c r="J947" s="12"/>
      <c r="K947" s="12" t="s">
        <v>40</v>
      </c>
      <c r="L947" s="12">
        <v>0</v>
      </c>
      <c r="M947" s="15">
        <f t="shared" si="233"/>
        <v>5</v>
      </c>
      <c r="N947" s="15">
        <f t="shared" si="234"/>
        <v>1</v>
      </c>
      <c r="O947" s="20"/>
      <c r="P947" s="12">
        <f t="shared" si="231"/>
        <v>0</v>
      </c>
      <c r="Q947" s="20"/>
    </row>
    <row r="948" spans="1:18" x14ac:dyDescent="0.3">
      <c r="A948" s="1">
        <f t="shared" si="235"/>
        <v>28</v>
      </c>
      <c r="B948" s="2">
        <v>43790584</v>
      </c>
      <c r="C948" s="3" t="s">
        <v>452</v>
      </c>
      <c r="D948" s="12" t="s">
        <v>40</v>
      </c>
      <c r="E948" s="12" t="s">
        <v>40</v>
      </c>
      <c r="F948" s="12"/>
      <c r="G948" s="12"/>
      <c r="H948" s="12"/>
      <c r="I948" s="12"/>
      <c r="J948" s="12"/>
      <c r="K948" s="12"/>
      <c r="L948" s="12">
        <v>0</v>
      </c>
      <c r="M948" s="15">
        <f t="shared" si="233"/>
        <v>2</v>
      </c>
      <c r="N948" s="15">
        <f t="shared" si="234"/>
        <v>0</v>
      </c>
      <c r="O948" s="20"/>
      <c r="P948" s="12">
        <f t="shared" si="231"/>
        <v>0</v>
      </c>
      <c r="Q948" s="20"/>
    </row>
    <row r="949" spans="1:18" x14ac:dyDescent="0.3">
      <c r="A949" s="1">
        <f t="shared" si="235"/>
        <v>29</v>
      </c>
      <c r="B949" s="2" t="s">
        <v>477</v>
      </c>
      <c r="C949" s="3" t="s">
        <v>452</v>
      </c>
      <c r="D949" s="12" t="s">
        <v>40</v>
      </c>
      <c r="E949" s="12" t="s">
        <v>40</v>
      </c>
      <c r="F949" s="12"/>
      <c r="G949" s="12"/>
      <c r="H949" s="12"/>
      <c r="I949" s="12"/>
      <c r="J949" s="12"/>
      <c r="K949" s="12"/>
      <c r="L949" s="12">
        <v>0</v>
      </c>
      <c r="M949" s="15">
        <f t="shared" si="233"/>
        <v>2</v>
      </c>
      <c r="N949" s="15">
        <f t="shared" si="234"/>
        <v>0</v>
      </c>
      <c r="O949" s="20"/>
      <c r="P949" s="12">
        <f t="shared" si="231"/>
        <v>0</v>
      </c>
      <c r="Q949" s="20"/>
    </row>
    <row r="950" spans="1:18" x14ac:dyDescent="0.3">
      <c r="A950" s="1">
        <f t="shared" si="235"/>
        <v>30</v>
      </c>
      <c r="B950" s="4" t="s">
        <v>779</v>
      </c>
      <c r="C950" s="3" t="s">
        <v>452</v>
      </c>
      <c r="D950" s="12"/>
      <c r="E950" s="12"/>
      <c r="F950" s="12"/>
      <c r="G950" s="12"/>
      <c r="H950" s="12"/>
      <c r="I950" s="12"/>
      <c r="J950" s="12"/>
      <c r="K950" s="12"/>
      <c r="L950" s="12">
        <v>0</v>
      </c>
      <c r="M950" s="15">
        <f t="shared" si="233"/>
        <v>0</v>
      </c>
      <c r="N950" s="15">
        <f t="shared" si="234"/>
        <v>0</v>
      </c>
      <c r="O950" s="20"/>
      <c r="P950" s="12">
        <f t="shared" si="231"/>
        <v>0</v>
      </c>
      <c r="Q950" s="20"/>
    </row>
    <row r="951" spans="1:18" x14ac:dyDescent="0.3">
      <c r="B951" s="29"/>
      <c r="L951" s="14">
        <f>+AVERAGE(L921:L950)</f>
        <v>24081.413793103449</v>
      </c>
      <c r="M951" s="14">
        <f>+AVERAGE(M921:M950)</f>
        <v>4.7758620689655169</v>
      </c>
      <c r="N951" s="14">
        <f>+SUM(N921:N950)</f>
        <v>2</v>
      </c>
      <c r="O951" s="14">
        <f>+AVERAGE(O921:O950)</f>
        <v>38412.384615384617</v>
      </c>
      <c r="P951" s="14">
        <f>+AVERAGE(P921:P950)</f>
        <v>2006.7844827586205</v>
      </c>
      <c r="Q951" s="14">
        <f>+AVERAGE(Q921:Q950)</f>
        <v>3201.0320512820513</v>
      </c>
      <c r="R951" s="14">
        <f>30-COUNTBLANK(R921:R950)</f>
        <v>0</v>
      </c>
    </row>
    <row r="952" spans="1:18" x14ac:dyDescent="0.3">
      <c r="L952" s="14">
        <f>+STDEV(L921:L950)</f>
        <v>46255.675946322866</v>
      </c>
      <c r="M952" s="14">
        <f>+STDEV(M921:M950)</f>
        <v>4.7501620402747307</v>
      </c>
      <c r="N952" s="17"/>
      <c r="O952" s="14">
        <f>+STDEV(O921:O950)</f>
        <v>38668.812828812625</v>
      </c>
      <c r="P952" s="14">
        <f>+STDEV(P921:P950)</f>
        <v>3854.6396621935719</v>
      </c>
      <c r="Q952" s="14">
        <f>+STDEV(Q921:Q950)</f>
        <v>3222.4010690677187</v>
      </c>
    </row>
    <row r="953" spans="1:18" x14ac:dyDescent="0.3">
      <c r="I953" s="15"/>
      <c r="J953" s="15"/>
      <c r="K953" s="11" t="s">
        <v>75</v>
      </c>
      <c r="L953" s="14">
        <f>+COUNTIF(L921:L950,0)</f>
        <v>15</v>
      </c>
      <c r="M953" s="14">
        <f>+COUNT(M921:M950)</f>
        <v>29</v>
      </c>
      <c r="P953" s="14">
        <f>+COUNTIF(P921:P950,0)</f>
        <v>15</v>
      </c>
    </row>
    <row r="955" spans="1:18" x14ac:dyDescent="0.3">
      <c r="A955" s="1">
        <v>1</v>
      </c>
      <c r="B955" s="4" t="s">
        <v>796</v>
      </c>
      <c r="C955" s="3" t="s">
        <v>453</v>
      </c>
      <c r="D955" s="12" t="s">
        <v>40</v>
      </c>
      <c r="E955" s="12" t="s">
        <v>40</v>
      </c>
      <c r="F955" s="12" t="s">
        <v>40</v>
      </c>
      <c r="G955" s="12"/>
      <c r="H955" s="12" t="s">
        <v>40</v>
      </c>
      <c r="I955" s="12"/>
      <c r="J955" s="12"/>
      <c r="K955" s="12"/>
      <c r="L955" s="12">
        <v>221554</v>
      </c>
      <c r="M955" s="15">
        <f>+IF(D955="X",1,0)+IF(E955="X",1,0)+IF(F955="X",2,0)+IF(G955="X",2,0)+IF(H955="X",3,IF(H955="Y",1.5,0))+IF(I955="X",5,IF(I955="Y",2.5,0))+IF(J955="X",10,IF(J955="Y",5,0))</f>
        <v>7</v>
      </c>
      <c r="N955" s="15">
        <f>+IF(K955="X",1,0)</f>
        <v>0</v>
      </c>
      <c r="O955" s="12">
        <v>221554</v>
      </c>
      <c r="P955" s="12">
        <f t="shared" ref="P955:P984" si="237">+L955/12</f>
        <v>18462.833333333332</v>
      </c>
      <c r="Q955" s="12">
        <f t="shared" ref="Q955:Q984" si="238">+O955/12</f>
        <v>18462.833333333332</v>
      </c>
    </row>
    <row r="956" spans="1:18" x14ac:dyDescent="0.3">
      <c r="A956" s="1">
        <f>+A955+1</f>
        <v>2</v>
      </c>
      <c r="B956" s="2" t="s">
        <v>783</v>
      </c>
      <c r="C956" s="3" t="s">
        <v>453</v>
      </c>
      <c r="D956" s="12" t="s">
        <v>40</v>
      </c>
      <c r="E956" s="12" t="s">
        <v>40</v>
      </c>
      <c r="F956" s="12" t="s">
        <v>40</v>
      </c>
      <c r="G956" s="12"/>
      <c r="H956" s="12" t="s">
        <v>40</v>
      </c>
      <c r="I956" s="12"/>
      <c r="J956" s="12"/>
      <c r="K956" s="12"/>
      <c r="L956" s="12">
        <v>28000</v>
      </c>
      <c r="M956" s="15">
        <f t="shared" ref="M956:M984" si="239">+IF(D956="X",1,0)+IF(E956="X",1,0)+IF(F956="X",2,0)+IF(G956="X",2,0)+IF(H956="X",3,IF(H956="Y",1.5,0))+IF(I956="X",5,IF(I956="Y",2.5,0))+IF(J956="X",10,IF(J956="Y",5,0))</f>
        <v>7</v>
      </c>
      <c r="N956" s="15">
        <f t="shared" ref="N956:N984" si="240">+IF(K956="X",1,0)</f>
        <v>0</v>
      </c>
      <c r="O956" s="12">
        <v>28000</v>
      </c>
      <c r="P956" s="12">
        <f t="shared" si="237"/>
        <v>2333.3333333333335</v>
      </c>
      <c r="Q956" s="12">
        <f t="shared" si="238"/>
        <v>2333.3333333333335</v>
      </c>
    </row>
    <row r="957" spans="1:18" x14ac:dyDescent="0.3">
      <c r="A957" s="1">
        <f t="shared" ref="A957:A984" si="241">+A956+1</f>
        <v>3</v>
      </c>
      <c r="B957" s="2">
        <v>20563238</v>
      </c>
      <c r="C957" s="3" t="s">
        <v>453</v>
      </c>
      <c r="D957" s="12" t="s">
        <v>40</v>
      </c>
      <c r="E957" s="12" t="s">
        <v>40</v>
      </c>
      <c r="F957" s="12"/>
      <c r="G957" s="12"/>
      <c r="H957" s="12" t="s">
        <v>40</v>
      </c>
      <c r="I957" s="12"/>
      <c r="J957" s="12"/>
      <c r="K957" s="12"/>
      <c r="L957" s="12">
        <v>42000</v>
      </c>
      <c r="M957" s="15">
        <f t="shared" si="239"/>
        <v>5</v>
      </c>
      <c r="N957" s="15">
        <f t="shared" si="240"/>
        <v>0</v>
      </c>
      <c r="O957" s="12">
        <v>42000</v>
      </c>
      <c r="P957" s="12">
        <f t="shared" si="237"/>
        <v>3500</v>
      </c>
      <c r="Q957" s="12">
        <f t="shared" si="238"/>
        <v>3500</v>
      </c>
    </row>
    <row r="958" spans="1:18" x14ac:dyDescent="0.3">
      <c r="A958" s="1">
        <f t="shared" si="241"/>
        <v>4</v>
      </c>
      <c r="B958" s="2" t="s">
        <v>784</v>
      </c>
      <c r="C958" s="3" t="s">
        <v>453</v>
      </c>
      <c r="D958" s="12" t="s">
        <v>40</v>
      </c>
      <c r="E958" s="12" t="s">
        <v>40</v>
      </c>
      <c r="F958" s="12" t="s">
        <v>40</v>
      </c>
      <c r="G958" s="12"/>
      <c r="H958" s="12"/>
      <c r="I958" s="12"/>
      <c r="J958" s="12"/>
      <c r="K958" s="12"/>
      <c r="L958" s="12">
        <v>24000</v>
      </c>
      <c r="M958" s="15">
        <f t="shared" si="239"/>
        <v>4</v>
      </c>
      <c r="N958" s="15">
        <f t="shared" si="240"/>
        <v>0</v>
      </c>
      <c r="O958" s="12">
        <v>24000</v>
      </c>
      <c r="P958" s="12">
        <f t="shared" si="237"/>
        <v>2000</v>
      </c>
      <c r="Q958" s="12">
        <f t="shared" si="238"/>
        <v>2000</v>
      </c>
    </row>
    <row r="959" spans="1:18" x14ac:dyDescent="0.3">
      <c r="A959" s="1">
        <f t="shared" si="241"/>
        <v>5</v>
      </c>
      <c r="B959" s="2">
        <v>40818054</v>
      </c>
      <c r="C959" s="3" t="s">
        <v>453</v>
      </c>
      <c r="D959" s="12" t="s">
        <v>40</v>
      </c>
      <c r="E959" s="12" t="s">
        <v>40</v>
      </c>
      <c r="F959" s="12" t="s">
        <v>40</v>
      </c>
      <c r="G959" s="12"/>
      <c r="H959" s="12"/>
      <c r="I959" s="12"/>
      <c r="J959" s="12"/>
      <c r="K959" s="12"/>
      <c r="L959" s="12">
        <v>26400</v>
      </c>
      <c r="M959" s="15">
        <f t="shared" si="239"/>
        <v>4</v>
      </c>
      <c r="N959" s="15">
        <f t="shared" si="240"/>
        <v>0</v>
      </c>
      <c r="O959" s="12">
        <v>26400</v>
      </c>
      <c r="P959" s="12">
        <f t="shared" si="237"/>
        <v>2200</v>
      </c>
      <c r="Q959" s="12">
        <f t="shared" si="238"/>
        <v>2200</v>
      </c>
    </row>
    <row r="960" spans="1:18" x14ac:dyDescent="0.3">
      <c r="A960" s="1">
        <f t="shared" si="241"/>
        <v>6</v>
      </c>
      <c r="B960" s="4" t="s">
        <v>797</v>
      </c>
      <c r="C960" s="3" t="s">
        <v>453</v>
      </c>
      <c r="D960" s="12" t="s">
        <v>40</v>
      </c>
      <c r="E960" s="12" t="s">
        <v>40</v>
      </c>
      <c r="F960" s="12"/>
      <c r="G960" s="12"/>
      <c r="H960" s="12" t="s">
        <v>40</v>
      </c>
      <c r="I960" s="12"/>
      <c r="J960" s="12"/>
      <c r="K960" s="12"/>
      <c r="L960" s="12">
        <v>117685.69</v>
      </c>
      <c r="M960" s="15">
        <f t="shared" si="239"/>
        <v>5</v>
      </c>
      <c r="N960" s="15">
        <f t="shared" si="240"/>
        <v>0</v>
      </c>
      <c r="O960" s="12">
        <v>117685.69</v>
      </c>
      <c r="P960" s="12">
        <f t="shared" si="237"/>
        <v>9807.1408333333329</v>
      </c>
      <c r="Q960" s="12">
        <f t="shared" si="238"/>
        <v>9807.1408333333329</v>
      </c>
    </row>
    <row r="961" spans="1:17" x14ac:dyDescent="0.3">
      <c r="A961" s="1">
        <f t="shared" si="241"/>
        <v>7</v>
      </c>
      <c r="B961" s="2">
        <v>18906774</v>
      </c>
      <c r="C961" s="3" t="s">
        <v>453</v>
      </c>
      <c r="D961" s="12" t="s">
        <v>40</v>
      </c>
      <c r="E961" s="12" t="s">
        <v>40</v>
      </c>
      <c r="F961" s="12"/>
      <c r="G961" s="12"/>
      <c r="H961" s="12" t="s">
        <v>40</v>
      </c>
      <c r="I961" s="12"/>
      <c r="J961" s="12"/>
      <c r="K961" s="12"/>
      <c r="L961" s="12">
        <v>13500</v>
      </c>
      <c r="M961" s="15">
        <f t="shared" si="239"/>
        <v>5</v>
      </c>
      <c r="N961" s="15">
        <f t="shared" si="240"/>
        <v>0</v>
      </c>
      <c r="O961" s="12">
        <v>13500</v>
      </c>
      <c r="P961" s="12">
        <f t="shared" si="237"/>
        <v>1125</v>
      </c>
      <c r="Q961" s="12">
        <f t="shared" si="238"/>
        <v>1125</v>
      </c>
    </row>
    <row r="962" spans="1:17" x14ac:dyDescent="0.3">
      <c r="A962" s="1">
        <f t="shared" si="241"/>
        <v>8</v>
      </c>
      <c r="B962" s="2" t="s">
        <v>785</v>
      </c>
      <c r="C962" s="3" t="s">
        <v>453</v>
      </c>
      <c r="D962" s="12" t="s">
        <v>40</v>
      </c>
      <c r="E962" s="12" t="s">
        <v>40</v>
      </c>
      <c r="F962" s="12"/>
      <c r="G962" s="12"/>
      <c r="H962" s="12" t="s">
        <v>40</v>
      </c>
      <c r="I962" s="12"/>
      <c r="J962" s="12"/>
      <c r="K962" s="12"/>
      <c r="L962" s="12">
        <v>190000</v>
      </c>
      <c r="M962" s="15">
        <f t="shared" si="239"/>
        <v>5</v>
      </c>
      <c r="N962" s="15">
        <f t="shared" si="240"/>
        <v>0</v>
      </c>
      <c r="O962" s="12">
        <v>190000</v>
      </c>
      <c r="P962" s="12">
        <f t="shared" si="237"/>
        <v>15833.333333333334</v>
      </c>
      <c r="Q962" s="12">
        <f t="shared" si="238"/>
        <v>15833.333333333334</v>
      </c>
    </row>
    <row r="963" spans="1:17" x14ac:dyDescent="0.3">
      <c r="A963" s="1">
        <f t="shared" si="241"/>
        <v>9</v>
      </c>
      <c r="B963" s="2" t="s">
        <v>786</v>
      </c>
      <c r="C963" s="3" t="s">
        <v>453</v>
      </c>
      <c r="D963" s="12" t="s">
        <v>40</v>
      </c>
      <c r="E963" s="12" t="s">
        <v>40</v>
      </c>
      <c r="F963" s="12" t="s">
        <v>40</v>
      </c>
      <c r="G963" s="12"/>
      <c r="H963" s="12" t="s">
        <v>43</v>
      </c>
      <c r="I963" s="12"/>
      <c r="J963" s="12"/>
      <c r="K963" s="12"/>
      <c r="L963" s="12">
        <v>0</v>
      </c>
      <c r="M963" s="15">
        <f t="shared" si="239"/>
        <v>5.5</v>
      </c>
      <c r="N963" s="15">
        <f t="shared" si="240"/>
        <v>0</v>
      </c>
      <c r="O963" s="20"/>
      <c r="P963" s="12">
        <f t="shared" si="237"/>
        <v>0</v>
      </c>
      <c r="Q963" s="20"/>
    </row>
    <row r="964" spans="1:17" x14ac:dyDescent="0.3">
      <c r="A964" s="1">
        <f t="shared" si="241"/>
        <v>10</v>
      </c>
      <c r="B964" s="2">
        <v>25723190</v>
      </c>
      <c r="C964" s="3" t="s">
        <v>453</v>
      </c>
      <c r="D964" s="12" t="s">
        <v>40</v>
      </c>
      <c r="E964" s="12" t="s">
        <v>40</v>
      </c>
      <c r="F964" s="12"/>
      <c r="G964" s="12"/>
      <c r="H964" s="12"/>
      <c r="I964" s="12"/>
      <c r="J964" s="12"/>
      <c r="K964" s="12"/>
      <c r="L964" s="12">
        <v>0</v>
      </c>
      <c r="M964" s="15">
        <f t="shared" si="239"/>
        <v>2</v>
      </c>
      <c r="N964" s="15">
        <f t="shared" si="240"/>
        <v>0</v>
      </c>
      <c r="O964" s="20"/>
      <c r="P964" s="12">
        <f t="shared" si="237"/>
        <v>0</v>
      </c>
      <c r="Q964" s="20"/>
    </row>
    <row r="965" spans="1:17" x14ac:dyDescent="0.3">
      <c r="A965" s="1">
        <f t="shared" si="241"/>
        <v>11</v>
      </c>
      <c r="B965" s="2" t="s">
        <v>787</v>
      </c>
      <c r="C965" s="3" t="s">
        <v>453</v>
      </c>
      <c r="D965" s="12" t="s">
        <v>40</v>
      </c>
      <c r="E965" s="12" t="s">
        <v>40</v>
      </c>
      <c r="F965" s="12" t="s">
        <v>40</v>
      </c>
      <c r="G965" s="12"/>
      <c r="H965" s="12"/>
      <c r="I965" s="12"/>
      <c r="J965" s="12"/>
      <c r="K965" s="12"/>
      <c r="L965" s="12">
        <v>16500</v>
      </c>
      <c r="M965" s="15">
        <f t="shared" si="239"/>
        <v>4</v>
      </c>
      <c r="N965" s="15">
        <f t="shared" si="240"/>
        <v>0</v>
      </c>
      <c r="O965" s="12">
        <v>16500</v>
      </c>
      <c r="P965" s="12">
        <f t="shared" si="237"/>
        <v>1375</v>
      </c>
      <c r="Q965" s="12">
        <f t="shared" si="238"/>
        <v>1375</v>
      </c>
    </row>
    <row r="966" spans="1:17" x14ac:dyDescent="0.3">
      <c r="A966" s="1">
        <f t="shared" si="241"/>
        <v>12</v>
      </c>
      <c r="B966" s="4" t="s">
        <v>798</v>
      </c>
      <c r="C966" s="3" t="s">
        <v>453</v>
      </c>
      <c r="D966" s="12" t="s">
        <v>40</v>
      </c>
      <c r="E966" s="12" t="s">
        <v>40</v>
      </c>
      <c r="F966" s="12"/>
      <c r="G966" s="12"/>
      <c r="H966" s="12" t="s">
        <v>40</v>
      </c>
      <c r="I966" s="12" t="s">
        <v>40</v>
      </c>
      <c r="J966" s="12"/>
      <c r="K966" s="12"/>
      <c r="L966" s="12">
        <v>0</v>
      </c>
      <c r="M966" s="15">
        <f t="shared" si="239"/>
        <v>10</v>
      </c>
      <c r="N966" s="15">
        <f t="shared" si="240"/>
        <v>0</v>
      </c>
      <c r="O966" s="20"/>
      <c r="P966" s="12">
        <f t="shared" si="237"/>
        <v>0</v>
      </c>
      <c r="Q966" s="20"/>
    </row>
    <row r="967" spans="1:17" x14ac:dyDescent="0.3">
      <c r="A967" s="1">
        <f t="shared" si="241"/>
        <v>13</v>
      </c>
      <c r="B967" s="10"/>
      <c r="C967" s="9"/>
      <c r="D967" s="13"/>
      <c r="E967" s="13"/>
      <c r="F967" s="13"/>
      <c r="G967" s="13"/>
      <c r="H967" s="13"/>
      <c r="I967" s="13"/>
      <c r="J967" s="13"/>
      <c r="K967" s="13"/>
      <c r="L967" s="13"/>
      <c r="M967" s="16"/>
      <c r="N967" s="16"/>
      <c r="O967" s="13"/>
      <c r="P967" s="13"/>
      <c r="Q967" s="13"/>
    </row>
    <row r="968" spans="1:17" x14ac:dyDescent="0.3">
      <c r="A968" s="1">
        <f t="shared" si="241"/>
        <v>14</v>
      </c>
      <c r="B968" s="4" t="s">
        <v>799</v>
      </c>
      <c r="C968" s="3" t="s">
        <v>453</v>
      </c>
      <c r="D968" s="12" t="s">
        <v>40</v>
      </c>
      <c r="E968" s="12" t="s">
        <v>40</v>
      </c>
      <c r="F968" s="12"/>
      <c r="G968" s="12"/>
      <c r="H968" s="12" t="s">
        <v>40</v>
      </c>
      <c r="I968" s="12" t="s">
        <v>40</v>
      </c>
      <c r="J968" s="12" t="s">
        <v>40</v>
      </c>
      <c r="K968" s="12"/>
      <c r="L968" s="12">
        <v>64796.160000000003</v>
      </c>
      <c r="M968" s="15">
        <f t="shared" si="239"/>
        <v>20</v>
      </c>
      <c r="N968" s="15">
        <f t="shared" si="240"/>
        <v>0</v>
      </c>
      <c r="O968" s="12">
        <v>64796.160000000003</v>
      </c>
      <c r="P968" s="12">
        <f t="shared" si="237"/>
        <v>5399.68</v>
      </c>
      <c r="Q968" s="12">
        <f t="shared" si="238"/>
        <v>5399.68</v>
      </c>
    </row>
    <row r="969" spans="1:17" x14ac:dyDescent="0.3">
      <c r="A969" s="1">
        <f t="shared" si="241"/>
        <v>15</v>
      </c>
      <c r="B969" s="2" t="s">
        <v>788</v>
      </c>
      <c r="C969" s="3" t="s">
        <v>453</v>
      </c>
      <c r="D969" s="12" t="s">
        <v>40</v>
      </c>
      <c r="E969" s="12" t="s">
        <v>40</v>
      </c>
      <c r="F969" s="12"/>
      <c r="G969" s="12"/>
      <c r="H969" s="12"/>
      <c r="I969" s="12"/>
      <c r="J969" s="12"/>
      <c r="K969" s="12"/>
      <c r="L969" s="12">
        <v>13560</v>
      </c>
      <c r="M969" s="15">
        <f t="shared" si="239"/>
        <v>2</v>
      </c>
      <c r="N969" s="15">
        <f t="shared" si="240"/>
        <v>0</v>
      </c>
      <c r="O969" s="12">
        <v>13560</v>
      </c>
      <c r="P969" s="12">
        <f t="shared" si="237"/>
        <v>1130</v>
      </c>
      <c r="Q969" s="12">
        <f t="shared" si="238"/>
        <v>1130</v>
      </c>
    </row>
    <row r="970" spans="1:17" x14ac:dyDescent="0.3">
      <c r="A970" s="1">
        <f t="shared" si="241"/>
        <v>16</v>
      </c>
      <c r="B970" s="28" t="s">
        <v>800</v>
      </c>
      <c r="C970" s="3" t="s">
        <v>453</v>
      </c>
      <c r="D970" s="12" t="s">
        <v>40</v>
      </c>
      <c r="E970" s="12" t="s">
        <v>40</v>
      </c>
      <c r="F970" s="12"/>
      <c r="G970" s="12"/>
      <c r="H970" s="12" t="s">
        <v>40</v>
      </c>
      <c r="I970" s="12"/>
      <c r="J970" s="12"/>
      <c r="K970" s="12"/>
      <c r="L970" s="12">
        <v>0</v>
      </c>
      <c r="M970" s="15">
        <f t="shared" si="239"/>
        <v>5</v>
      </c>
      <c r="N970" s="15">
        <f t="shared" si="240"/>
        <v>0</v>
      </c>
      <c r="O970" s="20"/>
      <c r="P970" s="12">
        <f t="shared" si="237"/>
        <v>0</v>
      </c>
      <c r="Q970" s="20"/>
    </row>
    <row r="971" spans="1:17" x14ac:dyDescent="0.3">
      <c r="A971" s="1">
        <f t="shared" si="241"/>
        <v>17</v>
      </c>
      <c r="B971" s="2">
        <v>80295221</v>
      </c>
      <c r="C971" s="3" t="s">
        <v>453</v>
      </c>
      <c r="D971" s="12" t="s">
        <v>40</v>
      </c>
      <c r="E971" s="12" t="s">
        <v>40</v>
      </c>
      <c r="F971" s="12"/>
      <c r="G971" s="12"/>
      <c r="H971" s="12"/>
      <c r="I971" s="12"/>
      <c r="J971" s="12"/>
      <c r="K971" s="12"/>
      <c r="L971" s="12">
        <v>30000</v>
      </c>
      <c r="M971" s="15">
        <f t="shared" si="239"/>
        <v>2</v>
      </c>
      <c r="N971" s="15">
        <f t="shared" si="240"/>
        <v>0</v>
      </c>
      <c r="O971" s="12">
        <v>30000</v>
      </c>
      <c r="P971" s="12">
        <f t="shared" si="237"/>
        <v>2500</v>
      </c>
      <c r="Q971" s="12">
        <f t="shared" si="238"/>
        <v>2500</v>
      </c>
    </row>
    <row r="972" spans="1:17" x14ac:dyDescent="0.3">
      <c r="A972" s="1">
        <f t="shared" si="241"/>
        <v>18</v>
      </c>
      <c r="B972" s="2" t="s">
        <v>789</v>
      </c>
      <c r="C972" s="3" t="s">
        <v>453</v>
      </c>
      <c r="D972" s="12" t="s">
        <v>40</v>
      </c>
      <c r="E972" s="12" t="s">
        <v>40</v>
      </c>
      <c r="F972" s="12" t="s">
        <v>40</v>
      </c>
      <c r="G972" s="12"/>
      <c r="H972" s="12"/>
      <c r="I972" s="12"/>
      <c r="J972" s="12"/>
      <c r="K972" s="12"/>
      <c r="L972" s="12">
        <v>380000</v>
      </c>
      <c r="M972" s="15">
        <f t="shared" si="239"/>
        <v>4</v>
      </c>
      <c r="N972" s="15">
        <f t="shared" si="240"/>
        <v>0</v>
      </c>
      <c r="O972" s="20"/>
      <c r="P972" s="12">
        <f t="shared" si="237"/>
        <v>31666.666666666668</v>
      </c>
      <c r="Q972" s="20"/>
    </row>
    <row r="973" spans="1:17" x14ac:dyDescent="0.3">
      <c r="A973" s="1">
        <f t="shared" si="241"/>
        <v>19</v>
      </c>
      <c r="B973" s="2" t="s">
        <v>790</v>
      </c>
      <c r="C973" s="3" t="s">
        <v>453</v>
      </c>
      <c r="D973" s="12" t="s">
        <v>40</v>
      </c>
      <c r="E973" s="12" t="s">
        <v>40</v>
      </c>
      <c r="F973" s="12"/>
      <c r="G973" s="12"/>
      <c r="H973" s="12"/>
      <c r="I973" s="12"/>
      <c r="J973" s="12"/>
      <c r="K973" s="12"/>
      <c r="L973" s="12">
        <v>12000</v>
      </c>
      <c r="M973" s="15">
        <f t="shared" si="239"/>
        <v>2</v>
      </c>
      <c r="N973" s="15">
        <f t="shared" si="240"/>
        <v>0</v>
      </c>
      <c r="O973" s="12">
        <v>12000</v>
      </c>
      <c r="P973" s="12">
        <f t="shared" si="237"/>
        <v>1000</v>
      </c>
      <c r="Q973" s="12">
        <f t="shared" si="238"/>
        <v>1000</v>
      </c>
    </row>
    <row r="974" spans="1:17" x14ac:dyDescent="0.3">
      <c r="A974" s="1">
        <f t="shared" si="241"/>
        <v>20</v>
      </c>
      <c r="B974" s="2" t="s">
        <v>791</v>
      </c>
      <c r="C974" s="3" t="s">
        <v>453</v>
      </c>
      <c r="D974" s="12" t="s">
        <v>40</v>
      </c>
      <c r="E974" s="12" t="s">
        <v>40</v>
      </c>
      <c r="F974" s="12"/>
      <c r="G974" s="12"/>
      <c r="H974" s="12" t="s">
        <v>40</v>
      </c>
      <c r="I974" s="12"/>
      <c r="J974" s="12"/>
      <c r="K974" s="12"/>
      <c r="L974" s="12">
        <v>40000</v>
      </c>
      <c r="M974" s="15">
        <f t="shared" si="239"/>
        <v>5</v>
      </c>
      <c r="N974" s="15">
        <f t="shared" si="240"/>
        <v>0</v>
      </c>
      <c r="O974" s="12">
        <v>40000</v>
      </c>
      <c r="P974" s="12">
        <f t="shared" si="237"/>
        <v>3333.3333333333335</v>
      </c>
      <c r="Q974" s="12">
        <f t="shared" si="238"/>
        <v>3333.3333333333335</v>
      </c>
    </row>
    <row r="975" spans="1:17" x14ac:dyDescent="0.3">
      <c r="A975" s="1">
        <f t="shared" si="241"/>
        <v>21</v>
      </c>
      <c r="B975" s="10"/>
      <c r="C975" s="9"/>
      <c r="D975" s="13"/>
      <c r="E975" s="13"/>
      <c r="F975" s="13"/>
      <c r="G975" s="13"/>
      <c r="H975" s="13"/>
      <c r="I975" s="13"/>
      <c r="J975" s="13"/>
      <c r="K975" s="13"/>
      <c r="L975" s="13"/>
      <c r="M975" s="16"/>
      <c r="N975" s="16"/>
      <c r="O975" s="13"/>
      <c r="P975" s="13"/>
      <c r="Q975" s="13"/>
    </row>
    <row r="976" spans="1:17" x14ac:dyDescent="0.3">
      <c r="A976" s="1">
        <f t="shared" si="241"/>
        <v>22</v>
      </c>
      <c r="B976" s="2" t="s">
        <v>792</v>
      </c>
      <c r="C976" s="3" t="s">
        <v>453</v>
      </c>
      <c r="D976" s="12" t="s">
        <v>40</v>
      </c>
      <c r="E976" s="12" t="s">
        <v>40</v>
      </c>
      <c r="F976" s="12"/>
      <c r="G976" s="12"/>
      <c r="H976" s="12"/>
      <c r="I976" s="12"/>
      <c r="J976" s="12"/>
      <c r="K976" s="12"/>
      <c r="L976" s="12">
        <v>17000</v>
      </c>
      <c r="M976" s="15">
        <f t="shared" si="239"/>
        <v>2</v>
      </c>
      <c r="N976" s="15">
        <f t="shared" si="240"/>
        <v>0</v>
      </c>
      <c r="O976" s="12">
        <v>17000</v>
      </c>
      <c r="P976" s="12">
        <f t="shared" si="237"/>
        <v>1416.6666666666667</v>
      </c>
      <c r="Q976" s="12">
        <f t="shared" si="238"/>
        <v>1416.6666666666667</v>
      </c>
    </row>
    <row r="977" spans="1:18" x14ac:dyDescent="0.3">
      <c r="A977" s="1">
        <f t="shared" si="241"/>
        <v>23</v>
      </c>
      <c r="B977" s="10"/>
      <c r="C977" s="9"/>
      <c r="D977" s="13"/>
      <c r="E977" s="13"/>
      <c r="F977" s="13"/>
      <c r="G977" s="13"/>
      <c r="H977" s="13"/>
      <c r="I977" s="13"/>
      <c r="J977" s="13"/>
      <c r="K977" s="13"/>
      <c r="L977" s="13"/>
      <c r="M977" s="16"/>
      <c r="N977" s="16"/>
      <c r="O977" s="13"/>
      <c r="P977" s="13"/>
      <c r="Q977" s="13"/>
    </row>
    <row r="978" spans="1:18" x14ac:dyDescent="0.3">
      <c r="A978" s="1">
        <f t="shared" si="241"/>
        <v>24</v>
      </c>
      <c r="B978" s="2" t="s">
        <v>793</v>
      </c>
      <c r="C978" s="3" t="s">
        <v>453</v>
      </c>
      <c r="D978" s="12" t="s">
        <v>40</v>
      </c>
      <c r="E978" s="12" t="s">
        <v>40</v>
      </c>
      <c r="F978" s="12"/>
      <c r="G978" s="12"/>
      <c r="H978" s="12"/>
      <c r="I978" s="12"/>
      <c r="J978" s="12"/>
      <c r="K978" s="12"/>
      <c r="L978" s="12">
        <v>7764</v>
      </c>
      <c r="M978" s="15">
        <f t="shared" si="239"/>
        <v>2</v>
      </c>
      <c r="N978" s="15">
        <f t="shared" si="240"/>
        <v>0</v>
      </c>
      <c r="O978" s="12">
        <v>7764</v>
      </c>
      <c r="P978" s="12">
        <f t="shared" si="237"/>
        <v>647</v>
      </c>
      <c r="Q978" s="12">
        <f t="shared" si="238"/>
        <v>647</v>
      </c>
    </row>
    <row r="979" spans="1:18" x14ac:dyDescent="0.3">
      <c r="A979" s="1">
        <f t="shared" si="241"/>
        <v>25</v>
      </c>
      <c r="B979" s="2" t="s">
        <v>794</v>
      </c>
      <c r="C979" s="3" t="s">
        <v>453</v>
      </c>
      <c r="D979" s="12" t="s">
        <v>40</v>
      </c>
      <c r="E979" s="12" t="s">
        <v>40</v>
      </c>
      <c r="F979" s="12"/>
      <c r="G979" s="12"/>
      <c r="H979" s="12"/>
      <c r="I979" s="12"/>
      <c r="J979" s="12"/>
      <c r="K979" s="12"/>
      <c r="L979" s="12">
        <v>15000</v>
      </c>
      <c r="M979" s="15">
        <f t="shared" si="239"/>
        <v>2</v>
      </c>
      <c r="N979" s="15">
        <f t="shared" si="240"/>
        <v>0</v>
      </c>
      <c r="O979" s="12">
        <v>15000</v>
      </c>
      <c r="P979" s="12">
        <f t="shared" si="237"/>
        <v>1250</v>
      </c>
      <c r="Q979" s="12">
        <f t="shared" si="238"/>
        <v>1250</v>
      </c>
    </row>
    <row r="980" spans="1:18" x14ac:dyDescent="0.3">
      <c r="A980" s="1">
        <f t="shared" si="241"/>
        <v>26</v>
      </c>
      <c r="B980" s="2">
        <v>10356936</v>
      </c>
      <c r="C980" s="3" t="s">
        <v>453</v>
      </c>
      <c r="D980" s="12" t="s">
        <v>40</v>
      </c>
      <c r="E980" s="12" t="s">
        <v>40</v>
      </c>
      <c r="F980" s="12"/>
      <c r="G980" s="12"/>
      <c r="H980" s="12"/>
      <c r="I980" s="12"/>
      <c r="J980" s="12"/>
      <c r="K980" s="12"/>
      <c r="L980" s="12">
        <v>52000</v>
      </c>
      <c r="M980" s="15">
        <f t="shared" si="239"/>
        <v>2</v>
      </c>
      <c r="N980" s="15">
        <f t="shared" si="240"/>
        <v>0</v>
      </c>
      <c r="O980" s="12">
        <v>52000</v>
      </c>
      <c r="P980" s="12">
        <f t="shared" si="237"/>
        <v>4333.333333333333</v>
      </c>
      <c r="Q980" s="12">
        <f t="shared" si="238"/>
        <v>4333.333333333333</v>
      </c>
    </row>
    <row r="981" spans="1:18" x14ac:dyDescent="0.3">
      <c r="A981" s="1">
        <f t="shared" si="241"/>
        <v>27</v>
      </c>
      <c r="B981" s="2">
        <v>80381437</v>
      </c>
      <c r="C981" s="3" t="s">
        <v>453</v>
      </c>
      <c r="D981" s="12" t="s">
        <v>40</v>
      </c>
      <c r="E981" s="12" t="s">
        <v>40</v>
      </c>
      <c r="F981" s="12"/>
      <c r="G981" s="12"/>
      <c r="H981" s="12"/>
      <c r="I981" s="12"/>
      <c r="J981" s="12"/>
      <c r="K981" s="12"/>
      <c r="L981" s="12">
        <v>0</v>
      </c>
      <c r="M981" s="15">
        <f t="shared" si="239"/>
        <v>2</v>
      </c>
      <c r="N981" s="15">
        <f t="shared" si="240"/>
        <v>0</v>
      </c>
      <c r="O981" s="20"/>
      <c r="P981" s="12">
        <f t="shared" si="237"/>
        <v>0</v>
      </c>
      <c r="Q981" s="20"/>
    </row>
    <row r="982" spans="1:18" x14ac:dyDescent="0.3">
      <c r="A982" s="1">
        <f t="shared" si="241"/>
        <v>28</v>
      </c>
      <c r="B982" s="2">
        <v>42901444</v>
      </c>
      <c r="C982" s="3" t="s">
        <v>453</v>
      </c>
      <c r="D982" s="12" t="s">
        <v>40</v>
      </c>
      <c r="E982" s="12" t="s">
        <v>40</v>
      </c>
      <c r="F982" s="12"/>
      <c r="G982" s="12"/>
      <c r="H982" s="12" t="s">
        <v>40</v>
      </c>
      <c r="I982" s="12"/>
      <c r="J982" s="12"/>
      <c r="K982" s="12"/>
      <c r="L982" s="12">
        <v>0</v>
      </c>
      <c r="M982" s="15">
        <f t="shared" si="239"/>
        <v>5</v>
      </c>
      <c r="N982" s="15">
        <f t="shared" si="240"/>
        <v>0</v>
      </c>
      <c r="O982" s="20"/>
      <c r="P982" s="12">
        <f t="shared" si="237"/>
        <v>0</v>
      </c>
      <c r="Q982" s="20"/>
    </row>
    <row r="983" spans="1:18" x14ac:dyDescent="0.3">
      <c r="A983" s="1">
        <f t="shared" si="241"/>
        <v>29</v>
      </c>
      <c r="B983" s="10"/>
      <c r="C983" s="9"/>
      <c r="D983" s="13"/>
      <c r="E983" s="13"/>
      <c r="F983" s="13"/>
      <c r="G983" s="13"/>
      <c r="H983" s="13"/>
      <c r="I983" s="13"/>
      <c r="J983" s="13"/>
      <c r="K983" s="13"/>
      <c r="L983" s="13"/>
      <c r="M983" s="16"/>
      <c r="N983" s="16"/>
      <c r="O983" s="13"/>
      <c r="P983" s="13"/>
      <c r="Q983" s="13"/>
    </row>
    <row r="984" spans="1:18" x14ac:dyDescent="0.3">
      <c r="A984" s="1">
        <f t="shared" si="241"/>
        <v>30</v>
      </c>
      <c r="B984" s="2" t="s">
        <v>795</v>
      </c>
      <c r="C984" s="3" t="s">
        <v>453</v>
      </c>
      <c r="D984" s="12" t="s">
        <v>40</v>
      </c>
      <c r="E984" s="12" t="s">
        <v>40</v>
      </c>
      <c r="F984" s="12"/>
      <c r="G984" s="12"/>
      <c r="H984" s="12"/>
      <c r="I984" s="12"/>
      <c r="J984" s="12"/>
      <c r="K984" s="12"/>
      <c r="L984" s="12">
        <v>10440</v>
      </c>
      <c r="M984" s="15">
        <f t="shared" si="239"/>
        <v>2</v>
      </c>
      <c r="N984" s="15">
        <f t="shared" si="240"/>
        <v>0</v>
      </c>
      <c r="O984" s="12">
        <v>10440</v>
      </c>
      <c r="P984" s="12">
        <f t="shared" si="237"/>
        <v>870</v>
      </c>
      <c r="Q984" s="12">
        <f t="shared" si="238"/>
        <v>870</v>
      </c>
    </row>
    <row r="985" spans="1:18" x14ac:dyDescent="0.3">
      <c r="B985" s="29"/>
      <c r="L985" s="14">
        <f>+AVERAGE(L955:L984)</f>
        <v>50853.840384615389</v>
      </c>
      <c r="M985" s="14">
        <f>+AVERAGE(M955:M984)</f>
        <v>4.634615384615385</v>
      </c>
      <c r="N985" s="14">
        <f>+SUM(N955:N984)</f>
        <v>0</v>
      </c>
      <c r="O985" s="14">
        <f>+AVERAGE(O955:O984)</f>
        <v>49589.465789473681</v>
      </c>
      <c r="P985" s="14">
        <f>+AVERAGE(P955:P984)</f>
        <v>4237.8200320512824</v>
      </c>
      <c r="Q985" s="14">
        <f>+AVERAGE(Q955:Q984)</f>
        <v>4132.4554824561401</v>
      </c>
      <c r="R985" s="14">
        <f>30-COUNTBLANK(R955:R984)</f>
        <v>0</v>
      </c>
    </row>
    <row r="986" spans="1:18" x14ac:dyDescent="0.3">
      <c r="L986" s="14">
        <f>+STDEV(L955:L984)</f>
        <v>87381.074762229677</v>
      </c>
      <c r="M986" s="14">
        <f>+STDEV(M955:M984)</f>
        <v>3.7351243414582393</v>
      </c>
      <c r="N986" s="17"/>
      <c r="O986" s="14">
        <f>+STDEV(O955:O984)</f>
        <v>61010.954647095714</v>
      </c>
      <c r="P986" s="14">
        <f>+STDEV(P955:P984)</f>
        <v>7281.7562301858061</v>
      </c>
      <c r="Q986" s="14">
        <f>+STDEV(Q955:Q984)</f>
        <v>5084.2462205913107</v>
      </c>
    </row>
    <row r="987" spans="1:18" x14ac:dyDescent="0.3">
      <c r="I987" s="15"/>
      <c r="J987" s="15"/>
      <c r="K987" s="11" t="s">
        <v>75</v>
      </c>
      <c r="L987" s="14">
        <f>+COUNTIF(L955:L984,0)</f>
        <v>6</v>
      </c>
      <c r="M987" s="14">
        <f>+COUNT(M955:M984)</f>
        <v>26</v>
      </c>
      <c r="P987" s="14">
        <f>+COUNTIF(P955:P984,0)</f>
        <v>6</v>
      </c>
    </row>
    <row r="989" spans="1:18" x14ac:dyDescent="0.3">
      <c r="A989" s="1">
        <v>1</v>
      </c>
      <c r="B989" s="2">
        <v>10266270</v>
      </c>
      <c r="C989" s="3" t="s">
        <v>454</v>
      </c>
      <c r="D989" s="12" t="s">
        <v>40</v>
      </c>
      <c r="E989" s="12" t="s">
        <v>40</v>
      </c>
      <c r="F989" s="12"/>
      <c r="G989" s="12"/>
      <c r="H989" s="12" t="s">
        <v>40</v>
      </c>
      <c r="I989" s="12" t="s">
        <v>40</v>
      </c>
      <c r="J989" s="12"/>
      <c r="K989" s="12"/>
      <c r="L989" s="12">
        <v>105103</v>
      </c>
      <c r="M989" s="15">
        <f>+IF(D989="X",1,0)+IF(E989="X",1,0)+IF(F989="X",2,0)+IF(G989="X",2,0)+IF(H989="X",3,IF(H989="Y",1.5,0))+IF(I989="X",5,IF(I989="Y",2.5,0))+IF(J989="X",10,IF(J989="Y",5,0))</f>
        <v>10</v>
      </c>
      <c r="N989" s="15">
        <f>+IF(K989="X",1,0)</f>
        <v>0</v>
      </c>
      <c r="O989" s="12">
        <v>105103</v>
      </c>
      <c r="P989" s="12">
        <f t="shared" ref="P989:P1018" si="242">+L989/12</f>
        <v>8758.5833333333339</v>
      </c>
      <c r="Q989" s="12">
        <f t="shared" ref="Q989:Q1018" si="243">+O989/12</f>
        <v>8758.5833333333339</v>
      </c>
    </row>
    <row r="990" spans="1:18" x14ac:dyDescent="0.3">
      <c r="A990" s="1">
        <f>+A989+1</f>
        <v>2</v>
      </c>
      <c r="B990" s="28" t="s">
        <v>801</v>
      </c>
      <c r="C990" s="3" t="s">
        <v>454</v>
      </c>
      <c r="D990" s="12" t="s">
        <v>40</v>
      </c>
      <c r="E990" s="12" t="s">
        <v>40</v>
      </c>
      <c r="F990" s="12"/>
      <c r="G990" s="12"/>
      <c r="H990" s="12" t="s">
        <v>40</v>
      </c>
      <c r="I990" s="12"/>
      <c r="J990" s="12" t="s">
        <v>40</v>
      </c>
      <c r="K990" s="12"/>
      <c r="L990" s="12">
        <v>525575</v>
      </c>
      <c r="M990" s="15">
        <f t="shared" ref="M990:M1018" si="244">+IF(D990="X",1,0)+IF(E990="X",1,0)+IF(F990="X",2,0)+IF(G990="X",2,0)+IF(H990="X",3,IF(H990="Y",1.5,0))+IF(I990="X",5,IF(I990="Y",2.5,0))+IF(J990="X",10,IF(J990="Y",5,0))</f>
        <v>15</v>
      </c>
      <c r="N990" s="15">
        <f t="shared" ref="N990:N1018" si="245">+IF(K990="X",1,0)</f>
        <v>0</v>
      </c>
      <c r="O990" s="20"/>
      <c r="P990" s="12">
        <f t="shared" si="242"/>
        <v>43797.916666666664</v>
      </c>
      <c r="Q990" s="20"/>
    </row>
    <row r="991" spans="1:18" x14ac:dyDescent="0.3">
      <c r="A991" s="1">
        <f t="shared" ref="A991:A1018" si="246">+A990+1</f>
        <v>3</v>
      </c>
      <c r="B991" s="28" t="s">
        <v>802</v>
      </c>
      <c r="C991" s="3" t="s">
        <v>454</v>
      </c>
      <c r="D991" s="12" t="s">
        <v>40</v>
      </c>
      <c r="E991" s="12" t="s">
        <v>40</v>
      </c>
      <c r="F991" s="12" t="s">
        <v>40</v>
      </c>
      <c r="G991" s="12" t="s">
        <v>40</v>
      </c>
      <c r="H991" s="12" t="s">
        <v>40</v>
      </c>
      <c r="I991" s="12"/>
      <c r="J991" s="12"/>
      <c r="K991" s="12"/>
      <c r="L991" s="12">
        <v>509208</v>
      </c>
      <c r="M991" s="15">
        <f t="shared" si="244"/>
        <v>9</v>
      </c>
      <c r="N991" s="15">
        <f t="shared" si="245"/>
        <v>0</v>
      </c>
      <c r="O991" s="12">
        <v>509208</v>
      </c>
      <c r="P991" s="12">
        <f t="shared" si="242"/>
        <v>42434</v>
      </c>
      <c r="Q991" s="12">
        <f t="shared" si="243"/>
        <v>42434</v>
      </c>
      <c r="R991" t="s">
        <v>803</v>
      </c>
    </row>
    <row r="992" spans="1:18" x14ac:dyDescent="0.3">
      <c r="A992" s="1">
        <f t="shared" si="246"/>
        <v>4</v>
      </c>
      <c r="B992" s="44"/>
      <c r="C992" s="9"/>
      <c r="D992" s="13"/>
      <c r="E992" s="13"/>
      <c r="F992" s="13"/>
      <c r="G992" s="13"/>
      <c r="H992" s="13"/>
      <c r="I992" s="13"/>
      <c r="J992" s="13"/>
      <c r="K992" s="13"/>
      <c r="L992" s="13"/>
      <c r="M992" s="16"/>
      <c r="N992" s="16"/>
      <c r="O992" s="13"/>
      <c r="P992" s="13"/>
      <c r="Q992" s="13"/>
    </row>
    <row r="993" spans="1:18" x14ac:dyDescent="0.3">
      <c r="A993" s="1">
        <f t="shared" si="246"/>
        <v>5</v>
      </c>
      <c r="B993" s="28" t="s">
        <v>804</v>
      </c>
      <c r="C993" s="3" t="s">
        <v>454</v>
      </c>
      <c r="D993" s="12" t="s">
        <v>40</v>
      </c>
      <c r="E993" s="12" t="s">
        <v>40</v>
      </c>
      <c r="F993" s="12"/>
      <c r="G993" s="12" t="s">
        <v>40</v>
      </c>
      <c r="H993" s="12" t="s">
        <v>40</v>
      </c>
      <c r="I993" s="12"/>
      <c r="J993" s="12"/>
      <c r="K993" s="12"/>
      <c r="L993" s="12">
        <v>312614.40000000002</v>
      </c>
      <c r="M993" s="15">
        <f t="shared" si="244"/>
        <v>7</v>
      </c>
      <c r="N993" s="15">
        <f t="shared" si="245"/>
        <v>0</v>
      </c>
      <c r="O993" s="12">
        <v>312614.40000000002</v>
      </c>
      <c r="P993" s="12">
        <f t="shared" si="242"/>
        <v>26051.200000000001</v>
      </c>
      <c r="Q993" s="12">
        <f t="shared" si="243"/>
        <v>26051.200000000001</v>
      </c>
      <c r="R993" t="s">
        <v>803</v>
      </c>
    </row>
    <row r="994" spans="1:18" x14ac:dyDescent="0.3">
      <c r="A994" s="1">
        <f t="shared" si="246"/>
        <v>6</v>
      </c>
      <c r="B994" s="2" t="s">
        <v>805</v>
      </c>
      <c r="C994" s="3" t="s">
        <v>454</v>
      </c>
      <c r="D994" s="12" t="s">
        <v>40</v>
      </c>
      <c r="E994" s="12" t="s">
        <v>40</v>
      </c>
      <c r="F994" s="12" t="s">
        <v>40</v>
      </c>
      <c r="G994" s="12"/>
      <c r="H994" s="12" t="s">
        <v>40</v>
      </c>
      <c r="I994" s="12"/>
      <c r="J994" s="12"/>
      <c r="K994" s="12"/>
      <c r="L994" s="12">
        <v>52738</v>
      </c>
      <c r="M994" s="15">
        <f t="shared" si="244"/>
        <v>7</v>
      </c>
      <c r="N994" s="15">
        <f t="shared" si="245"/>
        <v>0</v>
      </c>
      <c r="O994" s="12">
        <v>52738</v>
      </c>
      <c r="P994" s="12">
        <f t="shared" si="242"/>
        <v>4394.833333333333</v>
      </c>
      <c r="Q994" s="12">
        <f t="shared" si="243"/>
        <v>4394.833333333333</v>
      </c>
    </row>
    <row r="995" spans="1:18" x14ac:dyDescent="0.3">
      <c r="A995" s="1">
        <f t="shared" si="246"/>
        <v>7</v>
      </c>
      <c r="B995" s="28" t="s">
        <v>817</v>
      </c>
      <c r="C995" s="3" t="s">
        <v>454</v>
      </c>
      <c r="D995" s="12" t="s">
        <v>40</v>
      </c>
      <c r="E995" s="12" t="s">
        <v>40</v>
      </c>
      <c r="F995" s="12" t="s">
        <v>40</v>
      </c>
      <c r="G995" s="12"/>
      <c r="H995" s="12"/>
      <c r="I995" s="12"/>
      <c r="J995" s="12"/>
      <c r="K995" s="12"/>
      <c r="L995" s="12">
        <v>62780</v>
      </c>
      <c r="M995" s="15">
        <f t="shared" si="244"/>
        <v>4</v>
      </c>
      <c r="N995" s="15">
        <f t="shared" si="245"/>
        <v>0</v>
      </c>
      <c r="O995" s="12">
        <v>62780</v>
      </c>
      <c r="P995" s="12">
        <f t="shared" si="242"/>
        <v>5231.666666666667</v>
      </c>
      <c r="Q995" s="12">
        <f t="shared" si="243"/>
        <v>5231.666666666667</v>
      </c>
    </row>
    <row r="996" spans="1:18" x14ac:dyDescent="0.3">
      <c r="A996" s="1">
        <f t="shared" si="246"/>
        <v>8</v>
      </c>
      <c r="B996" s="28" t="s">
        <v>818</v>
      </c>
      <c r="C996" s="3" t="s">
        <v>454</v>
      </c>
      <c r="D996" s="12" t="s">
        <v>40</v>
      </c>
      <c r="E996" s="12" t="s">
        <v>40</v>
      </c>
      <c r="F996" s="12" t="s">
        <v>40</v>
      </c>
      <c r="G996" s="12"/>
      <c r="H996" s="12" t="s">
        <v>40</v>
      </c>
      <c r="I996" s="12" t="s">
        <v>40</v>
      </c>
      <c r="J996" s="12"/>
      <c r="K996" s="12"/>
      <c r="L996" s="12">
        <v>1900</v>
      </c>
      <c r="M996" s="15">
        <f t="shared" si="244"/>
        <v>12</v>
      </c>
      <c r="N996" s="15">
        <f t="shared" si="245"/>
        <v>0</v>
      </c>
      <c r="O996" s="12">
        <v>1900</v>
      </c>
      <c r="P996" s="12">
        <f t="shared" si="242"/>
        <v>158.33333333333334</v>
      </c>
      <c r="Q996" s="12">
        <f t="shared" si="243"/>
        <v>158.33333333333334</v>
      </c>
    </row>
    <row r="997" spans="1:18" x14ac:dyDescent="0.3">
      <c r="A997" s="1">
        <f t="shared" si="246"/>
        <v>9</v>
      </c>
      <c r="B997" s="28" t="s">
        <v>806</v>
      </c>
      <c r="C997" s="3" t="s">
        <v>454</v>
      </c>
      <c r="D997" s="12" t="s">
        <v>40</v>
      </c>
      <c r="E997" s="12" t="s">
        <v>40</v>
      </c>
      <c r="F997" s="12"/>
      <c r="G997" s="12"/>
      <c r="H997" s="12" t="s">
        <v>40</v>
      </c>
      <c r="I997" s="12"/>
      <c r="J997" s="12"/>
      <c r="K997" s="12"/>
      <c r="L997" s="12">
        <v>0</v>
      </c>
      <c r="M997" s="15">
        <f t="shared" si="244"/>
        <v>5</v>
      </c>
      <c r="N997" s="15">
        <f t="shared" si="245"/>
        <v>0</v>
      </c>
      <c r="O997" s="20"/>
      <c r="P997" s="12">
        <f t="shared" si="242"/>
        <v>0</v>
      </c>
      <c r="Q997" s="20"/>
    </row>
    <row r="998" spans="1:18" x14ac:dyDescent="0.3">
      <c r="A998" s="1">
        <f t="shared" si="246"/>
        <v>10</v>
      </c>
      <c r="B998" s="28" t="s">
        <v>819</v>
      </c>
      <c r="C998" s="3" t="s">
        <v>454</v>
      </c>
      <c r="D998" s="12" t="s">
        <v>40</v>
      </c>
      <c r="E998" s="12" t="s">
        <v>40</v>
      </c>
      <c r="F998" s="12"/>
      <c r="G998" s="12" t="s">
        <v>40</v>
      </c>
      <c r="H998" s="12"/>
      <c r="I998" s="12"/>
      <c r="J998" s="12"/>
      <c r="K998" s="12"/>
      <c r="L998" s="12">
        <v>13298.2</v>
      </c>
      <c r="M998" s="15">
        <f t="shared" si="244"/>
        <v>4</v>
      </c>
      <c r="N998" s="15">
        <f t="shared" si="245"/>
        <v>0</v>
      </c>
      <c r="O998" s="12">
        <v>13298.2</v>
      </c>
      <c r="P998" s="12">
        <f t="shared" si="242"/>
        <v>1108.1833333333334</v>
      </c>
      <c r="Q998" s="12">
        <f t="shared" si="243"/>
        <v>1108.1833333333334</v>
      </c>
    </row>
    <row r="999" spans="1:18" x14ac:dyDescent="0.3">
      <c r="A999" s="1">
        <f t="shared" si="246"/>
        <v>11</v>
      </c>
      <c r="B999" s="28" t="s">
        <v>808</v>
      </c>
      <c r="C999" s="3" t="s">
        <v>454</v>
      </c>
      <c r="D999" s="12" t="s">
        <v>40</v>
      </c>
      <c r="E999" s="12" t="s">
        <v>40</v>
      </c>
      <c r="F999" s="12"/>
      <c r="G999" s="12"/>
      <c r="H999" s="12" t="s">
        <v>40</v>
      </c>
      <c r="I999" s="12"/>
      <c r="J999" s="12"/>
      <c r="K999" s="12"/>
      <c r="L999" s="12">
        <v>10000</v>
      </c>
      <c r="M999" s="15">
        <f t="shared" si="244"/>
        <v>5</v>
      </c>
      <c r="N999" s="15">
        <f t="shared" si="245"/>
        <v>0</v>
      </c>
      <c r="O999" s="12">
        <v>10000</v>
      </c>
      <c r="P999" s="12">
        <f t="shared" si="242"/>
        <v>833.33333333333337</v>
      </c>
      <c r="Q999" s="12">
        <f t="shared" si="243"/>
        <v>833.33333333333337</v>
      </c>
    </row>
    <row r="1000" spans="1:18" x14ac:dyDescent="0.3">
      <c r="A1000" s="1">
        <f t="shared" si="246"/>
        <v>12</v>
      </c>
      <c r="B1000" s="28" t="s">
        <v>816</v>
      </c>
      <c r="C1000" s="3" t="s">
        <v>454</v>
      </c>
      <c r="D1000" s="12" t="s">
        <v>40</v>
      </c>
      <c r="E1000" s="12" t="s">
        <v>40</v>
      </c>
      <c r="F1000" s="12"/>
      <c r="G1000" s="12"/>
      <c r="H1000" s="12" t="s">
        <v>40</v>
      </c>
      <c r="I1000" s="12"/>
      <c r="J1000" s="12"/>
      <c r="K1000" s="12"/>
      <c r="L1000" s="12">
        <v>32000</v>
      </c>
      <c r="M1000" s="15">
        <f t="shared" si="244"/>
        <v>5</v>
      </c>
      <c r="N1000" s="15">
        <f t="shared" si="245"/>
        <v>0</v>
      </c>
      <c r="O1000" s="12">
        <v>32000</v>
      </c>
      <c r="P1000" s="12">
        <f t="shared" si="242"/>
        <v>2666.6666666666665</v>
      </c>
      <c r="Q1000" s="12">
        <f t="shared" si="243"/>
        <v>2666.6666666666665</v>
      </c>
    </row>
    <row r="1001" spans="1:18" x14ac:dyDescent="0.3">
      <c r="A1001" s="1">
        <f t="shared" si="246"/>
        <v>13</v>
      </c>
      <c r="B1001" s="2" t="s">
        <v>806</v>
      </c>
      <c r="C1001" s="3" t="s">
        <v>454</v>
      </c>
      <c r="D1001" s="12" t="s">
        <v>40</v>
      </c>
      <c r="E1001" s="12" t="s">
        <v>40</v>
      </c>
      <c r="F1001" s="12"/>
      <c r="G1001" s="12"/>
      <c r="H1001" s="12" t="s">
        <v>40</v>
      </c>
      <c r="I1001" s="12"/>
      <c r="J1001" s="12"/>
      <c r="K1001" s="12"/>
      <c r="L1001" s="12">
        <v>0</v>
      </c>
      <c r="M1001" s="15">
        <f t="shared" si="244"/>
        <v>5</v>
      </c>
      <c r="N1001" s="15">
        <f t="shared" si="245"/>
        <v>0</v>
      </c>
      <c r="O1001" s="20"/>
      <c r="P1001" s="12">
        <f t="shared" si="242"/>
        <v>0</v>
      </c>
      <c r="Q1001" s="20"/>
    </row>
    <row r="1002" spans="1:18" x14ac:dyDescent="0.3">
      <c r="A1002" s="1">
        <f t="shared" si="246"/>
        <v>14</v>
      </c>
      <c r="B1002" s="2" t="s">
        <v>811</v>
      </c>
      <c r="C1002" s="3" t="s">
        <v>454</v>
      </c>
      <c r="D1002" s="12" t="s">
        <v>40</v>
      </c>
      <c r="E1002" s="12" t="s">
        <v>40</v>
      </c>
      <c r="F1002" s="12"/>
      <c r="G1002" s="12"/>
      <c r="H1002" s="12" t="s">
        <v>40</v>
      </c>
      <c r="I1002" s="12"/>
      <c r="J1002" s="12"/>
      <c r="K1002" s="12"/>
      <c r="L1002" s="12">
        <v>0</v>
      </c>
      <c r="M1002" s="15">
        <f t="shared" si="244"/>
        <v>5</v>
      </c>
      <c r="N1002" s="15">
        <f t="shared" si="245"/>
        <v>0</v>
      </c>
      <c r="O1002" s="20"/>
      <c r="P1002" s="12">
        <f t="shared" si="242"/>
        <v>0</v>
      </c>
      <c r="Q1002" s="20"/>
    </row>
    <row r="1003" spans="1:18" x14ac:dyDescent="0.3">
      <c r="A1003" s="1">
        <f t="shared" si="246"/>
        <v>15</v>
      </c>
      <c r="B1003" s="2" t="s">
        <v>812</v>
      </c>
      <c r="C1003" s="3" t="s">
        <v>454</v>
      </c>
      <c r="D1003" s="12" t="s">
        <v>40</v>
      </c>
      <c r="E1003" s="12" t="s">
        <v>40</v>
      </c>
      <c r="F1003" s="12" t="s">
        <v>40</v>
      </c>
      <c r="G1003" s="12"/>
      <c r="H1003" s="12" t="s">
        <v>40</v>
      </c>
      <c r="I1003" s="12"/>
      <c r="J1003" s="12"/>
      <c r="K1003" s="12" t="s">
        <v>40</v>
      </c>
      <c r="L1003" s="12">
        <v>24000</v>
      </c>
      <c r="M1003" s="15">
        <f t="shared" si="244"/>
        <v>7</v>
      </c>
      <c r="N1003" s="15">
        <f t="shared" si="245"/>
        <v>1</v>
      </c>
      <c r="O1003" s="12">
        <v>24000</v>
      </c>
      <c r="P1003" s="12">
        <f t="shared" si="242"/>
        <v>2000</v>
      </c>
      <c r="Q1003" s="12">
        <f t="shared" si="243"/>
        <v>2000</v>
      </c>
    </row>
    <row r="1004" spans="1:18" x14ac:dyDescent="0.3">
      <c r="A1004" s="1">
        <f t="shared" si="246"/>
        <v>16</v>
      </c>
      <c r="B1004" s="2" t="s">
        <v>809</v>
      </c>
      <c r="C1004" s="3" t="s">
        <v>454</v>
      </c>
      <c r="D1004" s="12" t="s">
        <v>40</v>
      </c>
      <c r="E1004" s="12" t="s">
        <v>40</v>
      </c>
      <c r="F1004" s="12"/>
      <c r="G1004" s="12"/>
      <c r="H1004" s="12" t="s">
        <v>40</v>
      </c>
      <c r="I1004" s="12"/>
      <c r="J1004" s="12"/>
      <c r="K1004" s="12"/>
      <c r="L1004" s="12">
        <v>2750</v>
      </c>
      <c r="M1004" s="15">
        <f t="shared" si="244"/>
        <v>5</v>
      </c>
      <c r="N1004" s="15">
        <f t="shared" si="245"/>
        <v>0</v>
      </c>
      <c r="O1004" s="12">
        <v>2750</v>
      </c>
      <c r="P1004" s="12">
        <f t="shared" si="242"/>
        <v>229.16666666666666</v>
      </c>
      <c r="Q1004" s="12">
        <f t="shared" si="243"/>
        <v>229.16666666666666</v>
      </c>
    </row>
    <row r="1005" spans="1:18" x14ac:dyDescent="0.3">
      <c r="A1005" s="1">
        <f t="shared" si="246"/>
        <v>17</v>
      </c>
      <c r="B1005" s="2">
        <v>10801835</v>
      </c>
      <c r="C1005" s="3" t="s">
        <v>454</v>
      </c>
      <c r="D1005" s="12" t="s">
        <v>40</v>
      </c>
      <c r="E1005" s="12" t="s">
        <v>40</v>
      </c>
      <c r="F1005" s="12" t="s">
        <v>40</v>
      </c>
      <c r="G1005" s="12"/>
      <c r="H1005" s="12" t="s">
        <v>40</v>
      </c>
      <c r="I1005" s="12"/>
      <c r="J1005" s="12"/>
      <c r="K1005" s="12"/>
      <c r="L1005" s="12">
        <v>25600</v>
      </c>
      <c r="M1005" s="15">
        <f t="shared" si="244"/>
        <v>7</v>
      </c>
      <c r="N1005" s="15">
        <f t="shared" si="245"/>
        <v>0</v>
      </c>
      <c r="O1005" s="12">
        <v>25600</v>
      </c>
      <c r="P1005" s="12">
        <f t="shared" si="242"/>
        <v>2133.3333333333335</v>
      </c>
      <c r="Q1005" s="12">
        <f t="shared" si="243"/>
        <v>2133.3333333333335</v>
      </c>
    </row>
    <row r="1006" spans="1:18" x14ac:dyDescent="0.3">
      <c r="A1006" s="1">
        <f t="shared" si="246"/>
        <v>18</v>
      </c>
      <c r="B1006" s="2" t="s">
        <v>810</v>
      </c>
      <c r="C1006" s="3" t="s">
        <v>454</v>
      </c>
      <c r="D1006" s="12" t="s">
        <v>40</v>
      </c>
      <c r="E1006" s="12" t="s">
        <v>40</v>
      </c>
      <c r="F1006" s="12"/>
      <c r="G1006" s="12"/>
      <c r="H1006" s="12"/>
      <c r="I1006" s="12"/>
      <c r="J1006" s="12"/>
      <c r="K1006" s="12"/>
      <c r="L1006" s="12">
        <v>84000</v>
      </c>
      <c r="M1006" s="15">
        <f t="shared" si="244"/>
        <v>2</v>
      </c>
      <c r="N1006" s="15">
        <f t="shared" si="245"/>
        <v>0</v>
      </c>
      <c r="O1006" s="12">
        <v>84000</v>
      </c>
      <c r="P1006" s="12">
        <f t="shared" si="242"/>
        <v>7000</v>
      </c>
      <c r="Q1006" s="12">
        <f t="shared" si="243"/>
        <v>7000</v>
      </c>
    </row>
    <row r="1007" spans="1:18" x14ac:dyDescent="0.3">
      <c r="A1007" s="1">
        <f t="shared" si="246"/>
        <v>19</v>
      </c>
      <c r="B1007" s="2">
        <v>41608058</v>
      </c>
      <c r="C1007" s="3" t="s">
        <v>454</v>
      </c>
      <c r="D1007" s="12" t="s">
        <v>40</v>
      </c>
      <c r="E1007" s="12" t="s">
        <v>40</v>
      </c>
      <c r="F1007" s="12"/>
      <c r="G1007" s="12"/>
      <c r="H1007" s="12" t="s">
        <v>40</v>
      </c>
      <c r="I1007" s="12"/>
      <c r="J1007" s="12"/>
      <c r="K1007" s="12"/>
      <c r="L1007" s="12">
        <v>14000</v>
      </c>
      <c r="M1007" s="15">
        <f t="shared" si="244"/>
        <v>5</v>
      </c>
      <c r="N1007" s="15">
        <f t="shared" si="245"/>
        <v>0</v>
      </c>
      <c r="O1007" s="12">
        <v>14000</v>
      </c>
      <c r="P1007" s="12">
        <f t="shared" si="242"/>
        <v>1166.6666666666667</v>
      </c>
      <c r="Q1007" s="12">
        <f t="shared" si="243"/>
        <v>1166.6666666666667</v>
      </c>
    </row>
    <row r="1008" spans="1:18" x14ac:dyDescent="0.3">
      <c r="A1008" s="1">
        <f t="shared" si="246"/>
        <v>20</v>
      </c>
      <c r="B1008" s="2" t="s">
        <v>820</v>
      </c>
      <c r="C1008" s="3" t="s">
        <v>454</v>
      </c>
      <c r="D1008" s="12" t="s">
        <v>40</v>
      </c>
      <c r="E1008" s="12" t="s">
        <v>40</v>
      </c>
      <c r="F1008" s="12" t="s">
        <v>40</v>
      </c>
      <c r="G1008" s="12"/>
      <c r="H1008" s="12"/>
      <c r="I1008" s="12"/>
      <c r="J1008" s="12"/>
      <c r="K1008" s="12"/>
      <c r="L1008" s="12">
        <v>0</v>
      </c>
      <c r="M1008" s="15">
        <f t="shared" si="244"/>
        <v>4</v>
      </c>
      <c r="N1008" s="15">
        <f t="shared" si="245"/>
        <v>0</v>
      </c>
      <c r="O1008" s="20"/>
      <c r="P1008" s="12">
        <f t="shared" si="242"/>
        <v>0</v>
      </c>
      <c r="Q1008" s="20"/>
    </row>
    <row r="1009" spans="1:20" x14ac:dyDescent="0.3">
      <c r="A1009" s="1">
        <f t="shared" si="246"/>
        <v>21</v>
      </c>
      <c r="B1009" s="2">
        <v>10139319</v>
      </c>
      <c r="C1009" s="3" t="s">
        <v>454</v>
      </c>
      <c r="D1009" s="12" t="s">
        <v>40</v>
      </c>
      <c r="E1009" s="12" t="s">
        <v>40</v>
      </c>
      <c r="F1009" s="12" t="s">
        <v>40</v>
      </c>
      <c r="G1009" s="12"/>
      <c r="H1009" s="12"/>
      <c r="I1009" s="12"/>
      <c r="J1009" s="12"/>
      <c r="K1009" s="12"/>
      <c r="L1009" s="12">
        <v>2900</v>
      </c>
      <c r="M1009" s="15">
        <f t="shared" si="244"/>
        <v>4</v>
      </c>
      <c r="N1009" s="15">
        <f t="shared" si="245"/>
        <v>0</v>
      </c>
      <c r="O1009" s="12">
        <v>2900</v>
      </c>
      <c r="P1009" s="12">
        <f t="shared" si="242"/>
        <v>241.66666666666666</v>
      </c>
      <c r="Q1009" s="12">
        <f t="shared" si="243"/>
        <v>241.66666666666666</v>
      </c>
    </row>
    <row r="1010" spans="1:20" x14ac:dyDescent="0.3">
      <c r="A1010" s="1">
        <f t="shared" si="246"/>
        <v>22</v>
      </c>
      <c r="B1010" s="2" t="s">
        <v>807</v>
      </c>
      <c r="C1010" s="3" t="s">
        <v>454</v>
      </c>
      <c r="D1010" s="12" t="s">
        <v>40</v>
      </c>
      <c r="E1010" s="12" t="s">
        <v>40</v>
      </c>
      <c r="F1010" s="12"/>
      <c r="G1010" s="12"/>
      <c r="H1010" s="12"/>
      <c r="I1010" s="12"/>
      <c r="J1010" s="12"/>
      <c r="K1010" s="12"/>
      <c r="L1010" s="12">
        <v>135000</v>
      </c>
      <c r="M1010" s="15">
        <f t="shared" si="244"/>
        <v>2</v>
      </c>
      <c r="N1010" s="15">
        <f t="shared" si="245"/>
        <v>0</v>
      </c>
      <c r="O1010" s="12">
        <v>135000</v>
      </c>
      <c r="P1010" s="12">
        <f t="shared" si="242"/>
        <v>11250</v>
      </c>
      <c r="Q1010" s="12">
        <f t="shared" si="243"/>
        <v>11250</v>
      </c>
    </row>
    <row r="1011" spans="1:20" x14ac:dyDescent="0.3">
      <c r="A1011" s="1">
        <f t="shared" si="246"/>
        <v>23</v>
      </c>
      <c r="B1011" s="2">
        <v>20004181</v>
      </c>
      <c r="C1011" s="3" t="s">
        <v>454</v>
      </c>
      <c r="D1011" s="12" t="s">
        <v>40</v>
      </c>
      <c r="E1011" s="12" t="s">
        <v>40</v>
      </c>
      <c r="F1011" s="12"/>
      <c r="G1011" s="12"/>
      <c r="H1011" s="12"/>
      <c r="I1011" s="12"/>
      <c r="J1011" s="12"/>
      <c r="K1011" s="12"/>
      <c r="L1011" s="12">
        <v>36000</v>
      </c>
      <c r="M1011" s="15">
        <f t="shared" si="244"/>
        <v>2</v>
      </c>
      <c r="N1011" s="15">
        <f t="shared" si="245"/>
        <v>0</v>
      </c>
      <c r="O1011" s="12">
        <v>36000</v>
      </c>
      <c r="P1011" s="12">
        <f t="shared" si="242"/>
        <v>3000</v>
      </c>
      <c r="Q1011" s="12">
        <f t="shared" si="243"/>
        <v>3000</v>
      </c>
    </row>
    <row r="1012" spans="1:20" x14ac:dyDescent="0.3">
      <c r="A1012" s="1">
        <f t="shared" si="246"/>
        <v>24</v>
      </c>
      <c r="B1012" s="2" t="s">
        <v>813</v>
      </c>
      <c r="C1012" s="3" t="s">
        <v>454</v>
      </c>
      <c r="D1012" s="12" t="s">
        <v>40</v>
      </c>
      <c r="E1012" s="12" t="s">
        <v>40</v>
      </c>
      <c r="F1012" s="12"/>
      <c r="G1012" s="12"/>
      <c r="H1012" s="12" t="s">
        <v>40</v>
      </c>
      <c r="I1012" s="12"/>
      <c r="J1012" s="12"/>
      <c r="K1012" s="12"/>
      <c r="L1012" s="12">
        <v>165272</v>
      </c>
      <c r="M1012" s="15">
        <f t="shared" si="244"/>
        <v>5</v>
      </c>
      <c r="N1012" s="15">
        <f t="shared" si="245"/>
        <v>0</v>
      </c>
      <c r="O1012" s="12">
        <v>165272</v>
      </c>
      <c r="P1012" s="12">
        <f t="shared" si="242"/>
        <v>13772.666666666666</v>
      </c>
      <c r="Q1012" s="12">
        <f t="shared" si="243"/>
        <v>13772.666666666666</v>
      </c>
    </row>
    <row r="1013" spans="1:20" x14ac:dyDescent="0.3">
      <c r="A1013" s="1">
        <f t="shared" si="246"/>
        <v>25</v>
      </c>
      <c r="B1013" s="2">
        <v>17930875</v>
      </c>
      <c r="C1013" s="3" t="s">
        <v>454</v>
      </c>
      <c r="D1013" s="12" t="s">
        <v>40</v>
      </c>
      <c r="E1013" s="12" t="s">
        <v>40</v>
      </c>
      <c r="F1013" s="12" t="s">
        <v>40</v>
      </c>
      <c r="G1013" s="12"/>
      <c r="H1013" s="12" t="s">
        <v>40</v>
      </c>
      <c r="I1013" s="12"/>
      <c r="J1013" s="12"/>
      <c r="K1013" s="12"/>
      <c r="L1013" s="12">
        <v>35000</v>
      </c>
      <c r="M1013" s="15">
        <f t="shared" si="244"/>
        <v>7</v>
      </c>
      <c r="N1013" s="15">
        <f t="shared" si="245"/>
        <v>0</v>
      </c>
      <c r="O1013" s="12">
        <v>35000</v>
      </c>
      <c r="P1013" s="12">
        <f t="shared" si="242"/>
        <v>2916.6666666666665</v>
      </c>
      <c r="Q1013" s="12">
        <f t="shared" si="243"/>
        <v>2916.6666666666665</v>
      </c>
    </row>
    <row r="1014" spans="1:20" x14ac:dyDescent="0.3">
      <c r="A1014" s="1">
        <f t="shared" si="246"/>
        <v>26</v>
      </c>
      <c r="B1014" s="44"/>
      <c r="C1014" s="9"/>
      <c r="D1014" s="13"/>
      <c r="E1014" s="13"/>
      <c r="F1014" s="13"/>
      <c r="G1014" s="13"/>
      <c r="H1014" s="13"/>
      <c r="I1014" s="13"/>
      <c r="J1014" s="13"/>
      <c r="K1014" s="13"/>
      <c r="L1014" s="13"/>
      <c r="M1014" s="16"/>
      <c r="N1014" s="16"/>
      <c r="O1014" s="13"/>
      <c r="P1014" s="13"/>
      <c r="Q1014" s="13"/>
    </row>
    <row r="1015" spans="1:20" x14ac:dyDescent="0.3">
      <c r="A1015" s="1">
        <f t="shared" si="246"/>
        <v>27</v>
      </c>
      <c r="B1015" s="2" t="s">
        <v>814</v>
      </c>
      <c r="C1015" s="3" t="s">
        <v>454</v>
      </c>
      <c r="D1015" s="12" t="s">
        <v>40</v>
      </c>
      <c r="E1015" s="12" t="s">
        <v>40</v>
      </c>
      <c r="F1015" s="12"/>
      <c r="G1015" s="12"/>
      <c r="H1015" s="12"/>
      <c r="I1015" s="12"/>
      <c r="J1015" s="12"/>
      <c r="K1015" s="12"/>
      <c r="L1015" s="12">
        <v>48000</v>
      </c>
      <c r="M1015" s="15">
        <f t="shared" si="244"/>
        <v>2</v>
      </c>
      <c r="N1015" s="15">
        <f t="shared" si="245"/>
        <v>0</v>
      </c>
      <c r="O1015" s="12">
        <v>48000</v>
      </c>
      <c r="P1015" s="12">
        <f t="shared" si="242"/>
        <v>4000</v>
      </c>
      <c r="Q1015" s="12">
        <f t="shared" si="243"/>
        <v>4000</v>
      </c>
    </row>
    <row r="1016" spans="1:20" x14ac:dyDescent="0.3">
      <c r="A1016" s="1">
        <f t="shared" si="246"/>
        <v>28</v>
      </c>
      <c r="B1016" s="2" t="s">
        <v>821</v>
      </c>
      <c r="C1016" s="3" t="s">
        <v>454</v>
      </c>
      <c r="D1016" s="12" t="s">
        <v>40</v>
      </c>
      <c r="E1016" s="12" t="s">
        <v>40</v>
      </c>
      <c r="F1016" s="12"/>
      <c r="G1016" s="12"/>
      <c r="H1016" s="12" t="s">
        <v>40</v>
      </c>
      <c r="I1016" s="12"/>
      <c r="J1016" s="12"/>
      <c r="K1016" s="12"/>
      <c r="L1016" s="12">
        <v>42000</v>
      </c>
      <c r="M1016" s="15">
        <f t="shared" si="244"/>
        <v>5</v>
      </c>
      <c r="N1016" s="15">
        <f t="shared" si="245"/>
        <v>0</v>
      </c>
      <c r="O1016" s="12">
        <v>42000</v>
      </c>
      <c r="P1016" s="12">
        <f t="shared" si="242"/>
        <v>3500</v>
      </c>
      <c r="Q1016" s="12">
        <f t="shared" si="243"/>
        <v>3500</v>
      </c>
    </row>
    <row r="1017" spans="1:20" x14ac:dyDescent="0.3">
      <c r="A1017" s="1">
        <f t="shared" si="246"/>
        <v>29</v>
      </c>
      <c r="B1017" s="2">
        <v>10159075</v>
      </c>
      <c r="C1017" s="3" t="s">
        <v>454</v>
      </c>
      <c r="D1017" s="12" t="s">
        <v>40</v>
      </c>
      <c r="E1017" s="12" t="s">
        <v>40</v>
      </c>
      <c r="F1017" s="12"/>
      <c r="G1017" s="12" t="s">
        <v>40</v>
      </c>
      <c r="H1017" s="12"/>
      <c r="I1017" s="12"/>
      <c r="J1017" s="12"/>
      <c r="K1017" s="12"/>
      <c r="L1017" s="12">
        <v>26250</v>
      </c>
      <c r="M1017" s="15">
        <f t="shared" si="244"/>
        <v>4</v>
      </c>
      <c r="N1017" s="15">
        <f t="shared" si="245"/>
        <v>0</v>
      </c>
      <c r="O1017" s="12">
        <v>26250</v>
      </c>
      <c r="P1017" s="12">
        <f t="shared" si="242"/>
        <v>2187.5</v>
      </c>
      <c r="Q1017" s="12">
        <f t="shared" si="243"/>
        <v>2187.5</v>
      </c>
    </row>
    <row r="1018" spans="1:20" x14ac:dyDescent="0.3">
      <c r="A1018" s="1">
        <f t="shared" si="246"/>
        <v>30</v>
      </c>
      <c r="B1018" s="2" t="s">
        <v>815</v>
      </c>
      <c r="C1018" s="3" t="s">
        <v>454</v>
      </c>
      <c r="D1018" s="12" t="s">
        <v>40</v>
      </c>
      <c r="E1018" s="12" t="s">
        <v>40</v>
      </c>
      <c r="F1018" s="12" t="s">
        <v>40</v>
      </c>
      <c r="G1018" s="12"/>
      <c r="H1018" s="12"/>
      <c r="I1018" s="12"/>
      <c r="J1018" s="12"/>
      <c r="K1018" s="12"/>
      <c r="L1018" s="12">
        <v>3500</v>
      </c>
      <c r="M1018" s="15">
        <f t="shared" si="244"/>
        <v>4</v>
      </c>
      <c r="N1018" s="15">
        <f t="shared" si="245"/>
        <v>0</v>
      </c>
      <c r="O1018" s="12">
        <v>3500</v>
      </c>
      <c r="P1018" s="12">
        <f t="shared" si="242"/>
        <v>291.66666666666669</v>
      </c>
      <c r="Q1018" s="12">
        <f t="shared" si="243"/>
        <v>291.66666666666669</v>
      </c>
    </row>
    <row r="1019" spans="1:20" x14ac:dyDescent="0.3">
      <c r="B1019" s="29"/>
      <c r="L1019" s="14">
        <f>+AVERAGE(L989:L1018)</f>
        <v>81053.164285714272</v>
      </c>
      <c r="M1019" s="14">
        <f>+AVERAGE(M989:M1018)</f>
        <v>5.6428571428571432</v>
      </c>
      <c r="N1019" s="14">
        <f>+SUM(N989:N1018)</f>
        <v>1</v>
      </c>
      <c r="O1019" s="14">
        <f>+AVERAGE(O989:O1018)</f>
        <v>75822.33043478262</v>
      </c>
      <c r="P1019" s="14">
        <f>+AVERAGE(P989:P1018)</f>
        <v>6754.4303571428545</v>
      </c>
      <c r="Q1019" s="14">
        <f>+AVERAGE(Q989:Q1018)</f>
        <v>6318.5275362318844</v>
      </c>
      <c r="R1019" s="14">
        <f>30-COUNTBLANK(R989:R1018)</f>
        <v>2</v>
      </c>
    </row>
    <row r="1020" spans="1:20" x14ac:dyDescent="0.3">
      <c r="L1020" s="14">
        <f>+STDEV(L989:L1018)</f>
        <v>140066.59730764641</v>
      </c>
      <c r="M1020" s="14">
        <f>+STDEV(M989:M1018)</f>
        <v>2.9840847683606282</v>
      </c>
      <c r="N1020" s="17"/>
      <c r="O1020" s="14">
        <f>+STDEV(O989:O1018)</f>
        <v>117781.80016120114</v>
      </c>
      <c r="P1020" s="14">
        <f>+STDEV(P989:P1018)</f>
        <v>11672.216442303865</v>
      </c>
      <c r="Q1020" s="14">
        <f>+STDEV(Q989:Q1018)</f>
        <v>9815.150013433431</v>
      </c>
    </row>
    <row r="1021" spans="1:20" x14ac:dyDescent="0.3">
      <c r="I1021" s="15"/>
      <c r="J1021" s="15"/>
      <c r="K1021" s="11" t="s">
        <v>75</v>
      </c>
      <c r="L1021" s="14">
        <f>+COUNTIF(L989:L1018,0)</f>
        <v>4</v>
      </c>
      <c r="M1021" s="14">
        <f>+COUNT(M989:M1018)</f>
        <v>28</v>
      </c>
      <c r="P1021" s="14">
        <f>+COUNTIF(P989:P1018,0)</f>
        <v>4</v>
      </c>
    </row>
    <row r="1023" spans="1:20" x14ac:dyDescent="0.3">
      <c r="A1023" s="1">
        <v>1</v>
      </c>
      <c r="B1023" s="2" t="s">
        <v>844</v>
      </c>
      <c r="C1023" s="3" t="s">
        <v>456</v>
      </c>
      <c r="D1023" s="12" t="s">
        <v>40</v>
      </c>
      <c r="E1023" s="12" t="s">
        <v>40</v>
      </c>
      <c r="F1023" s="12"/>
      <c r="G1023" s="12"/>
      <c r="H1023" s="12" t="s">
        <v>40</v>
      </c>
      <c r="I1023" s="12" t="s">
        <v>40</v>
      </c>
      <c r="J1023" s="12" t="s">
        <v>40</v>
      </c>
      <c r="K1023" s="12"/>
      <c r="L1023" s="12">
        <v>11409038.640000001</v>
      </c>
      <c r="M1023" s="15">
        <f>+IF(D1023="X",1,0)+IF(E1023="X",1,0)+IF(F1023="X",2,0)+IF(G1023="X",2,0)+IF(H1023="X",3,IF(H1023="Y",1.5,0))+IF(I1023="X",5,IF(I1023="Y",2.5,0))+IF(J1023="X",10,IF(J1023="Y",5,0))</f>
        <v>20</v>
      </c>
      <c r="N1023" s="15">
        <f>+IF(K1023="X",1,0)</f>
        <v>0</v>
      </c>
      <c r="O1023" s="20"/>
      <c r="P1023" s="12">
        <f t="shared" ref="P1023" si="247">+L1023/12</f>
        <v>950753.22000000009</v>
      </c>
      <c r="Q1023" s="20"/>
      <c r="R1023" s="15" t="s">
        <v>461</v>
      </c>
    </row>
    <row r="1024" spans="1:20" x14ac:dyDescent="0.3">
      <c r="A1024" s="1">
        <f>+A1023+1</f>
        <v>2</v>
      </c>
      <c r="B1024" s="2" t="s">
        <v>845</v>
      </c>
      <c r="C1024" s="3" t="s">
        <v>456</v>
      </c>
      <c r="D1024" s="12" t="s">
        <v>40</v>
      </c>
      <c r="E1024" s="12" t="s">
        <v>40</v>
      </c>
      <c r="F1024" s="12"/>
      <c r="G1024" s="12"/>
      <c r="H1024" s="12" t="s">
        <v>40</v>
      </c>
      <c r="I1024" s="12" t="s">
        <v>40</v>
      </c>
      <c r="J1024" s="12"/>
      <c r="K1024" s="12"/>
      <c r="L1024" s="12">
        <v>54000</v>
      </c>
      <c r="M1024" s="15">
        <f t="shared" ref="M1024:M1052" si="248">+IF(D1024="X",1,0)+IF(E1024="X",1,0)+IF(F1024="X",2,0)+IF(G1024="X",2,0)+IF(H1024="X",3,IF(H1024="Y",1.5,0))+IF(I1024="X",5,IF(I1024="Y",2.5,0))+IF(J1024="X",10,IF(J1024="Y",5,0))</f>
        <v>10</v>
      </c>
      <c r="N1024" s="15">
        <f t="shared" ref="N1024:N1052" si="249">+IF(K1024="X",1,0)</f>
        <v>0</v>
      </c>
      <c r="O1024" s="12">
        <v>54000</v>
      </c>
      <c r="P1024" s="12">
        <f t="shared" ref="P1024:P1052" si="250">+L1024/12</f>
        <v>4500</v>
      </c>
      <c r="Q1024" s="12">
        <f t="shared" ref="Q1024:Q1052" si="251">+O1024/12</f>
        <v>4500</v>
      </c>
      <c r="R1024" s="15"/>
      <c r="S1024" t="s">
        <v>461</v>
      </c>
      <c r="T1024" t="s">
        <v>151</v>
      </c>
    </row>
    <row r="1025" spans="1:21" x14ac:dyDescent="0.3">
      <c r="A1025" s="1">
        <f t="shared" ref="A1025:A1052" si="252">+A1024+1</f>
        <v>3</v>
      </c>
      <c r="B1025" s="2" t="s">
        <v>846</v>
      </c>
      <c r="C1025" s="3" t="s">
        <v>456</v>
      </c>
      <c r="D1025" s="12" t="s">
        <v>40</v>
      </c>
      <c r="E1025" s="12" t="s">
        <v>40</v>
      </c>
      <c r="F1025" s="12"/>
      <c r="G1025" s="12"/>
      <c r="H1025" s="12" t="s">
        <v>40</v>
      </c>
      <c r="I1025" s="12"/>
      <c r="J1025" s="12"/>
      <c r="K1025" s="12"/>
      <c r="L1025" s="12">
        <v>226116</v>
      </c>
      <c r="M1025" s="15">
        <f t="shared" si="248"/>
        <v>5</v>
      </c>
      <c r="N1025" s="15">
        <f t="shared" si="249"/>
        <v>0</v>
      </c>
      <c r="O1025" s="12">
        <v>226116</v>
      </c>
      <c r="P1025" s="12">
        <f t="shared" si="250"/>
        <v>18843</v>
      </c>
      <c r="Q1025" s="12">
        <f t="shared" si="251"/>
        <v>18843</v>
      </c>
      <c r="R1025" s="15"/>
    </row>
    <row r="1026" spans="1:21" x14ac:dyDescent="0.3">
      <c r="A1026" s="1">
        <f t="shared" si="252"/>
        <v>4</v>
      </c>
      <c r="B1026" s="2" t="s">
        <v>847</v>
      </c>
      <c r="C1026" s="3" t="s">
        <v>456</v>
      </c>
      <c r="D1026" s="12" t="s">
        <v>40</v>
      </c>
      <c r="E1026" s="12" t="s">
        <v>40</v>
      </c>
      <c r="F1026" s="12" t="s">
        <v>40</v>
      </c>
      <c r="G1026" s="12"/>
      <c r="H1026" s="12" t="s">
        <v>40</v>
      </c>
      <c r="I1026" s="12" t="s">
        <v>40</v>
      </c>
      <c r="J1026" s="12"/>
      <c r="K1026" s="12"/>
      <c r="L1026" s="12">
        <v>319200</v>
      </c>
      <c r="M1026" s="15">
        <f t="shared" si="248"/>
        <v>12</v>
      </c>
      <c r="N1026" s="15">
        <f t="shared" si="249"/>
        <v>0</v>
      </c>
      <c r="O1026" s="12">
        <v>319200</v>
      </c>
      <c r="P1026" s="12">
        <f t="shared" si="250"/>
        <v>26600</v>
      </c>
      <c r="Q1026" s="12">
        <f t="shared" si="251"/>
        <v>26600</v>
      </c>
      <c r="R1026" s="15" t="s">
        <v>140</v>
      </c>
    </row>
    <row r="1027" spans="1:21" x14ac:dyDescent="0.3">
      <c r="A1027" s="1">
        <f t="shared" si="252"/>
        <v>5</v>
      </c>
      <c r="B1027" s="2">
        <v>44649199</v>
      </c>
      <c r="C1027" s="3" t="s">
        <v>456</v>
      </c>
      <c r="D1027" s="12" t="s">
        <v>40</v>
      </c>
      <c r="E1027" s="12" t="s">
        <v>40</v>
      </c>
      <c r="F1027" s="12"/>
      <c r="G1027" s="12"/>
      <c r="H1027" s="12" t="s">
        <v>40</v>
      </c>
      <c r="I1027" s="12" t="s">
        <v>40</v>
      </c>
      <c r="J1027" s="12"/>
      <c r="K1027" s="12"/>
      <c r="L1027" s="12">
        <v>411650</v>
      </c>
      <c r="M1027" s="15">
        <f t="shared" si="248"/>
        <v>10</v>
      </c>
      <c r="N1027" s="15">
        <f t="shared" si="249"/>
        <v>0</v>
      </c>
      <c r="O1027" s="12">
        <v>411650</v>
      </c>
      <c r="P1027" s="12">
        <f t="shared" si="250"/>
        <v>34304.166666666664</v>
      </c>
      <c r="Q1027" s="12">
        <f t="shared" si="251"/>
        <v>34304.166666666664</v>
      </c>
      <c r="R1027" s="15" t="s">
        <v>140</v>
      </c>
    </row>
    <row r="1028" spans="1:21" x14ac:dyDescent="0.3">
      <c r="A1028" s="1">
        <f t="shared" si="252"/>
        <v>6</v>
      </c>
      <c r="B1028" s="2" t="s">
        <v>848</v>
      </c>
      <c r="C1028" s="3" t="s">
        <v>456</v>
      </c>
      <c r="D1028" s="12" t="s">
        <v>40</v>
      </c>
      <c r="E1028" s="12" t="s">
        <v>40</v>
      </c>
      <c r="F1028" s="12"/>
      <c r="G1028" s="12"/>
      <c r="H1028" s="12"/>
      <c r="I1028" s="12"/>
      <c r="J1028" s="12"/>
      <c r="K1028" s="12"/>
      <c r="L1028" s="12">
        <v>0</v>
      </c>
      <c r="M1028" s="15">
        <f t="shared" si="248"/>
        <v>2</v>
      </c>
      <c r="N1028" s="15">
        <f t="shared" si="249"/>
        <v>0</v>
      </c>
      <c r="O1028" s="20"/>
      <c r="P1028" s="12">
        <f t="shared" si="250"/>
        <v>0</v>
      </c>
      <c r="Q1028" s="20"/>
      <c r="R1028" s="15"/>
    </row>
    <row r="1029" spans="1:21" x14ac:dyDescent="0.3">
      <c r="A1029" s="1">
        <f t="shared" si="252"/>
        <v>7</v>
      </c>
      <c r="B1029" s="2">
        <v>21144434</v>
      </c>
      <c r="C1029" s="3" t="s">
        <v>456</v>
      </c>
      <c r="D1029" s="12" t="s">
        <v>40</v>
      </c>
      <c r="E1029" s="12" t="s">
        <v>40</v>
      </c>
      <c r="F1029" s="12"/>
      <c r="G1029" s="12"/>
      <c r="H1029" s="12"/>
      <c r="I1029" s="12"/>
      <c r="J1029" s="12"/>
      <c r="K1029" s="12" t="s">
        <v>40</v>
      </c>
      <c r="L1029" s="12">
        <v>0</v>
      </c>
      <c r="M1029" s="15">
        <f t="shared" si="248"/>
        <v>2</v>
      </c>
      <c r="N1029" s="15">
        <f t="shared" si="249"/>
        <v>1</v>
      </c>
      <c r="O1029" s="20"/>
      <c r="P1029" s="12">
        <f t="shared" si="250"/>
        <v>0</v>
      </c>
      <c r="Q1029" s="20"/>
      <c r="R1029" s="15"/>
    </row>
    <row r="1030" spans="1:21" x14ac:dyDescent="0.3">
      <c r="A1030" s="1">
        <f t="shared" si="252"/>
        <v>8</v>
      </c>
      <c r="B1030" s="2" t="s">
        <v>849</v>
      </c>
      <c r="C1030" s="3" t="s">
        <v>456</v>
      </c>
      <c r="D1030" s="12" t="s">
        <v>40</v>
      </c>
      <c r="E1030" s="12" t="s">
        <v>40</v>
      </c>
      <c r="F1030" s="12"/>
      <c r="G1030" s="12"/>
      <c r="H1030" s="12"/>
      <c r="I1030" s="12"/>
      <c r="J1030" s="12"/>
      <c r="K1030" s="12"/>
      <c r="L1030" s="12">
        <v>17800</v>
      </c>
      <c r="M1030" s="15">
        <f t="shared" si="248"/>
        <v>2</v>
      </c>
      <c r="N1030" s="15">
        <f t="shared" si="249"/>
        <v>0</v>
      </c>
      <c r="O1030" s="12">
        <v>17800</v>
      </c>
      <c r="P1030" s="12">
        <f t="shared" si="250"/>
        <v>1483.3333333333333</v>
      </c>
      <c r="Q1030" s="12">
        <f t="shared" si="251"/>
        <v>1483.3333333333333</v>
      </c>
      <c r="R1030" s="15"/>
    </row>
    <row r="1031" spans="1:21" x14ac:dyDescent="0.3">
      <c r="A1031" s="1">
        <f t="shared" si="252"/>
        <v>9</v>
      </c>
      <c r="B1031" s="2" t="s">
        <v>850</v>
      </c>
      <c r="C1031" s="3" t="s">
        <v>456</v>
      </c>
      <c r="D1031" s="12" t="s">
        <v>40</v>
      </c>
      <c r="E1031" s="12" t="s">
        <v>40</v>
      </c>
      <c r="F1031" s="12"/>
      <c r="G1031" s="12"/>
      <c r="H1031" s="12" t="s">
        <v>40</v>
      </c>
      <c r="I1031" s="12"/>
      <c r="J1031" s="12"/>
      <c r="K1031" s="12"/>
      <c r="L1031" s="12">
        <v>330728</v>
      </c>
      <c r="M1031" s="15">
        <f t="shared" si="248"/>
        <v>5</v>
      </c>
      <c r="N1031" s="15">
        <f t="shared" si="249"/>
        <v>0</v>
      </c>
      <c r="O1031" s="12">
        <v>330728</v>
      </c>
      <c r="P1031" s="12">
        <f t="shared" si="250"/>
        <v>27560.666666666668</v>
      </c>
      <c r="Q1031" s="12">
        <f t="shared" si="251"/>
        <v>27560.666666666668</v>
      </c>
      <c r="R1031" s="15" t="s">
        <v>140</v>
      </c>
    </row>
    <row r="1032" spans="1:21" x14ac:dyDescent="0.3">
      <c r="A1032" s="1">
        <f t="shared" si="252"/>
        <v>10</v>
      </c>
      <c r="B1032" s="2" t="s">
        <v>851</v>
      </c>
      <c r="C1032" s="3" t="s">
        <v>456</v>
      </c>
      <c r="D1032" s="12" t="s">
        <v>40</v>
      </c>
      <c r="E1032" s="12" t="s">
        <v>40</v>
      </c>
      <c r="F1032" s="12"/>
      <c r="G1032" s="12"/>
      <c r="H1032" s="12"/>
      <c r="I1032" s="12"/>
      <c r="J1032" s="12"/>
      <c r="K1032" s="12"/>
      <c r="L1032" s="12">
        <v>0</v>
      </c>
      <c r="M1032" s="15">
        <f t="shared" si="248"/>
        <v>2</v>
      </c>
      <c r="N1032" s="15">
        <f t="shared" si="249"/>
        <v>0</v>
      </c>
      <c r="O1032" s="20"/>
      <c r="P1032" s="12">
        <f t="shared" si="250"/>
        <v>0</v>
      </c>
      <c r="Q1032" s="20"/>
      <c r="R1032" s="15"/>
      <c r="U1032" t="s">
        <v>841</v>
      </c>
    </row>
    <row r="1033" spans="1:21" x14ac:dyDescent="0.3">
      <c r="A1033" s="1">
        <f t="shared" si="252"/>
        <v>11</v>
      </c>
      <c r="B1033" s="2">
        <v>43267304</v>
      </c>
      <c r="C1033" s="3" t="s">
        <v>456</v>
      </c>
      <c r="D1033" s="12" t="s">
        <v>40</v>
      </c>
      <c r="E1033" s="12" t="s">
        <v>40</v>
      </c>
      <c r="F1033" s="12"/>
      <c r="G1033" s="12"/>
      <c r="H1033" s="12" t="s">
        <v>40</v>
      </c>
      <c r="I1033" s="12" t="s">
        <v>40</v>
      </c>
      <c r="J1033" s="12"/>
      <c r="K1033" s="12" t="s">
        <v>40</v>
      </c>
      <c r="L1033" s="12">
        <v>102876</v>
      </c>
      <c r="M1033" s="15">
        <f t="shared" si="248"/>
        <v>10</v>
      </c>
      <c r="N1033" s="15">
        <f t="shared" si="249"/>
        <v>1</v>
      </c>
      <c r="O1033" s="12">
        <v>102876</v>
      </c>
      <c r="P1033" s="12">
        <f t="shared" si="250"/>
        <v>8573</v>
      </c>
      <c r="Q1033" s="12">
        <f t="shared" si="251"/>
        <v>8573</v>
      </c>
      <c r="R1033" s="15"/>
    </row>
    <row r="1034" spans="1:21" x14ac:dyDescent="0.3">
      <c r="A1034" s="1">
        <f t="shared" si="252"/>
        <v>12</v>
      </c>
      <c r="B1034" s="2" t="s">
        <v>852</v>
      </c>
      <c r="C1034" s="3" t="s">
        <v>456</v>
      </c>
      <c r="D1034" s="12" t="s">
        <v>40</v>
      </c>
      <c r="E1034" s="12" t="s">
        <v>40</v>
      </c>
      <c r="F1034" s="12" t="s">
        <v>40</v>
      </c>
      <c r="G1034" s="12"/>
      <c r="H1034" s="12"/>
      <c r="I1034" s="12"/>
      <c r="J1034" s="12"/>
      <c r="K1034" s="12"/>
      <c r="L1034" s="12">
        <v>0</v>
      </c>
      <c r="M1034" s="15">
        <f t="shared" si="248"/>
        <v>4</v>
      </c>
      <c r="N1034" s="15">
        <f t="shared" si="249"/>
        <v>0</v>
      </c>
      <c r="O1034" s="20"/>
      <c r="P1034" s="12">
        <f t="shared" si="250"/>
        <v>0</v>
      </c>
      <c r="Q1034" s="20"/>
      <c r="R1034" s="15"/>
      <c r="U1034" t="s">
        <v>842</v>
      </c>
    </row>
    <row r="1035" spans="1:21" x14ac:dyDescent="0.3">
      <c r="A1035" s="1">
        <f t="shared" si="252"/>
        <v>13</v>
      </c>
      <c r="B1035" s="2" t="s">
        <v>853</v>
      </c>
      <c r="C1035" s="3" t="s">
        <v>456</v>
      </c>
      <c r="D1035" s="12" t="s">
        <v>40</v>
      </c>
      <c r="E1035" s="12" t="s">
        <v>40</v>
      </c>
      <c r="F1035" s="12"/>
      <c r="G1035" s="12"/>
      <c r="H1035" s="12" t="s">
        <v>40</v>
      </c>
      <c r="I1035" s="12"/>
      <c r="J1035" s="12"/>
      <c r="K1035" s="12"/>
      <c r="L1035" s="12">
        <v>145525</v>
      </c>
      <c r="M1035" s="15">
        <f t="shared" si="248"/>
        <v>5</v>
      </c>
      <c r="N1035" s="15">
        <f t="shared" si="249"/>
        <v>0</v>
      </c>
      <c r="O1035" s="12">
        <v>145525</v>
      </c>
      <c r="P1035" s="12">
        <f t="shared" si="250"/>
        <v>12127.083333333334</v>
      </c>
      <c r="Q1035" s="12">
        <f t="shared" si="251"/>
        <v>12127.083333333334</v>
      </c>
      <c r="R1035" s="15"/>
    </row>
    <row r="1036" spans="1:21" x14ac:dyDescent="0.3">
      <c r="A1036" s="1">
        <f t="shared" si="252"/>
        <v>14</v>
      </c>
      <c r="B1036" s="2" t="s">
        <v>854</v>
      </c>
      <c r="C1036" s="3" t="s">
        <v>456</v>
      </c>
      <c r="D1036" s="12" t="s">
        <v>40</v>
      </c>
      <c r="E1036" s="12" t="s">
        <v>40</v>
      </c>
      <c r="F1036" s="12"/>
      <c r="G1036" s="12"/>
      <c r="H1036" s="12"/>
      <c r="I1036" s="12"/>
      <c r="J1036" s="12"/>
      <c r="K1036" s="12"/>
      <c r="L1036" s="12">
        <v>0</v>
      </c>
      <c r="M1036" s="15">
        <f t="shared" si="248"/>
        <v>2</v>
      </c>
      <c r="N1036" s="15">
        <f t="shared" si="249"/>
        <v>0</v>
      </c>
      <c r="O1036" s="20"/>
      <c r="P1036" s="12">
        <f t="shared" si="250"/>
        <v>0</v>
      </c>
      <c r="Q1036" s="20"/>
      <c r="R1036" s="15"/>
    </row>
    <row r="1037" spans="1:21" x14ac:dyDescent="0.3">
      <c r="A1037" s="1">
        <f t="shared" si="252"/>
        <v>15</v>
      </c>
      <c r="B1037" s="2" t="s">
        <v>855</v>
      </c>
      <c r="C1037" s="3" t="s">
        <v>456</v>
      </c>
      <c r="D1037" s="12" t="s">
        <v>40</v>
      </c>
      <c r="E1037" s="12" t="s">
        <v>40</v>
      </c>
      <c r="F1037" s="12"/>
      <c r="G1037" s="12"/>
      <c r="H1037" s="12" t="s">
        <v>40</v>
      </c>
      <c r="I1037" s="12"/>
      <c r="J1037" s="12"/>
      <c r="K1037" s="12"/>
      <c r="L1037" s="12">
        <v>175000</v>
      </c>
      <c r="M1037" s="15">
        <f t="shared" si="248"/>
        <v>5</v>
      </c>
      <c r="N1037" s="15">
        <f t="shared" si="249"/>
        <v>0</v>
      </c>
      <c r="O1037" s="12">
        <v>175000</v>
      </c>
      <c r="P1037" s="12">
        <f t="shared" si="250"/>
        <v>14583.333333333334</v>
      </c>
      <c r="Q1037" s="12">
        <f t="shared" si="251"/>
        <v>14583.333333333334</v>
      </c>
      <c r="R1037" s="15"/>
    </row>
    <row r="1038" spans="1:21" x14ac:dyDescent="0.3">
      <c r="A1038" s="1">
        <f t="shared" si="252"/>
        <v>16</v>
      </c>
      <c r="B1038" s="2" t="s">
        <v>856</v>
      </c>
      <c r="C1038" s="3" t="s">
        <v>456</v>
      </c>
      <c r="D1038" s="12" t="s">
        <v>40</v>
      </c>
      <c r="E1038" s="12" t="s">
        <v>40</v>
      </c>
      <c r="F1038" s="12" t="s">
        <v>40</v>
      </c>
      <c r="G1038" s="12"/>
      <c r="H1038" s="12"/>
      <c r="I1038" s="12"/>
      <c r="J1038" s="12"/>
      <c r="K1038" s="12"/>
      <c r="L1038" s="12">
        <v>15600</v>
      </c>
      <c r="M1038" s="15">
        <f t="shared" si="248"/>
        <v>4</v>
      </c>
      <c r="N1038" s="15">
        <f t="shared" si="249"/>
        <v>0</v>
      </c>
      <c r="O1038" s="12">
        <v>15600</v>
      </c>
      <c r="P1038" s="12">
        <f t="shared" si="250"/>
        <v>1300</v>
      </c>
      <c r="Q1038" s="12">
        <f t="shared" si="251"/>
        <v>1300</v>
      </c>
      <c r="R1038" s="15"/>
    </row>
    <row r="1039" spans="1:21" x14ac:dyDescent="0.3">
      <c r="A1039" s="1">
        <f t="shared" si="252"/>
        <v>17</v>
      </c>
      <c r="B1039" s="2">
        <v>40320033</v>
      </c>
      <c r="C1039" s="3" t="s">
        <v>456</v>
      </c>
      <c r="D1039" s="12" t="s">
        <v>40</v>
      </c>
      <c r="E1039" s="12" t="s">
        <v>40</v>
      </c>
      <c r="F1039" s="12"/>
      <c r="G1039" s="12"/>
      <c r="H1039" s="12"/>
      <c r="I1039" s="12"/>
      <c r="J1039" s="12"/>
      <c r="K1039" s="12"/>
      <c r="L1039" s="12">
        <v>0</v>
      </c>
      <c r="M1039" s="15">
        <f t="shared" si="248"/>
        <v>2</v>
      </c>
      <c r="N1039" s="15">
        <f t="shared" si="249"/>
        <v>0</v>
      </c>
      <c r="O1039" s="20"/>
      <c r="P1039" s="12">
        <f t="shared" si="250"/>
        <v>0</v>
      </c>
      <c r="Q1039" s="20"/>
      <c r="R1039" s="15"/>
    </row>
    <row r="1040" spans="1:21" x14ac:dyDescent="0.3">
      <c r="A1040" s="1">
        <f t="shared" si="252"/>
        <v>18</v>
      </c>
      <c r="B1040" s="2">
        <v>25644863</v>
      </c>
      <c r="C1040" s="3" t="s">
        <v>456</v>
      </c>
      <c r="D1040" s="12" t="s">
        <v>40</v>
      </c>
      <c r="E1040" s="12" t="s">
        <v>40</v>
      </c>
      <c r="F1040" s="12"/>
      <c r="G1040" s="12"/>
      <c r="H1040" s="12"/>
      <c r="I1040" s="12"/>
      <c r="J1040" s="12"/>
      <c r="K1040" s="12"/>
      <c r="L1040" s="12">
        <v>14400</v>
      </c>
      <c r="M1040" s="15">
        <f t="shared" si="248"/>
        <v>2</v>
      </c>
      <c r="N1040" s="15">
        <f t="shared" si="249"/>
        <v>0</v>
      </c>
      <c r="O1040" s="12">
        <v>14400</v>
      </c>
      <c r="P1040" s="12">
        <f t="shared" si="250"/>
        <v>1200</v>
      </c>
      <c r="Q1040" s="12">
        <f t="shared" si="251"/>
        <v>1200</v>
      </c>
      <c r="R1040" s="15"/>
      <c r="U1040" t="s">
        <v>841</v>
      </c>
    </row>
    <row r="1041" spans="1:21" x14ac:dyDescent="0.3">
      <c r="A1041" s="1">
        <f t="shared" si="252"/>
        <v>19</v>
      </c>
      <c r="B1041" s="2" t="s">
        <v>857</v>
      </c>
      <c r="C1041" s="3" t="s">
        <v>456</v>
      </c>
      <c r="D1041" s="12" t="s">
        <v>40</v>
      </c>
      <c r="E1041" s="12" t="s">
        <v>40</v>
      </c>
      <c r="F1041" s="12"/>
      <c r="G1041" s="12"/>
      <c r="H1041" s="12" t="s">
        <v>40</v>
      </c>
      <c r="I1041" s="12" t="s">
        <v>40</v>
      </c>
      <c r="J1041" s="12"/>
      <c r="K1041" s="12"/>
      <c r="L1041" s="12">
        <v>44400</v>
      </c>
      <c r="M1041" s="15">
        <f t="shared" si="248"/>
        <v>10</v>
      </c>
      <c r="N1041" s="15">
        <f t="shared" si="249"/>
        <v>0</v>
      </c>
      <c r="O1041" s="12">
        <v>44400</v>
      </c>
      <c r="P1041" s="12">
        <f t="shared" si="250"/>
        <v>3700</v>
      </c>
      <c r="Q1041" s="12">
        <f t="shared" si="251"/>
        <v>3700</v>
      </c>
      <c r="R1041" s="15"/>
    </row>
    <row r="1042" spans="1:21" x14ac:dyDescent="0.3">
      <c r="A1042" s="1">
        <f t="shared" si="252"/>
        <v>20</v>
      </c>
      <c r="B1042" s="2" t="s">
        <v>858</v>
      </c>
      <c r="C1042" s="3" t="s">
        <v>456</v>
      </c>
      <c r="D1042" s="12" t="s">
        <v>40</v>
      </c>
      <c r="E1042" s="12" t="s">
        <v>40</v>
      </c>
      <c r="F1042" s="12"/>
      <c r="G1042" s="12"/>
      <c r="H1042" s="12"/>
      <c r="I1042" s="12"/>
      <c r="J1042" s="12"/>
      <c r="K1042" s="12"/>
      <c r="L1042" s="12">
        <v>56423.42</v>
      </c>
      <c r="M1042" s="15">
        <f t="shared" si="248"/>
        <v>2</v>
      </c>
      <c r="N1042" s="15">
        <f t="shared" si="249"/>
        <v>0</v>
      </c>
      <c r="O1042" s="12">
        <v>56423.42</v>
      </c>
      <c r="P1042" s="12">
        <f t="shared" si="250"/>
        <v>4701.9516666666668</v>
      </c>
      <c r="Q1042" s="12">
        <f t="shared" si="251"/>
        <v>4701.9516666666668</v>
      </c>
      <c r="R1042" s="15"/>
      <c r="U1042" t="s">
        <v>841</v>
      </c>
    </row>
    <row r="1043" spans="1:21" x14ac:dyDescent="0.3">
      <c r="A1043" s="1">
        <f t="shared" si="252"/>
        <v>21</v>
      </c>
      <c r="B1043" s="2" t="s">
        <v>859</v>
      </c>
      <c r="C1043" s="3" t="s">
        <v>456</v>
      </c>
      <c r="D1043" s="12" t="s">
        <v>40</v>
      </c>
      <c r="E1043" s="12" t="s">
        <v>40</v>
      </c>
      <c r="F1043" s="12"/>
      <c r="G1043" s="12"/>
      <c r="H1043" s="12"/>
      <c r="I1043" s="12"/>
      <c r="J1043" s="12"/>
      <c r="K1043" s="12"/>
      <c r="L1043" s="12">
        <v>18000</v>
      </c>
      <c r="M1043" s="15">
        <f t="shared" si="248"/>
        <v>2</v>
      </c>
      <c r="N1043" s="15">
        <f t="shared" si="249"/>
        <v>0</v>
      </c>
      <c r="O1043" s="12">
        <v>18000</v>
      </c>
      <c r="P1043" s="12">
        <f t="shared" si="250"/>
        <v>1500</v>
      </c>
      <c r="Q1043" s="12">
        <f t="shared" si="251"/>
        <v>1500</v>
      </c>
      <c r="R1043" s="15"/>
      <c r="U1043" t="s">
        <v>843</v>
      </c>
    </row>
    <row r="1044" spans="1:21" x14ac:dyDescent="0.3">
      <c r="A1044" s="1">
        <f t="shared" si="252"/>
        <v>22</v>
      </c>
      <c r="B1044" s="2" t="s">
        <v>860</v>
      </c>
      <c r="C1044" s="3" t="s">
        <v>456</v>
      </c>
      <c r="D1044" s="12" t="s">
        <v>40</v>
      </c>
      <c r="E1044" s="12" t="s">
        <v>40</v>
      </c>
      <c r="F1044" s="12"/>
      <c r="G1044" s="12"/>
      <c r="H1044" s="12"/>
      <c r="I1044" s="12"/>
      <c r="J1044" s="12"/>
      <c r="K1044" s="12"/>
      <c r="L1044" s="12">
        <v>0</v>
      </c>
      <c r="M1044" s="15">
        <f t="shared" si="248"/>
        <v>2</v>
      </c>
      <c r="N1044" s="15">
        <f t="shared" si="249"/>
        <v>0</v>
      </c>
      <c r="O1044" s="20"/>
      <c r="P1044" s="12">
        <f t="shared" si="250"/>
        <v>0</v>
      </c>
      <c r="Q1044" s="20"/>
      <c r="R1044" s="15"/>
    </row>
    <row r="1045" spans="1:21" x14ac:dyDescent="0.3">
      <c r="A1045" s="1">
        <f t="shared" si="252"/>
        <v>23</v>
      </c>
      <c r="B1045" s="2" t="s">
        <v>861</v>
      </c>
      <c r="C1045" s="3" t="s">
        <v>456</v>
      </c>
      <c r="D1045" s="12" t="s">
        <v>40</v>
      </c>
      <c r="E1045" s="12" t="s">
        <v>40</v>
      </c>
      <c r="F1045" s="12"/>
      <c r="G1045" s="12"/>
      <c r="H1045" s="12"/>
      <c r="I1045" s="12"/>
      <c r="J1045" s="12"/>
      <c r="K1045" s="12" t="s">
        <v>40</v>
      </c>
      <c r="L1045" s="12">
        <v>30000</v>
      </c>
      <c r="M1045" s="15">
        <f t="shared" si="248"/>
        <v>2</v>
      </c>
      <c r="N1045" s="15">
        <f t="shared" si="249"/>
        <v>1</v>
      </c>
      <c r="O1045" s="12">
        <v>30000</v>
      </c>
      <c r="P1045" s="12">
        <f t="shared" si="250"/>
        <v>2500</v>
      </c>
      <c r="Q1045" s="12">
        <f t="shared" si="251"/>
        <v>2500</v>
      </c>
      <c r="R1045" s="15"/>
    </row>
    <row r="1046" spans="1:21" x14ac:dyDescent="0.3">
      <c r="A1046" s="1">
        <f t="shared" si="252"/>
        <v>24</v>
      </c>
      <c r="B1046" s="2" t="s">
        <v>862</v>
      </c>
      <c r="C1046" s="3" t="s">
        <v>456</v>
      </c>
      <c r="D1046" s="12" t="s">
        <v>40</v>
      </c>
      <c r="E1046" s="12" t="s">
        <v>40</v>
      </c>
      <c r="F1046" s="12"/>
      <c r="G1046" s="12"/>
      <c r="H1046" s="12"/>
      <c r="I1046" s="12"/>
      <c r="J1046" s="12"/>
      <c r="K1046" s="12"/>
      <c r="L1046" s="12">
        <v>7200</v>
      </c>
      <c r="M1046" s="15">
        <f t="shared" si="248"/>
        <v>2</v>
      </c>
      <c r="N1046" s="15">
        <f t="shared" si="249"/>
        <v>0</v>
      </c>
      <c r="O1046" s="12">
        <v>7200</v>
      </c>
      <c r="P1046" s="12">
        <f t="shared" si="250"/>
        <v>600</v>
      </c>
      <c r="Q1046" s="12">
        <f t="shared" si="251"/>
        <v>600</v>
      </c>
      <c r="R1046" s="15"/>
    </row>
    <row r="1047" spans="1:21" x14ac:dyDescent="0.3">
      <c r="A1047" s="1">
        <f t="shared" si="252"/>
        <v>25</v>
      </c>
      <c r="B1047" s="2" t="s">
        <v>863</v>
      </c>
      <c r="C1047" s="3" t="s">
        <v>456</v>
      </c>
      <c r="D1047" s="12" t="s">
        <v>40</v>
      </c>
      <c r="E1047" s="12" t="s">
        <v>40</v>
      </c>
      <c r="F1047" s="12"/>
      <c r="G1047" s="12"/>
      <c r="H1047" s="12" t="s">
        <v>40</v>
      </c>
      <c r="I1047" s="12"/>
      <c r="J1047" s="12"/>
      <c r="K1047" s="12"/>
      <c r="L1047" s="12">
        <v>179311</v>
      </c>
      <c r="M1047" s="15">
        <f t="shared" si="248"/>
        <v>5</v>
      </c>
      <c r="N1047" s="15">
        <f t="shared" si="249"/>
        <v>0</v>
      </c>
      <c r="O1047" s="12">
        <v>179311</v>
      </c>
      <c r="P1047" s="12">
        <f t="shared" si="250"/>
        <v>14942.583333333334</v>
      </c>
      <c r="Q1047" s="12">
        <f t="shared" si="251"/>
        <v>14942.583333333334</v>
      </c>
      <c r="R1047" s="15"/>
    </row>
    <row r="1048" spans="1:21" x14ac:dyDescent="0.3">
      <c r="A1048" s="1">
        <f t="shared" si="252"/>
        <v>26</v>
      </c>
      <c r="B1048" s="2" t="s">
        <v>864</v>
      </c>
      <c r="C1048" s="3" t="s">
        <v>456</v>
      </c>
      <c r="D1048" s="12" t="s">
        <v>40</v>
      </c>
      <c r="E1048" s="12" t="s">
        <v>40</v>
      </c>
      <c r="F1048" s="12"/>
      <c r="G1048" s="12"/>
      <c r="H1048" s="12"/>
      <c r="I1048" s="12"/>
      <c r="J1048" s="12"/>
      <c r="K1048" s="12"/>
      <c r="L1048" s="12">
        <v>0</v>
      </c>
      <c r="M1048" s="15">
        <f t="shared" si="248"/>
        <v>2</v>
      </c>
      <c r="N1048" s="15">
        <f t="shared" si="249"/>
        <v>0</v>
      </c>
      <c r="O1048" s="20"/>
      <c r="P1048" s="12">
        <f t="shared" si="250"/>
        <v>0</v>
      </c>
      <c r="Q1048" s="20"/>
      <c r="R1048" s="15"/>
    </row>
    <row r="1049" spans="1:21" x14ac:dyDescent="0.3">
      <c r="A1049" s="1">
        <f t="shared" si="252"/>
        <v>27</v>
      </c>
      <c r="B1049" s="2" t="s">
        <v>865</v>
      </c>
      <c r="C1049" s="3" t="s">
        <v>456</v>
      </c>
      <c r="D1049" s="12" t="s">
        <v>40</v>
      </c>
      <c r="E1049" s="12" t="s">
        <v>40</v>
      </c>
      <c r="F1049" s="12"/>
      <c r="G1049" s="12"/>
      <c r="H1049" s="12"/>
      <c r="I1049" s="12"/>
      <c r="J1049" s="12"/>
      <c r="K1049" s="12"/>
      <c r="L1049" s="12">
        <v>33600</v>
      </c>
      <c r="M1049" s="15">
        <f t="shared" si="248"/>
        <v>2</v>
      </c>
      <c r="N1049" s="15">
        <f t="shared" si="249"/>
        <v>0</v>
      </c>
      <c r="O1049" s="12">
        <v>33600</v>
      </c>
      <c r="P1049" s="12">
        <f t="shared" si="250"/>
        <v>2800</v>
      </c>
      <c r="Q1049" s="12">
        <f t="shared" si="251"/>
        <v>2800</v>
      </c>
      <c r="R1049" s="15"/>
    </row>
    <row r="1050" spans="1:21" x14ac:dyDescent="0.3">
      <c r="A1050" s="1">
        <f t="shared" si="252"/>
        <v>28</v>
      </c>
      <c r="B1050" s="2">
        <v>40000185</v>
      </c>
      <c r="C1050" s="3" t="s">
        <v>456</v>
      </c>
      <c r="D1050" s="12" t="s">
        <v>40</v>
      </c>
      <c r="E1050" s="12" t="s">
        <v>40</v>
      </c>
      <c r="F1050" s="12"/>
      <c r="G1050" s="12"/>
      <c r="H1050" s="12"/>
      <c r="I1050" s="12"/>
      <c r="J1050" s="12"/>
      <c r="K1050" s="12"/>
      <c r="L1050" s="12">
        <v>18000</v>
      </c>
      <c r="M1050" s="15">
        <f t="shared" si="248"/>
        <v>2</v>
      </c>
      <c r="N1050" s="15">
        <f t="shared" si="249"/>
        <v>0</v>
      </c>
      <c r="O1050" s="12">
        <v>18000</v>
      </c>
      <c r="P1050" s="12">
        <f t="shared" si="250"/>
        <v>1500</v>
      </c>
      <c r="Q1050" s="12">
        <f t="shared" si="251"/>
        <v>1500</v>
      </c>
      <c r="R1050" s="15"/>
    </row>
    <row r="1051" spans="1:21" x14ac:dyDescent="0.3">
      <c r="A1051" s="1">
        <f t="shared" si="252"/>
        <v>29</v>
      </c>
      <c r="B1051" s="44"/>
      <c r="C1051" s="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6"/>
      <c r="N1051" s="16"/>
      <c r="O1051" s="13"/>
      <c r="P1051" s="13"/>
      <c r="Q1051" s="13"/>
      <c r="R1051" s="15"/>
    </row>
    <row r="1052" spans="1:21" x14ac:dyDescent="0.3">
      <c r="A1052" s="1">
        <f t="shared" si="252"/>
        <v>30</v>
      </c>
      <c r="B1052" s="2" t="s">
        <v>866</v>
      </c>
      <c r="C1052" s="3" t="s">
        <v>456</v>
      </c>
      <c r="D1052" s="12" t="s">
        <v>40</v>
      </c>
      <c r="E1052" s="12" t="s">
        <v>40</v>
      </c>
      <c r="F1052" s="12"/>
      <c r="G1052" s="12"/>
      <c r="H1052" s="12"/>
      <c r="I1052" s="12"/>
      <c r="J1052" s="12"/>
      <c r="K1052" s="12"/>
      <c r="L1052" s="12">
        <v>0</v>
      </c>
      <c r="M1052" s="15">
        <f t="shared" si="248"/>
        <v>2</v>
      </c>
      <c r="N1052" s="15">
        <f t="shared" si="249"/>
        <v>0</v>
      </c>
      <c r="O1052" s="12">
        <v>0</v>
      </c>
      <c r="P1052" s="12">
        <f t="shared" si="250"/>
        <v>0</v>
      </c>
      <c r="Q1052" s="12">
        <f t="shared" si="251"/>
        <v>0</v>
      </c>
      <c r="R1052" s="15"/>
    </row>
    <row r="1053" spans="1:21" x14ac:dyDescent="0.3">
      <c r="B1053" s="29"/>
      <c r="L1053" s="14">
        <f>+AVERAGE(L1023:L1052)</f>
        <v>469271.31241379312</v>
      </c>
      <c r="M1053" s="14">
        <f>+AVERAGE(M1023:M1052)</f>
        <v>4.7241379310344831</v>
      </c>
      <c r="N1053" s="14">
        <f>+SUM(N1023:N1052)</f>
        <v>3</v>
      </c>
      <c r="O1053" s="14">
        <f>+AVERAGE(O1023:O1052)</f>
        <v>109991.47099999999</v>
      </c>
      <c r="P1053" s="14">
        <f>+AVERAGE(P1023:P1052)</f>
        <v>39105.942701149419</v>
      </c>
      <c r="Q1053" s="14">
        <f>+AVERAGE(Q1023:Q1052)</f>
        <v>9165.9559166666677</v>
      </c>
      <c r="R1053" s="14">
        <f>30-COUNTBLANK(R1023:R1052)</f>
        <v>4</v>
      </c>
    </row>
    <row r="1054" spans="1:21" x14ac:dyDescent="0.3">
      <c r="L1054" s="14">
        <f>+STDEV(L1023:L1052)</f>
        <v>2107112.7070507882</v>
      </c>
      <c r="M1054" s="14">
        <f>+STDEV(M1023:M1052)</f>
        <v>4.3003035750326308</v>
      </c>
      <c r="N1054" s="17"/>
      <c r="O1054" s="14">
        <f>+STDEV(O1023:O1052)</f>
        <v>124815.04171575754</v>
      </c>
      <c r="P1054" s="14">
        <f>+STDEV(P1023:P1052)</f>
        <v>175592.72558756568</v>
      </c>
      <c r="Q1054" s="14">
        <f>+STDEV(Q1023:Q1052)</f>
        <v>10401.253476313128</v>
      </c>
    </row>
    <row r="1055" spans="1:21" x14ac:dyDescent="0.3">
      <c r="I1055" s="15"/>
      <c r="J1055" s="15"/>
      <c r="K1055" s="11" t="s">
        <v>75</v>
      </c>
      <c r="L1055" s="14">
        <f>+COUNTIF(L1023:L1052,0)</f>
        <v>9</v>
      </c>
      <c r="M1055" s="14">
        <f>+COUNT(M1023:M1052)</f>
        <v>29</v>
      </c>
      <c r="P1055" s="14">
        <f>+COUNTIF(P1023:P1052,0)</f>
        <v>9</v>
      </c>
    </row>
    <row r="1057" spans="1:20" x14ac:dyDescent="0.3">
      <c r="A1057" s="1">
        <v>1</v>
      </c>
      <c r="B1057" s="2" t="s">
        <v>867</v>
      </c>
      <c r="C1057" s="3" t="s">
        <v>457</v>
      </c>
      <c r="D1057" s="12" t="s">
        <v>40</v>
      </c>
      <c r="E1057" s="12" t="s">
        <v>40</v>
      </c>
      <c r="F1057" s="12"/>
      <c r="G1057" s="12"/>
      <c r="H1057" s="12"/>
      <c r="I1057" s="12"/>
      <c r="J1057" s="12"/>
      <c r="K1057" s="12"/>
      <c r="L1057" s="12">
        <v>418932</v>
      </c>
      <c r="M1057" s="15">
        <f>+IF(D1057="X",1,0)+IF(E1057="X",1,0)+IF(F1057="X",2,0)+IF(G1057="X",2,0)+IF(H1057="X",3,IF(H1057="Y",1.5,0))+IF(I1057="X",5,IF(I1057="Y",2.5,0))+IF(J1057="X",10,IF(J1057="Y",5,0))</f>
        <v>2</v>
      </c>
      <c r="N1057" s="15">
        <f>+IF(K1057="X",1,0)</f>
        <v>0</v>
      </c>
      <c r="O1057" s="20"/>
      <c r="P1057" s="12">
        <f t="shared" ref="P1057" si="253">+L1057/12</f>
        <v>34911</v>
      </c>
      <c r="Q1057" s="20"/>
    </row>
    <row r="1058" spans="1:20" x14ac:dyDescent="0.3">
      <c r="A1058" s="1">
        <f>+A1057+1</f>
        <v>2</v>
      </c>
      <c r="B1058" s="2" t="s">
        <v>868</v>
      </c>
      <c r="C1058" s="3" t="s">
        <v>457</v>
      </c>
      <c r="D1058" s="12" t="s">
        <v>40</v>
      </c>
      <c r="E1058" s="12" t="s">
        <v>40</v>
      </c>
      <c r="F1058" s="12"/>
      <c r="G1058" s="12"/>
      <c r="H1058" s="12"/>
      <c r="I1058" s="12"/>
      <c r="J1058" s="12"/>
      <c r="K1058" s="12"/>
      <c r="L1058" s="12">
        <v>55300</v>
      </c>
      <c r="M1058" s="15">
        <f t="shared" ref="M1058:M1086" si="254">+IF(D1058="X",1,0)+IF(E1058="X",1,0)+IF(F1058="X",2,0)+IF(G1058="X",2,0)+IF(H1058="X",3,IF(H1058="Y",1.5,0))+IF(I1058="X",5,IF(I1058="Y",2.5,0))+IF(J1058="X",10,IF(J1058="Y",5,0))</f>
        <v>2</v>
      </c>
      <c r="N1058" s="15">
        <f t="shared" ref="N1058:N1086" si="255">+IF(K1058="X",1,0)</f>
        <v>0</v>
      </c>
      <c r="O1058" s="12">
        <v>55300</v>
      </c>
      <c r="P1058" s="12">
        <f t="shared" ref="P1058:P1086" si="256">+L1058/12</f>
        <v>4608.333333333333</v>
      </c>
      <c r="Q1058" s="12">
        <f t="shared" ref="Q1058:Q1067" si="257">+O1058/12</f>
        <v>4608.333333333333</v>
      </c>
    </row>
    <row r="1059" spans="1:20" x14ac:dyDescent="0.3">
      <c r="A1059" s="1">
        <f t="shared" ref="A1059:A1086" si="258">+A1058+1</f>
        <v>3</v>
      </c>
      <c r="B1059" s="2" t="s">
        <v>869</v>
      </c>
      <c r="C1059" s="3" t="s">
        <v>457</v>
      </c>
      <c r="D1059" s="12" t="s">
        <v>40</v>
      </c>
      <c r="E1059" s="12" t="s">
        <v>40</v>
      </c>
      <c r="F1059" s="12"/>
      <c r="G1059" s="12"/>
      <c r="H1059" s="12" t="s">
        <v>40</v>
      </c>
      <c r="I1059" s="12"/>
      <c r="J1059" s="12"/>
      <c r="K1059" s="12" t="s">
        <v>40</v>
      </c>
      <c r="L1059" s="12">
        <v>115221.12</v>
      </c>
      <c r="M1059" s="15">
        <f t="shared" si="254"/>
        <v>5</v>
      </c>
      <c r="N1059" s="15">
        <f t="shared" si="255"/>
        <v>1</v>
      </c>
      <c r="O1059" s="12">
        <v>115221.12</v>
      </c>
      <c r="P1059" s="12">
        <f t="shared" si="256"/>
        <v>9601.76</v>
      </c>
      <c r="Q1059" s="12">
        <f t="shared" si="257"/>
        <v>9601.76</v>
      </c>
      <c r="S1059" t="s">
        <v>839</v>
      </c>
      <c r="T1059" t="s">
        <v>151</v>
      </c>
    </row>
    <row r="1060" spans="1:20" x14ac:dyDescent="0.3">
      <c r="A1060" s="1">
        <f t="shared" si="258"/>
        <v>4</v>
      </c>
      <c r="B1060" s="2">
        <v>24711696</v>
      </c>
      <c r="C1060" s="3" t="s">
        <v>457</v>
      </c>
      <c r="D1060" s="12" t="s">
        <v>40</v>
      </c>
      <c r="E1060" s="12" t="s">
        <v>40</v>
      </c>
      <c r="F1060" s="12"/>
      <c r="G1060" s="12"/>
      <c r="H1060" s="12" t="s">
        <v>40</v>
      </c>
      <c r="I1060" s="12" t="s">
        <v>40</v>
      </c>
      <c r="J1060" s="12"/>
      <c r="K1060" s="12"/>
      <c r="L1060" s="12">
        <v>380768.52</v>
      </c>
      <c r="M1060" s="15">
        <f t="shared" si="254"/>
        <v>10</v>
      </c>
      <c r="N1060" s="15">
        <f t="shared" si="255"/>
        <v>0</v>
      </c>
      <c r="O1060" s="12">
        <v>380768.52</v>
      </c>
      <c r="P1060" s="12">
        <f t="shared" si="256"/>
        <v>31730.710000000003</v>
      </c>
      <c r="Q1060" s="12">
        <f t="shared" si="257"/>
        <v>31730.710000000003</v>
      </c>
      <c r="R1060" t="s">
        <v>840</v>
      </c>
    </row>
    <row r="1061" spans="1:20" x14ac:dyDescent="0.3">
      <c r="A1061" s="1">
        <f t="shared" si="258"/>
        <v>5</v>
      </c>
      <c r="B1061" s="9"/>
      <c r="C1061" s="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6"/>
      <c r="N1061" s="16"/>
      <c r="O1061" s="13"/>
      <c r="P1061" s="13"/>
      <c r="Q1061" s="13"/>
    </row>
    <row r="1062" spans="1:20" x14ac:dyDescent="0.3">
      <c r="A1062" s="1">
        <f t="shared" si="258"/>
        <v>6</v>
      </c>
      <c r="B1062" s="2">
        <v>24981180</v>
      </c>
      <c r="C1062" s="3" t="s">
        <v>457</v>
      </c>
      <c r="D1062" s="12" t="s">
        <v>40</v>
      </c>
      <c r="E1062" s="12" t="s">
        <v>40</v>
      </c>
      <c r="F1062" s="12"/>
      <c r="G1062" s="12" t="s">
        <v>40</v>
      </c>
      <c r="H1062" s="12" t="s">
        <v>40</v>
      </c>
      <c r="I1062" s="12"/>
      <c r="J1062" s="12"/>
      <c r="K1062" s="12"/>
      <c r="L1062" s="12">
        <v>144120</v>
      </c>
      <c r="M1062" s="15">
        <f t="shared" si="254"/>
        <v>7</v>
      </c>
      <c r="N1062" s="15">
        <f t="shared" si="255"/>
        <v>0</v>
      </c>
      <c r="O1062" s="12">
        <v>144120</v>
      </c>
      <c r="P1062" s="12">
        <f t="shared" si="256"/>
        <v>12010</v>
      </c>
      <c r="Q1062" s="12">
        <f t="shared" si="257"/>
        <v>12010</v>
      </c>
    </row>
    <row r="1063" spans="1:20" x14ac:dyDescent="0.3">
      <c r="A1063" s="1">
        <f t="shared" si="258"/>
        <v>7</v>
      </c>
      <c r="B1063" s="2" t="s">
        <v>870</v>
      </c>
      <c r="C1063" s="3" t="s">
        <v>457</v>
      </c>
      <c r="D1063" s="12" t="s">
        <v>40</v>
      </c>
      <c r="E1063" s="12" t="s">
        <v>40</v>
      </c>
      <c r="F1063" s="12" t="s">
        <v>40</v>
      </c>
      <c r="G1063" s="12" t="s">
        <v>40</v>
      </c>
      <c r="H1063" s="12" t="s">
        <v>40</v>
      </c>
      <c r="I1063" s="12" t="s">
        <v>40</v>
      </c>
      <c r="J1063" s="12"/>
      <c r="K1063" s="12"/>
      <c r="L1063" s="12">
        <v>42000</v>
      </c>
      <c r="M1063" s="15">
        <f t="shared" si="254"/>
        <v>14</v>
      </c>
      <c r="N1063" s="15">
        <f t="shared" si="255"/>
        <v>0</v>
      </c>
      <c r="O1063" s="12">
        <v>42000</v>
      </c>
      <c r="P1063" s="12">
        <f t="shared" si="256"/>
        <v>3500</v>
      </c>
      <c r="Q1063" s="12">
        <f t="shared" si="257"/>
        <v>3500</v>
      </c>
    </row>
    <row r="1064" spans="1:20" x14ac:dyDescent="0.3">
      <c r="A1064" s="1">
        <f t="shared" si="258"/>
        <v>8</v>
      </c>
      <c r="B1064" s="2" t="s">
        <v>871</v>
      </c>
      <c r="C1064" s="3" t="s">
        <v>457</v>
      </c>
      <c r="D1064" s="12" t="s">
        <v>40</v>
      </c>
      <c r="E1064" s="12" t="s">
        <v>40</v>
      </c>
      <c r="F1064" s="12"/>
      <c r="G1064" s="12"/>
      <c r="H1064" s="12"/>
      <c r="I1064" s="12"/>
      <c r="J1064" s="12"/>
      <c r="K1064" s="12"/>
      <c r="L1064" s="12">
        <v>0</v>
      </c>
      <c r="M1064" s="15">
        <f t="shared" si="254"/>
        <v>2</v>
      </c>
      <c r="N1064" s="15">
        <f t="shared" si="255"/>
        <v>0</v>
      </c>
      <c r="O1064" s="20"/>
      <c r="P1064" s="12">
        <f t="shared" si="256"/>
        <v>0</v>
      </c>
      <c r="Q1064" s="20"/>
    </row>
    <row r="1065" spans="1:20" x14ac:dyDescent="0.3">
      <c r="A1065" s="1">
        <f t="shared" si="258"/>
        <v>9</v>
      </c>
      <c r="B1065" s="2">
        <v>10066654</v>
      </c>
      <c r="C1065" s="3" t="s">
        <v>457</v>
      </c>
      <c r="D1065" s="12" t="s">
        <v>40</v>
      </c>
      <c r="E1065" s="12" t="s">
        <v>40</v>
      </c>
      <c r="F1065" s="12"/>
      <c r="G1065" s="12"/>
      <c r="H1065" s="12" t="s">
        <v>40</v>
      </c>
      <c r="I1065" s="12"/>
      <c r="J1065" s="12"/>
      <c r="K1065" s="12" t="s">
        <v>40</v>
      </c>
      <c r="L1065" s="12">
        <v>0</v>
      </c>
      <c r="M1065" s="15">
        <f t="shared" si="254"/>
        <v>5</v>
      </c>
      <c r="N1065" s="15">
        <f t="shared" si="255"/>
        <v>1</v>
      </c>
      <c r="O1065" s="20"/>
      <c r="P1065" s="12">
        <f t="shared" si="256"/>
        <v>0</v>
      </c>
      <c r="Q1065" s="20"/>
    </row>
    <row r="1066" spans="1:20" x14ac:dyDescent="0.3">
      <c r="A1066" s="1">
        <f t="shared" si="258"/>
        <v>10</v>
      </c>
      <c r="B1066" s="2">
        <v>41754568</v>
      </c>
      <c r="C1066" s="3" t="s">
        <v>457</v>
      </c>
      <c r="D1066" s="12" t="s">
        <v>40</v>
      </c>
      <c r="E1066" s="12" t="s">
        <v>40</v>
      </c>
      <c r="F1066" s="12"/>
      <c r="G1066" s="12"/>
      <c r="H1066" s="12"/>
      <c r="I1066" s="12"/>
      <c r="J1066" s="12"/>
      <c r="K1066" s="12"/>
      <c r="L1066" s="12">
        <v>0</v>
      </c>
      <c r="M1066" s="15">
        <f t="shared" si="254"/>
        <v>2</v>
      </c>
      <c r="N1066" s="15">
        <f t="shared" si="255"/>
        <v>0</v>
      </c>
      <c r="O1066" s="20"/>
      <c r="P1066" s="12">
        <f t="shared" si="256"/>
        <v>0</v>
      </c>
      <c r="Q1066" s="20"/>
    </row>
    <row r="1067" spans="1:20" x14ac:dyDescent="0.3">
      <c r="A1067" s="1">
        <f t="shared" si="258"/>
        <v>11</v>
      </c>
      <c r="B1067" s="2">
        <v>23980637</v>
      </c>
      <c r="C1067" s="3" t="s">
        <v>457</v>
      </c>
      <c r="D1067" s="12" t="s">
        <v>40</v>
      </c>
      <c r="E1067" s="12" t="s">
        <v>40</v>
      </c>
      <c r="F1067" s="12"/>
      <c r="G1067" s="12" t="s">
        <v>40</v>
      </c>
      <c r="H1067" s="12" t="s">
        <v>40</v>
      </c>
      <c r="I1067" s="12" t="s">
        <v>40</v>
      </c>
      <c r="J1067" s="12"/>
      <c r="K1067" s="12"/>
      <c r="L1067" s="12">
        <v>3410</v>
      </c>
      <c r="M1067" s="15">
        <f t="shared" si="254"/>
        <v>12</v>
      </c>
      <c r="N1067" s="15">
        <f t="shared" si="255"/>
        <v>0</v>
      </c>
      <c r="O1067" s="12">
        <v>3410</v>
      </c>
      <c r="P1067" s="12">
        <f t="shared" si="256"/>
        <v>284.16666666666669</v>
      </c>
      <c r="Q1067" s="12">
        <f t="shared" si="257"/>
        <v>284.16666666666669</v>
      </c>
    </row>
    <row r="1068" spans="1:20" x14ac:dyDescent="0.3">
      <c r="A1068" s="1">
        <f t="shared" si="258"/>
        <v>12</v>
      </c>
      <c r="B1068" s="2" t="s">
        <v>872</v>
      </c>
      <c r="C1068" s="3" t="s">
        <v>457</v>
      </c>
      <c r="D1068" s="12" t="s">
        <v>40</v>
      </c>
      <c r="E1068" s="12" t="s">
        <v>40</v>
      </c>
      <c r="F1068" s="12"/>
      <c r="G1068" s="12"/>
      <c r="H1068" s="12"/>
      <c r="I1068" s="12"/>
      <c r="J1068" s="12"/>
      <c r="K1068" s="12"/>
      <c r="L1068" s="12">
        <v>0</v>
      </c>
      <c r="M1068" s="15">
        <f t="shared" si="254"/>
        <v>2</v>
      </c>
      <c r="N1068" s="15">
        <f t="shared" si="255"/>
        <v>0</v>
      </c>
      <c r="O1068" s="20"/>
      <c r="P1068" s="12">
        <f t="shared" si="256"/>
        <v>0</v>
      </c>
      <c r="Q1068" s="20"/>
    </row>
    <row r="1069" spans="1:20" x14ac:dyDescent="0.3">
      <c r="A1069" s="1">
        <f t="shared" si="258"/>
        <v>13</v>
      </c>
      <c r="B1069" s="2" t="s">
        <v>873</v>
      </c>
      <c r="C1069" s="3" t="s">
        <v>457</v>
      </c>
      <c r="D1069" s="12" t="s">
        <v>40</v>
      </c>
      <c r="E1069" s="12" t="s">
        <v>40</v>
      </c>
      <c r="F1069" s="12"/>
      <c r="G1069" s="12"/>
      <c r="H1069" s="12"/>
      <c r="I1069" s="12"/>
      <c r="J1069" s="12"/>
      <c r="K1069" s="12"/>
      <c r="L1069" s="12">
        <v>0</v>
      </c>
      <c r="M1069" s="15">
        <f t="shared" si="254"/>
        <v>2</v>
      </c>
      <c r="N1069" s="15">
        <f t="shared" si="255"/>
        <v>0</v>
      </c>
      <c r="O1069" s="20"/>
      <c r="P1069" s="12">
        <f t="shared" si="256"/>
        <v>0</v>
      </c>
      <c r="Q1069" s="20"/>
    </row>
    <row r="1070" spans="1:20" x14ac:dyDescent="0.3">
      <c r="A1070" s="1">
        <f t="shared" si="258"/>
        <v>14</v>
      </c>
      <c r="B1070" s="2">
        <v>16008986</v>
      </c>
      <c r="C1070" s="3" t="s">
        <v>457</v>
      </c>
      <c r="D1070" s="12" t="s">
        <v>40</v>
      </c>
      <c r="E1070" s="12" t="s">
        <v>40</v>
      </c>
      <c r="F1070" s="12"/>
      <c r="G1070" s="12"/>
      <c r="H1070" s="12"/>
      <c r="I1070" s="12"/>
      <c r="J1070" s="12"/>
      <c r="K1070" s="12"/>
      <c r="L1070" s="12">
        <v>0</v>
      </c>
      <c r="M1070" s="15">
        <f t="shared" si="254"/>
        <v>2</v>
      </c>
      <c r="N1070" s="15">
        <f t="shared" si="255"/>
        <v>0</v>
      </c>
      <c r="O1070" s="20"/>
      <c r="P1070" s="12">
        <f t="shared" si="256"/>
        <v>0</v>
      </c>
      <c r="Q1070" s="20"/>
    </row>
    <row r="1071" spans="1:20" x14ac:dyDescent="0.3">
      <c r="A1071" s="1">
        <f t="shared" si="258"/>
        <v>15</v>
      </c>
      <c r="B1071" s="2" t="s">
        <v>874</v>
      </c>
      <c r="C1071" s="3" t="s">
        <v>457</v>
      </c>
      <c r="D1071" s="12" t="s">
        <v>40</v>
      </c>
      <c r="E1071" s="12" t="s">
        <v>40</v>
      </c>
      <c r="F1071" s="12"/>
      <c r="G1071" s="12"/>
      <c r="H1071" s="12"/>
      <c r="I1071" s="12"/>
      <c r="J1071" s="12"/>
      <c r="K1071" s="12"/>
      <c r="L1071" s="12">
        <v>0</v>
      </c>
      <c r="M1071" s="15">
        <f t="shared" si="254"/>
        <v>2</v>
      </c>
      <c r="N1071" s="15">
        <f t="shared" si="255"/>
        <v>0</v>
      </c>
      <c r="O1071" s="20"/>
      <c r="P1071" s="12">
        <f t="shared" si="256"/>
        <v>0</v>
      </c>
      <c r="Q1071" s="20"/>
    </row>
    <row r="1072" spans="1:20" x14ac:dyDescent="0.3">
      <c r="A1072" s="1">
        <f t="shared" si="258"/>
        <v>16</v>
      </c>
      <c r="B1072" s="2" t="s">
        <v>875</v>
      </c>
      <c r="C1072" s="3" t="s">
        <v>457</v>
      </c>
      <c r="D1072" s="12" t="s">
        <v>40</v>
      </c>
      <c r="E1072" s="12" t="s">
        <v>40</v>
      </c>
      <c r="F1072" s="12"/>
      <c r="G1072" s="12"/>
      <c r="H1072" s="12"/>
      <c r="I1072" s="12"/>
      <c r="J1072" s="12"/>
      <c r="K1072" s="12"/>
      <c r="L1072" s="12">
        <v>0</v>
      </c>
      <c r="M1072" s="15">
        <f t="shared" si="254"/>
        <v>2</v>
      </c>
      <c r="N1072" s="15">
        <f t="shared" si="255"/>
        <v>0</v>
      </c>
      <c r="O1072" s="20"/>
      <c r="P1072" s="12">
        <f t="shared" si="256"/>
        <v>0</v>
      </c>
      <c r="Q1072" s="20"/>
    </row>
    <row r="1073" spans="1:18" x14ac:dyDescent="0.3">
      <c r="A1073" s="1">
        <f t="shared" si="258"/>
        <v>17</v>
      </c>
      <c r="B1073" s="2">
        <v>16021328</v>
      </c>
      <c r="C1073" s="3" t="s">
        <v>457</v>
      </c>
      <c r="D1073" s="12" t="s">
        <v>40</v>
      </c>
      <c r="E1073" s="12" t="s">
        <v>40</v>
      </c>
      <c r="F1073" s="12"/>
      <c r="G1073" s="12"/>
      <c r="H1073" s="12"/>
      <c r="I1073" s="12"/>
      <c r="J1073" s="12"/>
      <c r="K1073" s="12"/>
      <c r="L1073" s="12">
        <v>0</v>
      </c>
      <c r="M1073" s="15">
        <f t="shared" si="254"/>
        <v>2</v>
      </c>
      <c r="N1073" s="15">
        <f t="shared" si="255"/>
        <v>0</v>
      </c>
      <c r="O1073" s="20"/>
      <c r="P1073" s="12">
        <f t="shared" si="256"/>
        <v>0</v>
      </c>
      <c r="Q1073" s="20"/>
    </row>
    <row r="1074" spans="1:18" x14ac:dyDescent="0.3">
      <c r="A1074" s="1">
        <f t="shared" si="258"/>
        <v>18</v>
      </c>
      <c r="B1074" s="2">
        <v>15978348</v>
      </c>
      <c r="C1074" s="3" t="s">
        <v>457</v>
      </c>
      <c r="D1074" s="12" t="s">
        <v>40</v>
      </c>
      <c r="E1074" s="12" t="s">
        <v>40</v>
      </c>
      <c r="F1074" s="12"/>
      <c r="G1074" s="12"/>
      <c r="H1074" s="12"/>
      <c r="I1074" s="12"/>
      <c r="J1074" s="12"/>
      <c r="K1074" s="12"/>
      <c r="L1074" s="12">
        <v>0</v>
      </c>
      <c r="M1074" s="15">
        <f t="shared" si="254"/>
        <v>2</v>
      </c>
      <c r="N1074" s="15">
        <f t="shared" si="255"/>
        <v>0</v>
      </c>
      <c r="O1074" s="20"/>
      <c r="P1074" s="12">
        <f t="shared" si="256"/>
        <v>0</v>
      </c>
      <c r="Q1074" s="20"/>
    </row>
    <row r="1075" spans="1:18" x14ac:dyDescent="0.3">
      <c r="A1075" s="1">
        <f t="shared" si="258"/>
        <v>19</v>
      </c>
      <c r="B1075" s="2">
        <v>42046640</v>
      </c>
      <c r="C1075" s="3" t="s">
        <v>457</v>
      </c>
      <c r="D1075" s="12" t="s">
        <v>40</v>
      </c>
      <c r="E1075" s="12" t="s">
        <v>40</v>
      </c>
      <c r="F1075" s="12"/>
      <c r="G1075" s="12"/>
      <c r="H1075" s="12"/>
      <c r="I1075" s="12"/>
      <c r="J1075" s="12"/>
      <c r="K1075" s="12"/>
      <c r="L1075" s="12">
        <v>0</v>
      </c>
      <c r="M1075" s="15">
        <f t="shared" si="254"/>
        <v>2</v>
      </c>
      <c r="N1075" s="15">
        <f t="shared" si="255"/>
        <v>0</v>
      </c>
      <c r="O1075" s="20"/>
      <c r="P1075" s="12">
        <f t="shared" si="256"/>
        <v>0</v>
      </c>
      <c r="Q1075" s="20"/>
    </row>
    <row r="1076" spans="1:18" x14ac:dyDescent="0.3">
      <c r="A1076" s="1">
        <f t="shared" si="258"/>
        <v>20</v>
      </c>
      <c r="B1076" s="2">
        <v>15975855</v>
      </c>
      <c r="C1076" s="3" t="s">
        <v>457</v>
      </c>
      <c r="D1076" s="12" t="s">
        <v>40</v>
      </c>
      <c r="E1076" s="12" t="s">
        <v>40</v>
      </c>
      <c r="F1076" s="12"/>
      <c r="G1076" s="12"/>
      <c r="H1076" s="12"/>
      <c r="I1076" s="12"/>
      <c r="J1076" s="12"/>
      <c r="K1076" s="12"/>
      <c r="L1076" s="12">
        <v>0</v>
      </c>
      <c r="M1076" s="15">
        <f t="shared" si="254"/>
        <v>2</v>
      </c>
      <c r="N1076" s="15">
        <f t="shared" si="255"/>
        <v>0</v>
      </c>
      <c r="O1076" s="20"/>
      <c r="P1076" s="12">
        <f t="shared" si="256"/>
        <v>0</v>
      </c>
      <c r="Q1076" s="20"/>
    </row>
    <row r="1077" spans="1:18" x14ac:dyDescent="0.3">
      <c r="A1077" s="1">
        <f t="shared" si="258"/>
        <v>21</v>
      </c>
      <c r="B1077" s="2">
        <v>15977661</v>
      </c>
      <c r="C1077" s="3" t="s">
        <v>457</v>
      </c>
      <c r="D1077" s="12" t="s">
        <v>40</v>
      </c>
      <c r="E1077" s="12" t="s">
        <v>40</v>
      </c>
      <c r="F1077" s="12"/>
      <c r="G1077" s="12"/>
      <c r="H1077" s="12"/>
      <c r="I1077" s="12"/>
      <c r="J1077" s="12"/>
      <c r="K1077" s="12"/>
      <c r="L1077" s="12">
        <v>0</v>
      </c>
      <c r="M1077" s="15">
        <f t="shared" si="254"/>
        <v>2</v>
      </c>
      <c r="N1077" s="15">
        <f t="shared" si="255"/>
        <v>0</v>
      </c>
      <c r="O1077" s="20"/>
      <c r="P1077" s="12">
        <f t="shared" si="256"/>
        <v>0</v>
      </c>
      <c r="Q1077" s="20"/>
    </row>
    <row r="1078" spans="1:18" x14ac:dyDescent="0.3">
      <c r="A1078" s="1">
        <f t="shared" si="258"/>
        <v>22</v>
      </c>
      <c r="B1078" s="2">
        <v>40304890</v>
      </c>
      <c r="C1078" s="3" t="s">
        <v>457</v>
      </c>
      <c r="D1078" s="12" t="s">
        <v>40</v>
      </c>
      <c r="E1078" s="12" t="s">
        <v>40</v>
      </c>
      <c r="F1078" s="12"/>
      <c r="G1078" s="12"/>
      <c r="H1078" s="12" t="s">
        <v>40</v>
      </c>
      <c r="I1078" s="12" t="s">
        <v>40</v>
      </c>
      <c r="J1078" s="12"/>
      <c r="K1078" s="12"/>
      <c r="L1078" s="12">
        <v>0</v>
      </c>
      <c r="M1078" s="15">
        <f t="shared" si="254"/>
        <v>10</v>
      </c>
      <c r="N1078" s="15">
        <f t="shared" si="255"/>
        <v>0</v>
      </c>
      <c r="O1078" s="20"/>
      <c r="P1078" s="12">
        <f t="shared" si="256"/>
        <v>0</v>
      </c>
      <c r="Q1078" s="20"/>
    </row>
    <row r="1079" spans="1:18" x14ac:dyDescent="0.3">
      <c r="A1079" s="1">
        <f t="shared" si="258"/>
        <v>23</v>
      </c>
      <c r="B1079" s="2" t="s">
        <v>876</v>
      </c>
      <c r="C1079" s="3" t="s">
        <v>457</v>
      </c>
      <c r="D1079" s="12" t="s">
        <v>40</v>
      </c>
      <c r="E1079" s="12" t="s">
        <v>40</v>
      </c>
      <c r="F1079" s="12"/>
      <c r="G1079" s="12"/>
      <c r="H1079" s="12"/>
      <c r="I1079" s="12"/>
      <c r="J1079" s="12"/>
      <c r="K1079" s="12"/>
      <c r="L1079" s="12">
        <v>0</v>
      </c>
      <c r="M1079" s="15">
        <f t="shared" si="254"/>
        <v>2</v>
      </c>
      <c r="N1079" s="15">
        <f t="shared" si="255"/>
        <v>0</v>
      </c>
      <c r="O1079" s="20"/>
      <c r="P1079" s="12">
        <f t="shared" si="256"/>
        <v>0</v>
      </c>
      <c r="Q1079" s="20"/>
    </row>
    <row r="1080" spans="1:18" x14ac:dyDescent="0.3">
      <c r="A1080" s="1">
        <f t="shared" si="258"/>
        <v>24</v>
      </c>
      <c r="B1080" s="2">
        <v>80285646</v>
      </c>
      <c r="C1080" s="3" t="s">
        <v>457</v>
      </c>
      <c r="D1080" s="12" t="s">
        <v>40</v>
      </c>
      <c r="E1080" s="12" t="s">
        <v>40</v>
      </c>
      <c r="F1080" s="12"/>
      <c r="G1080" s="12"/>
      <c r="H1080" s="12"/>
      <c r="I1080" s="12"/>
      <c r="J1080" s="12"/>
      <c r="K1080" s="12"/>
      <c r="L1080" s="12">
        <v>0</v>
      </c>
      <c r="M1080" s="15">
        <f t="shared" si="254"/>
        <v>2</v>
      </c>
      <c r="N1080" s="15">
        <f t="shared" si="255"/>
        <v>0</v>
      </c>
      <c r="O1080" s="20"/>
      <c r="P1080" s="12">
        <f t="shared" si="256"/>
        <v>0</v>
      </c>
      <c r="Q1080" s="20"/>
    </row>
    <row r="1081" spans="1:18" x14ac:dyDescent="0.3">
      <c r="A1081" s="1">
        <f t="shared" si="258"/>
        <v>25</v>
      </c>
      <c r="B1081" s="2">
        <v>80405406</v>
      </c>
      <c r="C1081" s="3" t="s">
        <v>457</v>
      </c>
      <c r="D1081" s="12" t="s">
        <v>40</v>
      </c>
      <c r="E1081" s="12" t="s">
        <v>40</v>
      </c>
      <c r="F1081" s="12"/>
      <c r="G1081" s="12"/>
      <c r="H1081" s="12"/>
      <c r="I1081" s="12"/>
      <c r="J1081" s="12"/>
      <c r="K1081" s="12"/>
      <c r="L1081" s="12">
        <v>0</v>
      </c>
      <c r="M1081" s="15">
        <f t="shared" si="254"/>
        <v>2</v>
      </c>
      <c r="N1081" s="15">
        <f t="shared" si="255"/>
        <v>0</v>
      </c>
      <c r="O1081" s="20"/>
      <c r="P1081" s="12">
        <f t="shared" si="256"/>
        <v>0</v>
      </c>
      <c r="Q1081" s="20"/>
    </row>
    <row r="1082" spans="1:18" x14ac:dyDescent="0.3">
      <c r="A1082" s="1">
        <f t="shared" si="258"/>
        <v>26</v>
      </c>
      <c r="B1082" s="2" t="s">
        <v>877</v>
      </c>
      <c r="C1082" s="3" t="s">
        <v>457</v>
      </c>
      <c r="D1082" s="12" t="s">
        <v>40</v>
      </c>
      <c r="E1082" s="12" t="s">
        <v>40</v>
      </c>
      <c r="F1082" s="12"/>
      <c r="G1082" s="12"/>
      <c r="H1082" s="12"/>
      <c r="I1082" s="12"/>
      <c r="J1082" s="12"/>
      <c r="K1082" s="12"/>
      <c r="L1082" s="12">
        <v>0</v>
      </c>
      <c r="M1082" s="15">
        <f t="shared" si="254"/>
        <v>2</v>
      </c>
      <c r="N1082" s="15">
        <f t="shared" si="255"/>
        <v>0</v>
      </c>
      <c r="O1082" s="20"/>
      <c r="P1082" s="12">
        <f t="shared" si="256"/>
        <v>0</v>
      </c>
      <c r="Q1082" s="20"/>
    </row>
    <row r="1083" spans="1:18" x14ac:dyDescent="0.3">
      <c r="A1083" s="1">
        <f t="shared" si="258"/>
        <v>27</v>
      </c>
      <c r="B1083" s="2">
        <v>15981116</v>
      </c>
      <c r="C1083" s="3" t="s">
        <v>457</v>
      </c>
      <c r="D1083" s="12" t="s">
        <v>40</v>
      </c>
      <c r="E1083" s="12" t="s">
        <v>40</v>
      </c>
      <c r="F1083" s="12"/>
      <c r="G1083" s="12"/>
      <c r="H1083" s="12"/>
      <c r="I1083" s="12"/>
      <c r="J1083" s="12"/>
      <c r="K1083" s="12"/>
      <c r="L1083" s="12">
        <v>0</v>
      </c>
      <c r="M1083" s="15">
        <f t="shared" si="254"/>
        <v>2</v>
      </c>
      <c r="N1083" s="15">
        <f t="shared" si="255"/>
        <v>0</v>
      </c>
      <c r="O1083" s="20"/>
      <c r="P1083" s="12">
        <f t="shared" si="256"/>
        <v>0</v>
      </c>
      <c r="Q1083" s="20"/>
    </row>
    <row r="1084" spans="1:18" x14ac:dyDescent="0.3">
      <c r="A1084" s="1">
        <f t="shared" si="258"/>
        <v>28</v>
      </c>
      <c r="B1084" s="2" t="s">
        <v>878</v>
      </c>
      <c r="C1084" s="3" t="s">
        <v>457</v>
      </c>
      <c r="D1084" s="12"/>
      <c r="E1084" s="12"/>
      <c r="F1084" s="12"/>
      <c r="G1084" s="12"/>
      <c r="H1084" s="12"/>
      <c r="I1084" s="12"/>
      <c r="J1084" s="12"/>
      <c r="K1084" s="12"/>
      <c r="L1084" s="12">
        <v>0</v>
      </c>
      <c r="M1084" s="15">
        <f t="shared" si="254"/>
        <v>0</v>
      </c>
      <c r="N1084" s="15">
        <f t="shared" si="255"/>
        <v>0</v>
      </c>
      <c r="O1084" s="20"/>
      <c r="P1084" s="12">
        <f t="shared" si="256"/>
        <v>0</v>
      </c>
      <c r="Q1084" s="20"/>
    </row>
    <row r="1085" spans="1:18" x14ac:dyDescent="0.3">
      <c r="A1085" s="1">
        <f t="shared" si="258"/>
        <v>29</v>
      </c>
      <c r="B1085" s="2">
        <v>40852617</v>
      </c>
      <c r="C1085" s="3" t="s">
        <v>457</v>
      </c>
      <c r="D1085" s="12"/>
      <c r="E1085" s="12"/>
      <c r="F1085" s="12"/>
      <c r="G1085" s="12"/>
      <c r="H1085" s="12"/>
      <c r="I1085" s="12"/>
      <c r="J1085" s="12"/>
      <c r="K1085" s="12"/>
      <c r="L1085" s="12">
        <v>0</v>
      </c>
      <c r="M1085" s="15">
        <f t="shared" si="254"/>
        <v>0</v>
      </c>
      <c r="N1085" s="15">
        <f t="shared" si="255"/>
        <v>0</v>
      </c>
      <c r="O1085" s="20"/>
      <c r="P1085" s="12">
        <f t="shared" si="256"/>
        <v>0</v>
      </c>
      <c r="Q1085" s="20"/>
    </row>
    <row r="1086" spans="1:18" x14ac:dyDescent="0.3">
      <c r="A1086" s="1">
        <f t="shared" si="258"/>
        <v>30</v>
      </c>
      <c r="B1086" s="2">
        <v>15977667</v>
      </c>
      <c r="C1086" s="3" t="s">
        <v>457</v>
      </c>
      <c r="D1086" s="12"/>
      <c r="E1086" s="12"/>
      <c r="F1086" s="12"/>
      <c r="G1086" s="12"/>
      <c r="H1086" s="12"/>
      <c r="I1086" s="12"/>
      <c r="J1086" s="12"/>
      <c r="K1086" s="12"/>
      <c r="L1086" s="12">
        <v>0</v>
      </c>
      <c r="M1086" s="15">
        <f t="shared" si="254"/>
        <v>0</v>
      </c>
      <c r="N1086" s="15">
        <f t="shared" si="255"/>
        <v>0</v>
      </c>
      <c r="O1086" s="20"/>
      <c r="P1086" s="12">
        <f t="shared" si="256"/>
        <v>0</v>
      </c>
      <c r="Q1086" s="20"/>
    </row>
    <row r="1087" spans="1:18" x14ac:dyDescent="0.3">
      <c r="B1087" s="29"/>
      <c r="L1087" s="14">
        <f>+AVERAGE(L1057:L1086)</f>
        <v>39991.435862068967</v>
      </c>
      <c r="M1087" s="14">
        <f>+AVERAGE(M1057:M1086)</f>
        <v>3.4827586206896552</v>
      </c>
      <c r="N1087" s="14">
        <f>+SUM(N1057:N1086)</f>
        <v>2</v>
      </c>
      <c r="O1087" s="14">
        <f>+AVERAGE(O1057:O1086)</f>
        <v>123469.94</v>
      </c>
      <c r="P1087" s="14">
        <f>+AVERAGE(P1057:P1086)</f>
        <v>3332.6196551724142</v>
      </c>
      <c r="Q1087" s="14">
        <f>+AVERAGE(Q1057:Q1086)</f>
        <v>10289.161666666667</v>
      </c>
      <c r="R1087" s="14">
        <f>30-COUNTBLANK(R1057:R1086)</f>
        <v>1</v>
      </c>
    </row>
    <row r="1088" spans="1:18" x14ac:dyDescent="0.3">
      <c r="L1088" s="14">
        <f>+STDEV(L1057:L1086)</f>
        <v>105726.86374975437</v>
      </c>
      <c r="M1088" s="14">
        <f>+STDEV(M1057:M1086)</f>
        <v>3.6017921100392352</v>
      </c>
      <c r="N1088" s="17"/>
      <c r="O1088" s="14">
        <f>+STDEV(O1057:O1086)</f>
        <v>135938.15381667006</v>
      </c>
      <c r="P1088" s="14">
        <f>+STDEV(P1057:P1086)</f>
        <v>8810.5719791461979</v>
      </c>
      <c r="Q1088" s="14">
        <f>+STDEV(Q1057:Q1086)</f>
        <v>11328.179484722505</v>
      </c>
    </row>
    <row r="1089" spans="1:17" x14ac:dyDescent="0.3">
      <c r="I1089" s="15"/>
      <c r="J1089" s="15"/>
      <c r="K1089" s="11" t="s">
        <v>75</v>
      </c>
      <c r="L1089" s="14">
        <f>+COUNTIF(L1057:L1086,0)</f>
        <v>22</v>
      </c>
      <c r="M1089" s="14">
        <f>+COUNT(M1057:M1086)</f>
        <v>29</v>
      </c>
      <c r="P1089" s="14">
        <f>+COUNTIF(P1057:P1086,0)</f>
        <v>22</v>
      </c>
    </row>
    <row r="1091" spans="1:17" x14ac:dyDescent="0.3">
      <c r="A1091" s="1">
        <v>1</v>
      </c>
      <c r="B1091" s="2" t="s">
        <v>879</v>
      </c>
      <c r="C1091" s="3" t="s">
        <v>458</v>
      </c>
      <c r="D1091" s="12" t="s">
        <v>40</v>
      </c>
      <c r="E1091" s="12" t="s">
        <v>40</v>
      </c>
      <c r="F1091" s="12"/>
      <c r="G1091" s="12"/>
      <c r="H1091" s="12" t="s">
        <v>40</v>
      </c>
      <c r="I1091" s="12"/>
      <c r="J1091" s="12"/>
      <c r="K1091" s="12"/>
      <c r="L1091" s="12">
        <v>0</v>
      </c>
      <c r="M1091" s="15">
        <f>+IF(D1091="X",1,0)+IF(E1091="X",1,0)+IF(F1091="X",2,0)+IF(G1091="X",2,0)+IF(H1091="X",3,IF(H1091="Y",1.5,0))+IF(I1091="X",5,IF(I1091="Y",2.5,0))+IF(J1091="X",10,IF(J1091="Y",5,0))</f>
        <v>5</v>
      </c>
      <c r="N1091" s="15">
        <f>+IF(K1091="X",1,0)</f>
        <v>0</v>
      </c>
      <c r="O1091" s="20"/>
      <c r="P1091" s="12">
        <f t="shared" ref="P1091:P1103" si="259">+L1091/12</f>
        <v>0</v>
      </c>
      <c r="Q1091" s="20"/>
    </row>
    <row r="1092" spans="1:17" x14ac:dyDescent="0.3">
      <c r="A1092" s="1">
        <f>+A1091+1</f>
        <v>2</v>
      </c>
      <c r="B1092" s="2">
        <v>18087659</v>
      </c>
      <c r="C1092" s="3" t="s">
        <v>458</v>
      </c>
      <c r="D1092" s="12" t="s">
        <v>40</v>
      </c>
      <c r="E1092" s="12" t="s">
        <v>40</v>
      </c>
      <c r="F1092" s="12"/>
      <c r="G1092" s="12"/>
      <c r="H1092" s="12"/>
      <c r="I1092" s="12"/>
      <c r="J1092" s="12"/>
      <c r="K1092" s="12"/>
      <c r="L1092" s="12">
        <v>0</v>
      </c>
      <c r="M1092" s="15">
        <f t="shared" ref="M1092:M1120" si="260">+IF(D1092="X",1,0)+IF(E1092="X",1,0)+IF(F1092="X",2,0)+IF(G1092="X",2,0)+IF(H1092="X",3,IF(H1092="Y",1.5,0))+IF(I1092="X",5,IF(I1092="Y",2.5,0))+IF(J1092="X",10,IF(J1092="Y",5,0))</f>
        <v>2</v>
      </c>
      <c r="N1092" s="15">
        <f t="shared" ref="N1092:N1120" si="261">+IF(K1092="X",1,0)</f>
        <v>0</v>
      </c>
      <c r="O1092" s="20"/>
      <c r="P1092" s="12">
        <f t="shared" si="259"/>
        <v>0</v>
      </c>
      <c r="Q1092" s="20"/>
    </row>
    <row r="1093" spans="1:17" x14ac:dyDescent="0.3">
      <c r="A1093" s="1">
        <f t="shared" ref="A1093:A1120" si="262">+A1092+1</f>
        <v>3</v>
      </c>
      <c r="B1093" s="2" t="s">
        <v>880</v>
      </c>
      <c r="C1093" s="3" t="s">
        <v>458</v>
      </c>
      <c r="D1093" s="12" t="s">
        <v>40</v>
      </c>
      <c r="E1093" s="12" t="s">
        <v>40</v>
      </c>
      <c r="F1093" s="12"/>
      <c r="G1093" s="12"/>
      <c r="H1093" s="12" t="s">
        <v>40</v>
      </c>
      <c r="I1093" s="12"/>
      <c r="J1093" s="12"/>
      <c r="K1093" s="12"/>
      <c r="L1093" s="12">
        <v>0</v>
      </c>
      <c r="M1093" s="15">
        <f t="shared" si="260"/>
        <v>5</v>
      </c>
      <c r="N1093" s="15">
        <f t="shared" si="261"/>
        <v>0</v>
      </c>
      <c r="O1093" s="20"/>
      <c r="P1093" s="12">
        <f t="shared" si="259"/>
        <v>0</v>
      </c>
      <c r="Q1093" s="20"/>
    </row>
    <row r="1094" spans="1:17" x14ac:dyDescent="0.3">
      <c r="A1094" s="1">
        <f t="shared" si="262"/>
        <v>4</v>
      </c>
      <c r="B1094" s="2" t="s">
        <v>881</v>
      </c>
      <c r="C1094" s="3" t="s">
        <v>458</v>
      </c>
      <c r="D1094" s="12" t="s">
        <v>40</v>
      </c>
      <c r="E1094" s="12" t="s">
        <v>40</v>
      </c>
      <c r="F1094" s="12"/>
      <c r="G1094" s="12"/>
      <c r="H1094" s="12"/>
      <c r="I1094" s="12"/>
      <c r="J1094" s="12"/>
      <c r="K1094" s="12"/>
      <c r="L1094" s="12">
        <v>0</v>
      </c>
      <c r="M1094" s="15">
        <f t="shared" si="260"/>
        <v>2</v>
      </c>
      <c r="N1094" s="15">
        <f t="shared" si="261"/>
        <v>0</v>
      </c>
      <c r="O1094" s="20"/>
      <c r="P1094" s="12">
        <f t="shared" si="259"/>
        <v>0</v>
      </c>
      <c r="Q1094" s="20"/>
    </row>
    <row r="1095" spans="1:17" x14ac:dyDescent="0.3">
      <c r="A1095" s="1">
        <f t="shared" si="262"/>
        <v>5</v>
      </c>
      <c r="B1095" s="2">
        <v>18032469</v>
      </c>
      <c r="C1095" s="3" t="s">
        <v>458</v>
      </c>
      <c r="D1095" s="12" t="s">
        <v>40</v>
      </c>
      <c r="E1095" s="12" t="s">
        <v>40</v>
      </c>
      <c r="F1095" s="12"/>
      <c r="G1095" s="12"/>
      <c r="H1095" s="12" t="s">
        <v>40</v>
      </c>
      <c r="I1095" s="12"/>
      <c r="J1095" s="12"/>
      <c r="K1095" s="12"/>
      <c r="L1095" s="12">
        <v>0</v>
      </c>
      <c r="M1095" s="15">
        <f t="shared" si="260"/>
        <v>5</v>
      </c>
      <c r="N1095" s="15">
        <f t="shared" si="261"/>
        <v>0</v>
      </c>
      <c r="O1095" s="20"/>
      <c r="P1095" s="12">
        <f t="shared" si="259"/>
        <v>0</v>
      </c>
      <c r="Q1095" s="20"/>
    </row>
    <row r="1096" spans="1:17" x14ac:dyDescent="0.3">
      <c r="A1096" s="1">
        <f t="shared" si="262"/>
        <v>6</v>
      </c>
      <c r="B1096" s="2">
        <v>18119695</v>
      </c>
      <c r="C1096" s="3" t="s">
        <v>458</v>
      </c>
      <c r="D1096" s="12" t="s">
        <v>40</v>
      </c>
      <c r="E1096" s="12" t="s">
        <v>40</v>
      </c>
      <c r="F1096" s="12"/>
      <c r="G1096" s="12"/>
      <c r="H1096" s="12"/>
      <c r="I1096" s="12"/>
      <c r="J1096" s="12"/>
      <c r="K1096" s="12"/>
      <c r="L1096" s="12">
        <v>0</v>
      </c>
      <c r="M1096" s="15">
        <f t="shared" si="260"/>
        <v>2</v>
      </c>
      <c r="N1096" s="15">
        <f t="shared" si="261"/>
        <v>0</v>
      </c>
      <c r="O1096" s="20"/>
      <c r="P1096" s="12">
        <f t="shared" si="259"/>
        <v>0</v>
      </c>
      <c r="Q1096" s="20"/>
    </row>
    <row r="1097" spans="1:17" x14ac:dyDescent="0.3">
      <c r="A1097" s="1">
        <f t="shared" si="262"/>
        <v>7</v>
      </c>
      <c r="B1097" s="2">
        <v>18071086</v>
      </c>
      <c r="C1097" s="3" t="s">
        <v>458</v>
      </c>
      <c r="D1097" s="12" t="s">
        <v>40</v>
      </c>
      <c r="E1097" s="12" t="s">
        <v>40</v>
      </c>
      <c r="F1097" s="12" t="s">
        <v>40</v>
      </c>
      <c r="G1097" s="12" t="s">
        <v>40</v>
      </c>
      <c r="H1097" s="12"/>
      <c r="I1097" s="12" t="s">
        <v>40</v>
      </c>
      <c r="J1097" s="12"/>
      <c r="K1097" s="12"/>
      <c r="L1097" s="12">
        <v>66000</v>
      </c>
      <c r="M1097" s="15">
        <f t="shared" si="260"/>
        <v>11</v>
      </c>
      <c r="N1097" s="15">
        <f t="shared" si="261"/>
        <v>0</v>
      </c>
      <c r="O1097" s="20"/>
      <c r="P1097" s="12">
        <f t="shared" si="259"/>
        <v>5500</v>
      </c>
      <c r="Q1097" s="20"/>
    </row>
    <row r="1098" spans="1:17" x14ac:dyDescent="0.3">
      <c r="A1098" s="1">
        <f t="shared" si="262"/>
        <v>8</v>
      </c>
      <c r="B1098" s="2">
        <v>18089713</v>
      </c>
      <c r="C1098" s="3" t="s">
        <v>458</v>
      </c>
      <c r="D1098" s="12" t="s">
        <v>40</v>
      </c>
      <c r="E1098" s="12" t="s">
        <v>40</v>
      </c>
      <c r="F1098" s="12"/>
      <c r="G1098" s="12"/>
      <c r="H1098" s="12" t="s">
        <v>40</v>
      </c>
      <c r="I1098" s="12"/>
      <c r="J1098" s="12"/>
      <c r="K1098" s="12"/>
      <c r="L1098" s="12">
        <v>0</v>
      </c>
      <c r="M1098" s="15">
        <f t="shared" si="260"/>
        <v>5</v>
      </c>
      <c r="N1098" s="15">
        <f t="shared" si="261"/>
        <v>0</v>
      </c>
      <c r="O1098" s="20"/>
      <c r="P1098" s="12">
        <f t="shared" si="259"/>
        <v>0</v>
      </c>
      <c r="Q1098" s="20"/>
    </row>
    <row r="1099" spans="1:17" x14ac:dyDescent="0.3">
      <c r="A1099" s="1">
        <f t="shared" si="262"/>
        <v>9</v>
      </c>
      <c r="B1099" s="2">
        <v>19404985</v>
      </c>
      <c r="C1099" s="3" t="s">
        <v>458</v>
      </c>
      <c r="D1099" s="12" t="s">
        <v>40</v>
      </c>
      <c r="E1099" s="12" t="s">
        <v>40</v>
      </c>
      <c r="F1099" s="12"/>
      <c r="G1099" s="12"/>
      <c r="H1099" s="12" t="s">
        <v>40</v>
      </c>
      <c r="I1099" s="12" t="s">
        <v>40</v>
      </c>
      <c r="J1099" s="12"/>
      <c r="K1099" s="12"/>
      <c r="L1099" s="12">
        <v>0</v>
      </c>
      <c r="M1099" s="15">
        <f t="shared" si="260"/>
        <v>10</v>
      </c>
      <c r="N1099" s="15">
        <f t="shared" si="261"/>
        <v>0</v>
      </c>
      <c r="O1099" s="20"/>
      <c r="P1099" s="12">
        <f t="shared" si="259"/>
        <v>0</v>
      </c>
      <c r="Q1099" s="20"/>
    </row>
    <row r="1100" spans="1:17" x14ac:dyDescent="0.3">
      <c r="A1100" s="1">
        <f t="shared" si="262"/>
        <v>10</v>
      </c>
      <c r="B1100" s="2">
        <v>32125542</v>
      </c>
      <c r="C1100" s="3" t="s">
        <v>458</v>
      </c>
      <c r="D1100" s="12" t="s">
        <v>40</v>
      </c>
      <c r="E1100" s="12" t="s">
        <v>40</v>
      </c>
      <c r="F1100" s="12"/>
      <c r="G1100" s="12"/>
      <c r="H1100" s="12"/>
      <c r="I1100" s="12"/>
      <c r="J1100" s="12"/>
      <c r="K1100" s="12"/>
      <c r="L1100" s="12">
        <v>0</v>
      </c>
      <c r="M1100" s="15">
        <f t="shared" si="260"/>
        <v>2</v>
      </c>
      <c r="N1100" s="15">
        <f t="shared" si="261"/>
        <v>0</v>
      </c>
      <c r="O1100" s="20"/>
      <c r="P1100" s="12">
        <f t="shared" si="259"/>
        <v>0</v>
      </c>
      <c r="Q1100" s="20"/>
    </row>
    <row r="1101" spans="1:17" x14ac:dyDescent="0.3">
      <c r="A1101" s="1">
        <f t="shared" si="262"/>
        <v>11</v>
      </c>
      <c r="B1101" s="2">
        <v>18172534</v>
      </c>
      <c r="C1101" s="3" t="s">
        <v>458</v>
      </c>
      <c r="D1101" s="12" t="s">
        <v>40</v>
      </c>
      <c r="E1101" s="12" t="s">
        <v>40</v>
      </c>
      <c r="F1101" s="12"/>
      <c r="G1101" s="12"/>
      <c r="H1101" s="12" t="s">
        <v>40</v>
      </c>
      <c r="I1101" s="12"/>
      <c r="J1101" s="12"/>
      <c r="K1101" s="12"/>
      <c r="L1101" s="12">
        <v>0</v>
      </c>
      <c r="M1101" s="15">
        <f t="shared" si="260"/>
        <v>5</v>
      </c>
      <c r="N1101" s="15">
        <f t="shared" si="261"/>
        <v>0</v>
      </c>
      <c r="O1101" s="20"/>
      <c r="P1101" s="12">
        <f t="shared" si="259"/>
        <v>0</v>
      </c>
      <c r="Q1101" s="20"/>
    </row>
    <row r="1102" spans="1:17" x14ac:dyDescent="0.3">
      <c r="A1102" s="1">
        <f t="shared" si="262"/>
        <v>12</v>
      </c>
      <c r="B1102" s="2" t="s">
        <v>882</v>
      </c>
      <c r="C1102" s="3" t="s">
        <v>458</v>
      </c>
      <c r="D1102" s="12" t="s">
        <v>40</v>
      </c>
      <c r="E1102" s="12"/>
      <c r="F1102" s="12"/>
      <c r="G1102" s="12"/>
      <c r="H1102" s="12"/>
      <c r="I1102" s="12"/>
      <c r="J1102" s="12"/>
      <c r="K1102" s="12"/>
      <c r="L1102" s="12">
        <v>0</v>
      </c>
      <c r="M1102" s="15">
        <f t="shared" si="260"/>
        <v>1</v>
      </c>
      <c r="N1102" s="15">
        <f t="shared" si="261"/>
        <v>0</v>
      </c>
      <c r="O1102" s="20"/>
      <c r="P1102" s="12">
        <f t="shared" si="259"/>
        <v>0</v>
      </c>
      <c r="Q1102" s="20"/>
    </row>
    <row r="1103" spans="1:17" x14ac:dyDescent="0.3">
      <c r="A1103" s="1">
        <f t="shared" si="262"/>
        <v>13</v>
      </c>
      <c r="B1103" s="2">
        <v>18220972</v>
      </c>
      <c r="C1103" s="3" t="s">
        <v>458</v>
      </c>
      <c r="D1103" s="12" t="s">
        <v>40</v>
      </c>
      <c r="E1103" s="12" t="s">
        <v>40</v>
      </c>
      <c r="F1103" s="12"/>
      <c r="G1103" s="12"/>
      <c r="H1103" s="12"/>
      <c r="I1103" s="12"/>
      <c r="J1103" s="12"/>
      <c r="K1103" s="12"/>
      <c r="L1103" s="12">
        <v>0</v>
      </c>
      <c r="M1103" s="15">
        <f t="shared" si="260"/>
        <v>2</v>
      </c>
      <c r="N1103" s="15">
        <f t="shared" si="261"/>
        <v>0</v>
      </c>
      <c r="O1103" s="20"/>
      <c r="P1103" s="12">
        <f t="shared" si="259"/>
        <v>0</v>
      </c>
      <c r="Q1103" s="20"/>
    </row>
    <row r="1104" spans="1:17" x14ac:dyDescent="0.3">
      <c r="A1104" s="1">
        <f t="shared" si="262"/>
        <v>14</v>
      </c>
      <c r="B1104" s="2">
        <v>40193458</v>
      </c>
      <c r="C1104" s="3" t="s">
        <v>458</v>
      </c>
      <c r="D1104" s="12" t="s">
        <v>40</v>
      </c>
      <c r="E1104" s="12" t="s">
        <v>40</v>
      </c>
      <c r="F1104" s="12"/>
      <c r="G1104" s="12"/>
      <c r="H1104" s="12" t="s">
        <v>40</v>
      </c>
      <c r="I1104" s="12" t="s">
        <v>40</v>
      </c>
      <c r="J1104" s="12"/>
      <c r="K1104" s="12"/>
      <c r="L1104" s="12">
        <v>40926.6</v>
      </c>
      <c r="M1104" s="15">
        <f t="shared" si="260"/>
        <v>10</v>
      </c>
      <c r="N1104" s="15">
        <f t="shared" si="261"/>
        <v>0</v>
      </c>
      <c r="O1104" s="12">
        <v>40926.6</v>
      </c>
      <c r="P1104" s="12">
        <f t="shared" ref="P1104:P1120" si="263">+L1104/12</f>
        <v>3410.5499999999997</v>
      </c>
      <c r="Q1104" s="12">
        <f t="shared" ref="Q1104:Q1111" si="264">+O1104/12</f>
        <v>3410.5499999999997</v>
      </c>
    </row>
    <row r="1105" spans="1:17" x14ac:dyDescent="0.3">
      <c r="A1105" s="1">
        <f t="shared" si="262"/>
        <v>15</v>
      </c>
      <c r="B1105" s="2">
        <v>18857710</v>
      </c>
      <c r="C1105" s="3" t="s">
        <v>458</v>
      </c>
      <c r="D1105" s="12" t="s">
        <v>40</v>
      </c>
      <c r="E1105" s="12" t="s">
        <v>40</v>
      </c>
      <c r="F1105" s="12"/>
      <c r="G1105" s="12"/>
      <c r="H1105" s="12"/>
      <c r="I1105" s="12"/>
      <c r="J1105" s="12"/>
      <c r="K1105" s="12"/>
      <c r="L1105" s="12">
        <v>0</v>
      </c>
      <c r="M1105" s="15">
        <f t="shared" si="260"/>
        <v>2</v>
      </c>
      <c r="N1105" s="15">
        <f t="shared" si="261"/>
        <v>0</v>
      </c>
      <c r="O1105" s="20"/>
      <c r="P1105" s="12">
        <f t="shared" si="263"/>
        <v>0</v>
      </c>
      <c r="Q1105" s="20"/>
    </row>
    <row r="1106" spans="1:17" x14ac:dyDescent="0.3">
      <c r="A1106" s="1">
        <f t="shared" si="262"/>
        <v>16</v>
      </c>
      <c r="B1106" s="2">
        <v>18123441</v>
      </c>
      <c r="C1106" s="3" t="s">
        <v>458</v>
      </c>
      <c r="D1106" s="12" t="s">
        <v>40</v>
      </c>
      <c r="E1106" s="12" t="s">
        <v>40</v>
      </c>
      <c r="F1106" s="12"/>
      <c r="G1106" s="12"/>
      <c r="H1106" s="12" t="s">
        <v>43</v>
      </c>
      <c r="I1106" s="12"/>
      <c r="J1106" s="12"/>
      <c r="K1106" s="12"/>
      <c r="L1106" s="12">
        <v>0</v>
      </c>
      <c r="M1106" s="15">
        <f t="shared" si="260"/>
        <v>3.5</v>
      </c>
      <c r="N1106" s="15">
        <f t="shared" si="261"/>
        <v>0</v>
      </c>
      <c r="O1106" s="20"/>
      <c r="P1106" s="12">
        <f t="shared" si="263"/>
        <v>0</v>
      </c>
      <c r="Q1106" s="20"/>
    </row>
    <row r="1107" spans="1:17" x14ac:dyDescent="0.3">
      <c r="A1107" s="1">
        <f t="shared" si="262"/>
        <v>17</v>
      </c>
      <c r="B1107" s="2">
        <v>18049273</v>
      </c>
      <c r="C1107" s="3" t="s">
        <v>458</v>
      </c>
      <c r="D1107" s="12" t="s">
        <v>40</v>
      </c>
      <c r="E1107" s="12"/>
      <c r="F1107" s="12"/>
      <c r="G1107" s="12"/>
      <c r="H1107" s="12"/>
      <c r="I1107" s="12"/>
      <c r="J1107" s="12"/>
      <c r="K1107" s="12"/>
      <c r="L1107" s="12">
        <v>0</v>
      </c>
      <c r="M1107" s="15">
        <f t="shared" si="260"/>
        <v>1</v>
      </c>
      <c r="N1107" s="15">
        <f t="shared" si="261"/>
        <v>0</v>
      </c>
      <c r="O1107" s="20"/>
      <c r="P1107" s="12">
        <f t="shared" si="263"/>
        <v>0</v>
      </c>
      <c r="Q1107" s="20"/>
    </row>
    <row r="1108" spans="1:17" x14ac:dyDescent="0.3">
      <c r="A1108" s="1">
        <f t="shared" si="262"/>
        <v>18</v>
      </c>
      <c r="B1108" s="2">
        <v>17400951</v>
      </c>
      <c r="C1108" s="3" t="s">
        <v>458</v>
      </c>
      <c r="D1108" s="12" t="s">
        <v>40</v>
      </c>
      <c r="E1108" s="12"/>
      <c r="F1108" s="12"/>
      <c r="G1108" s="12"/>
      <c r="H1108" s="12"/>
      <c r="I1108" s="12"/>
      <c r="J1108" s="12"/>
      <c r="K1108" s="12"/>
      <c r="L1108" s="12">
        <v>0</v>
      </c>
      <c r="M1108" s="15">
        <f t="shared" si="260"/>
        <v>1</v>
      </c>
      <c r="N1108" s="15">
        <f t="shared" si="261"/>
        <v>0</v>
      </c>
      <c r="O1108" s="20"/>
      <c r="P1108" s="12">
        <f t="shared" si="263"/>
        <v>0</v>
      </c>
      <c r="Q1108" s="20"/>
    </row>
    <row r="1109" spans="1:17" x14ac:dyDescent="0.3">
      <c r="A1109" s="1">
        <f t="shared" si="262"/>
        <v>19</v>
      </c>
      <c r="B1109" s="2">
        <v>17432014</v>
      </c>
      <c r="C1109" s="3" t="s">
        <v>458</v>
      </c>
      <c r="D1109" s="12" t="s">
        <v>40</v>
      </c>
      <c r="E1109" s="12" t="s">
        <v>40</v>
      </c>
      <c r="F1109" s="12"/>
      <c r="G1109" s="12"/>
      <c r="H1109" s="12"/>
      <c r="I1109" s="12"/>
      <c r="J1109" s="12"/>
      <c r="K1109" s="12"/>
      <c r="L1109" s="12">
        <v>1025</v>
      </c>
      <c r="M1109" s="15">
        <f t="shared" si="260"/>
        <v>2</v>
      </c>
      <c r="N1109" s="15">
        <f t="shared" si="261"/>
        <v>0</v>
      </c>
      <c r="O1109" s="12">
        <v>1025</v>
      </c>
      <c r="P1109" s="12">
        <f t="shared" si="263"/>
        <v>85.416666666666671</v>
      </c>
      <c r="Q1109" s="12">
        <f t="shared" si="264"/>
        <v>85.416666666666671</v>
      </c>
    </row>
    <row r="1110" spans="1:17" x14ac:dyDescent="0.3">
      <c r="A1110" s="1">
        <f t="shared" si="262"/>
        <v>20</v>
      </c>
      <c r="B1110" s="2">
        <v>41338105</v>
      </c>
      <c r="C1110" s="3" t="s">
        <v>458</v>
      </c>
      <c r="D1110" s="12" t="s">
        <v>40</v>
      </c>
      <c r="E1110" s="12" t="s">
        <v>40</v>
      </c>
      <c r="F1110" s="12"/>
      <c r="G1110" s="12"/>
      <c r="H1110" s="12"/>
      <c r="I1110" s="12"/>
      <c r="J1110" s="12"/>
      <c r="K1110" s="12"/>
      <c r="L1110" s="12">
        <v>0</v>
      </c>
      <c r="M1110" s="15">
        <f t="shared" si="260"/>
        <v>2</v>
      </c>
      <c r="N1110" s="15">
        <f t="shared" si="261"/>
        <v>0</v>
      </c>
      <c r="O1110" s="20"/>
      <c r="P1110" s="12">
        <f t="shared" si="263"/>
        <v>0</v>
      </c>
      <c r="Q1110" s="20"/>
    </row>
    <row r="1111" spans="1:17" x14ac:dyDescent="0.3">
      <c r="A1111" s="1">
        <f t="shared" si="262"/>
        <v>21</v>
      </c>
      <c r="B1111" s="2">
        <v>10095860</v>
      </c>
      <c r="C1111" s="3" t="s">
        <v>458</v>
      </c>
      <c r="D1111" s="12"/>
      <c r="E1111" s="12"/>
      <c r="F1111" s="12"/>
      <c r="G1111" s="12"/>
      <c r="H1111" s="12"/>
      <c r="I1111" s="12"/>
      <c r="J1111" s="12"/>
      <c r="K1111" s="12"/>
      <c r="L1111" s="12">
        <v>525.04999999999995</v>
      </c>
      <c r="M1111" s="15">
        <f t="shared" si="260"/>
        <v>0</v>
      </c>
      <c r="N1111" s="15">
        <f t="shared" si="261"/>
        <v>0</v>
      </c>
      <c r="O1111" s="12">
        <v>525.04999999999995</v>
      </c>
      <c r="P1111" s="12">
        <f t="shared" si="263"/>
        <v>43.754166666666663</v>
      </c>
      <c r="Q1111" s="12">
        <f t="shared" si="264"/>
        <v>43.754166666666663</v>
      </c>
    </row>
    <row r="1112" spans="1:17" x14ac:dyDescent="0.3">
      <c r="A1112" s="1">
        <f t="shared" si="262"/>
        <v>22</v>
      </c>
      <c r="B1112" s="2">
        <v>32136631</v>
      </c>
      <c r="C1112" s="3" t="s">
        <v>458</v>
      </c>
      <c r="D1112" s="12" t="s">
        <v>40</v>
      </c>
      <c r="E1112" s="12" t="s">
        <v>40</v>
      </c>
      <c r="F1112" s="12"/>
      <c r="G1112" s="12"/>
      <c r="H1112" s="12"/>
      <c r="I1112" s="12"/>
      <c r="J1112" s="12"/>
      <c r="K1112" s="12"/>
      <c r="L1112" s="12">
        <v>0</v>
      </c>
      <c r="M1112" s="15">
        <f t="shared" si="260"/>
        <v>2</v>
      </c>
      <c r="N1112" s="15">
        <f t="shared" si="261"/>
        <v>0</v>
      </c>
      <c r="O1112" s="20"/>
      <c r="P1112" s="12">
        <f t="shared" si="263"/>
        <v>0</v>
      </c>
      <c r="Q1112" s="20"/>
    </row>
    <row r="1113" spans="1:17" x14ac:dyDescent="0.3">
      <c r="A1113" s="1">
        <f t="shared" si="262"/>
        <v>23</v>
      </c>
      <c r="B1113" s="2">
        <v>32115620</v>
      </c>
      <c r="C1113" s="3" t="s">
        <v>458</v>
      </c>
      <c r="D1113" s="12" t="s">
        <v>40</v>
      </c>
      <c r="E1113" s="12" t="s">
        <v>40</v>
      </c>
      <c r="F1113" s="12"/>
      <c r="G1113" s="12"/>
      <c r="H1113" s="12"/>
      <c r="I1113" s="12"/>
      <c r="J1113" s="12"/>
      <c r="K1113" s="12"/>
      <c r="L1113" s="12">
        <v>0</v>
      </c>
      <c r="M1113" s="15">
        <f t="shared" si="260"/>
        <v>2</v>
      </c>
      <c r="N1113" s="15">
        <f t="shared" si="261"/>
        <v>0</v>
      </c>
      <c r="O1113" s="20"/>
      <c r="P1113" s="12">
        <f t="shared" si="263"/>
        <v>0</v>
      </c>
      <c r="Q1113" s="20"/>
    </row>
    <row r="1114" spans="1:17" x14ac:dyDescent="0.3">
      <c r="A1114" s="1">
        <f t="shared" si="262"/>
        <v>24</v>
      </c>
      <c r="B1114" s="2">
        <v>17433476</v>
      </c>
      <c r="C1114" s="3" t="s">
        <v>458</v>
      </c>
      <c r="D1114" s="12" t="s">
        <v>40</v>
      </c>
      <c r="E1114" s="12" t="s">
        <v>40</v>
      </c>
      <c r="F1114" s="12"/>
      <c r="G1114" s="12"/>
      <c r="H1114" s="12"/>
      <c r="I1114" s="12"/>
      <c r="J1114" s="12"/>
      <c r="K1114" s="12"/>
      <c r="L1114" s="12">
        <v>0</v>
      </c>
      <c r="M1114" s="15">
        <f t="shared" si="260"/>
        <v>2</v>
      </c>
      <c r="N1114" s="15">
        <f t="shared" si="261"/>
        <v>0</v>
      </c>
      <c r="O1114" s="20"/>
      <c r="P1114" s="12">
        <f t="shared" si="263"/>
        <v>0</v>
      </c>
      <c r="Q1114" s="20"/>
    </row>
    <row r="1115" spans="1:17" x14ac:dyDescent="0.3">
      <c r="A1115" s="1">
        <f t="shared" si="262"/>
        <v>25</v>
      </c>
      <c r="B1115" s="2" t="s">
        <v>883</v>
      </c>
      <c r="C1115" s="3" t="s">
        <v>458</v>
      </c>
      <c r="D1115" s="12" t="s">
        <v>40</v>
      </c>
      <c r="E1115" s="12" t="s">
        <v>40</v>
      </c>
      <c r="F1115" s="12"/>
      <c r="G1115" s="12"/>
      <c r="H1115" s="12"/>
      <c r="I1115" s="12"/>
      <c r="J1115" s="12"/>
      <c r="K1115" s="12"/>
      <c r="L1115" s="12">
        <v>0</v>
      </c>
      <c r="M1115" s="15">
        <f t="shared" si="260"/>
        <v>2</v>
      </c>
      <c r="N1115" s="15">
        <f t="shared" si="261"/>
        <v>0</v>
      </c>
      <c r="O1115" s="20"/>
      <c r="P1115" s="12">
        <f t="shared" si="263"/>
        <v>0</v>
      </c>
      <c r="Q1115" s="20"/>
    </row>
    <row r="1116" spans="1:17" x14ac:dyDescent="0.3">
      <c r="A1116" s="1">
        <f t="shared" si="262"/>
        <v>26</v>
      </c>
      <c r="B1116" s="2">
        <v>32122946</v>
      </c>
      <c r="C1116" s="3" t="s">
        <v>458</v>
      </c>
      <c r="D1116" s="12" t="s">
        <v>40</v>
      </c>
      <c r="E1116" s="12" t="s">
        <v>40</v>
      </c>
      <c r="F1116" s="12"/>
      <c r="G1116" s="12"/>
      <c r="H1116" s="12"/>
      <c r="I1116" s="12"/>
      <c r="J1116" s="12"/>
      <c r="K1116" s="12"/>
      <c r="L1116" s="12">
        <v>0</v>
      </c>
      <c r="M1116" s="15">
        <f t="shared" si="260"/>
        <v>2</v>
      </c>
      <c r="N1116" s="15">
        <f t="shared" si="261"/>
        <v>0</v>
      </c>
      <c r="O1116" s="20"/>
      <c r="P1116" s="12">
        <f t="shared" si="263"/>
        <v>0</v>
      </c>
      <c r="Q1116" s="20"/>
    </row>
    <row r="1117" spans="1:17" x14ac:dyDescent="0.3">
      <c r="A1117" s="1">
        <f t="shared" si="262"/>
        <v>27</v>
      </c>
      <c r="B1117" s="2" t="s">
        <v>884</v>
      </c>
      <c r="C1117" s="3" t="s">
        <v>458</v>
      </c>
      <c r="D1117" s="12" t="s">
        <v>40</v>
      </c>
      <c r="E1117" s="12" t="s">
        <v>40</v>
      </c>
      <c r="F1117" s="12"/>
      <c r="G1117" s="12"/>
      <c r="H1117" s="12"/>
      <c r="I1117" s="12"/>
      <c r="J1117" s="12"/>
      <c r="K1117" s="12"/>
      <c r="L1117" s="12">
        <v>0</v>
      </c>
      <c r="M1117" s="15">
        <f t="shared" si="260"/>
        <v>2</v>
      </c>
      <c r="N1117" s="15">
        <f t="shared" si="261"/>
        <v>0</v>
      </c>
      <c r="O1117" s="20"/>
      <c r="P1117" s="12">
        <f t="shared" si="263"/>
        <v>0</v>
      </c>
      <c r="Q1117" s="20"/>
    </row>
    <row r="1118" spans="1:17" x14ac:dyDescent="0.3">
      <c r="A1118" s="1">
        <f t="shared" si="262"/>
        <v>28</v>
      </c>
      <c r="B1118" s="2">
        <v>32136253</v>
      </c>
      <c r="C1118" s="3" t="s">
        <v>458</v>
      </c>
      <c r="D1118" s="12" t="s">
        <v>40</v>
      </c>
      <c r="E1118" s="12" t="s">
        <v>40</v>
      </c>
      <c r="F1118" s="12"/>
      <c r="G1118" s="12"/>
      <c r="H1118" s="12"/>
      <c r="I1118" s="12"/>
      <c r="J1118" s="12"/>
      <c r="K1118" s="12"/>
      <c r="L1118" s="12">
        <v>0</v>
      </c>
      <c r="M1118" s="15">
        <f t="shared" si="260"/>
        <v>2</v>
      </c>
      <c r="N1118" s="15">
        <f t="shared" si="261"/>
        <v>0</v>
      </c>
      <c r="O1118" s="20"/>
      <c r="P1118" s="12">
        <f t="shared" si="263"/>
        <v>0</v>
      </c>
      <c r="Q1118" s="20"/>
    </row>
    <row r="1119" spans="1:17" x14ac:dyDescent="0.3">
      <c r="A1119" s="1">
        <f t="shared" si="262"/>
        <v>29</v>
      </c>
      <c r="B1119" s="2">
        <v>32125755</v>
      </c>
      <c r="C1119" s="3" t="s">
        <v>458</v>
      </c>
      <c r="D1119" s="12" t="s">
        <v>40</v>
      </c>
      <c r="E1119" s="12" t="s">
        <v>40</v>
      </c>
      <c r="F1119" s="12"/>
      <c r="G1119" s="12"/>
      <c r="H1119" s="12"/>
      <c r="I1119" s="12"/>
      <c r="J1119" s="12"/>
      <c r="K1119" s="12"/>
      <c r="L1119" s="12">
        <v>0</v>
      </c>
      <c r="M1119" s="15">
        <f t="shared" si="260"/>
        <v>2</v>
      </c>
      <c r="N1119" s="15">
        <f t="shared" si="261"/>
        <v>0</v>
      </c>
      <c r="O1119" s="20"/>
      <c r="P1119" s="12">
        <f t="shared" si="263"/>
        <v>0</v>
      </c>
      <c r="Q1119" s="20"/>
    </row>
    <row r="1120" spans="1:17" x14ac:dyDescent="0.3">
      <c r="A1120" s="1">
        <f t="shared" si="262"/>
        <v>30</v>
      </c>
      <c r="B1120" s="2">
        <v>10778814</v>
      </c>
      <c r="C1120" s="3" t="s">
        <v>458</v>
      </c>
      <c r="D1120" s="12" t="s">
        <v>40</v>
      </c>
      <c r="E1120" s="12" t="s">
        <v>40</v>
      </c>
      <c r="F1120" s="12"/>
      <c r="G1120" s="12"/>
      <c r="H1120" s="12"/>
      <c r="I1120" s="12"/>
      <c r="J1120" s="12"/>
      <c r="K1120" s="12"/>
      <c r="L1120" s="12">
        <v>0</v>
      </c>
      <c r="M1120" s="15">
        <f t="shared" si="260"/>
        <v>2</v>
      </c>
      <c r="N1120" s="15">
        <f t="shared" si="261"/>
        <v>0</v>
      </c>
      <c r="O1120" s="20"/>
      <c r="P1120" s="12">
        <f t="shared" si="263"/>
        <v>0</v>
      </c>
      <c r="Q1120" s="20"/>
    </row>
    <row r="1121" spans="1:21" x14ac:dyDescent="0.3">
      <c r="B1121" s="29"/>
      <c r="L1121" s="14">
        <f>+AVERAGE(L1091:L1120)</f>
        <v>3615.8883333333338</v>
      </c>
      <c r="M1121" s="14">
        <f>+AVERAGE(M1091:M1120)</f>
        <v>3.2166666666666668</v>
      </c>
      <c r="N1121" s="14">
        <f>+SUM(N1091:N1120)</f>
        <v>0</v>
      </c>
      <c r="O1121" s="14">
        <f>+AVERAGE(O1091:O1120)</f>
        <v>14158.883333333333</v>
      </c>
      <c r="P1121" s="14">
        <f>+AVERAGE(P1091:P1120)</f>
        <v>301.32402777777776</v>
      </c>
      <c r="Q1121" s="14">
        <f>+AVERAGE(Q1091:Q1120)</f>
        <v>1179.9069444444442</v>
      </c>
      <c r="R1121" s="14">
        <f>30-COUNTBLANK(R1091:R1120)</f>
        <v>0</v>
      </c>
    </row>
    <row r="1122" spans="1:21" x14ac:dyDescent="0.3">
      <c r="L1122" s="14">
        <f>+STDEV(L1091:L1120)</f>
        <v>13945.798325201276</v>
      </c>
      <c r="M1122" s="14">
        <f>+STDEV(M1091:M1120)</f>
        <v>2.7470464808255595</v>
      </c>
      <c r="N1122" s="17"/>
      <c r="O1122" s="14">
        <f>+STDEV(O1091:O1120)</f>
        <v>23182.870382263569</v>
      </c>
      <c r="P1122" s="14">
        <f>+STDEV(P1091:P1120)</f>
        <v>1162.1498604334397</v>
      </c>
      <c r="Q1122" s="14">
        <f>+STDEV(Q1091:Q1120)</f>
        <v>1931.9058651886305</v>
      </c>
    </row>
    <row r="1123" spans="1:21" x14ac:dyDescent="0.3">
      <c r="I1123" s="15"/>
      <c r="J1123" s="15"/>
      <c r="K1123" s="11" t="s">
        <v>75</v>
      </c>
      <c r="L1123" s="14">
        <f>+COUNTIF(L1091:L1120,0)</f>
        <v>26</v>
      </c>
      <c r="M1123" s="14">
        <f>+COUNT(M1091:M1120)</f>
        <v>30</v>
      </c>
      <c r="P1123" s="14">
        <f>+COUNTIF(P1091:P1120,0)</f>
        <v>26</v>
      </c>
    </row>
    <row r="1125" spans="1:21" x14ac:dyDescent="0.3">
      <c r="A1125" s="1">
        <v>1</v>
      </c>
      <c r="B1125" s="2">
        <v>40728264</v>
      </c>
      <c r="C1125" s="3" t="s">
        <v>459</v>
      </c>
      <c r="D1125" s="12" t="s">
        <v>40</v>
      </c>
      <c r="E1125" s="12" t="s">
        <v>40</v>
      </c>
      <c r="F1125" s="12"/>
      <c r="G1125" s="12"/>
      <c r="H1125" s="12" t="s">
        <v>40</v>
      </c>
      <c r="I1125" s="12"/>
      <c r="J1125" s="12"/>
      <c r="K1125" s="12"/>
      <c r="L1125" s="12">
        <v>320676</v>
      </c>
      <c r="M1125" s="15">
        <f>+IF(D1125="X",1,0)+IF(E1125="X",1,0)+IF(F1125="X",2,0)+IF(G1125="X",2,0)+IF(H1125="X",3,IF(H1125="Y",1.5,0))+IF(I1125="X",5,IF(I1125="Y",2.5,0))+IF(J1125="X",10,IF(J1125="Y",5,0))</f>
        <v>5</v>
      </c>
      <c r="N1125" s="15">
        <f>+IF(K1125="X",1,0)</f>
        <v>0</v>
      </c>
      <c r="O1125" s="12">
        <v>320676</v>
      </c>
      <c r="P1125" s="12">
        <f t="shared" ref="P1125:P1154" si="265">+L1125/12</f>
        <v>26723</v>
      </c>
      <c r="Q1125" s="12">
        <f t="shared" ref="Q1125:Q1154" si="266">+O1125/12</f>
        <v>26723</v>
      </c>
      <c r="R1125" t="s">
        <v>460</v>
      </c>
    </row>
    <row r="1126" spans="1:21" x14ac:dyDescent="0.3">
      <c r="A1126" s="1">
        <f>+A1125+1</f>
        <v>2</v>
      </c>
      <c r="B1126" s="2">
        <v>29567624</v>
      </c>
      <c r="C1126" s="3" t="s">
        <v>459</v>
      </c>
      <c r="D1126" s="12" t="s">
        <v>40</v>
      </c>
      <c r="E1126" s="12" t="s">
        <v>40</v>
      </c>
      <c r="F1126" s="12"/>
      <c r="G1126" s="12"/>
      <c r="H1126" s="12" t="s">
        <v>40</v>
      </c>
      <c r="I1126" s="12"/>
      <c r="J1126" s="12"/>
      <c r="K1126" s="12"/>
      <c r="L1126" s="12">
        <v>14820</v>
      </c>
      <c r="M1126" s="15">
        <f t="shared" ref="M1126:M1154" si="267">+IF(D1126="X",1,0)+IF(E1126="X",1,0)+IF(F1126="X",2,0)+IF(G1126="X",2,0)+IF(H1126="X",3,IF(H1126="Y",1.5,0))+IF(I1126="X",5,IF(I1126="Y",2.5,0))+IF(J1126="X",10,IF(J1126="Y",5,0))</f>
        <v>5</v>
      </c>
      <c r="N1126" s="15">
        <f t="shared" ref="N1126:N1154" si="268">+IF(K1126="X",1,0)</f>
        <v>0</v>
      </c>
      <c r="O1126" s="12">
        <v>14820</v>
      </c>
      <c r="P1126" s="12">
        <f t="shared" si="265"/>
        <v>1235</v>
      </c>
      <c r="Q1126" s="12">
        <f t="shared" si="266"/>
        <v>1235</v>
      </c>
    </row>
    <row r="1127" spans="1:21" x14ac:dyDescent="0.3">
      <c r="A1127" s="1">
        <f t="shared" ref="A1127:A1154" si="269">+A1126+1</f>
        <v>3</v>
      </c>
      <c r="B1127" s="2">
        <v>18113682</v>
      </c>
      <c r="C1127" s="3" t="s">
        <v>459</v>
      </c>
      <c r="D1127" s="12" t="s">
        <v>40</v>
      </c>
      <c r="E1127" s="12" t="s">
        <v>40</v>
      </c>
      <c r="F1127" s="12"/>
      <c r="G1127" s="12" t="s">
        <v>40</v>
      </c>
      <c r="H1127" s="12" t="s">
        <v>40</v>
      </c>
      <c r="I1127" s="12" t="s">
        <v>40</v>
      </c>
      <c r="J1127" s="12"/>
      <c r="K1127" s="12"/>
      <c r="L1127" s="12">
        <v>164433</v>
      </c>
      <c r="M1127" s="15">
        <f t="shared" si="267"/>
        <v>12</v>
      </c>
      <c r="N1127" s="15">
        <f t="shared" si="268"/>
        <v>0</v>
      </c>
      <c r="O1127" s="12">
        <v>164433</v>
      </c>
      <c r="P1127" s="12">
        <f t="shared" si="265"/>
        <v>13702.75</v>
      </c>
      <c r="Q1127" s="12">
        <f t="shared" si="266"/>
        <v>13702.75</v>
      </c>
    </row>
    <row r="1128" spans="1:21" x14ac:dyDescent="0.3">
      <c r="A1128" s="1">
        <f t="shared" si="269"/>
        <v>4</v>
      </c>
      <c r="B1128" s="2">
        <v>31188558</v>
      </c>
      <c r="C1128" s="3" t="s">
        <v>459</v>
      </c>
      <c r="D1128" s="12" t="s">
        <v>40</v>
      </c>
      <c r="E1128" s="12" t="s">
        <v>40</v>
      </c>
      <c r="F1128" s="12"/>
      <c r="G1128" s="12"/>
      <c r="H1128" s="12" t="s">
        <v>40</v>
      </c>
      <c r="I1128" s="12"/>
      <c r="J1128" s="12"/>
      <c r="K1128" s="12"/>
      <c r="L1128" s="12">
        <v>10000</v>
      </c>
      <c r="M1128" s="15">
        <f t="shared" si="267"/>
        <v>5</v>
      </c>
      <c r="N1128" s="15">
        <f t="shared" si="268"/>
        <v>0</v>
      </c>
      <c r="O1128" s="12">
        <v>10000</v>
      </c>
      <c r="P1128" s="12">
        <f t="shared" si="265"/>
        <v>833.33333333333337</v>
      </c>
      <c r="Q1128" s="12">
        <f t="shared" si="266"/>
        <v>833.33333333333337</v>
      </c>
    </row>
    <row r="1129" spans="1:21" x14ac:dyDescent="0.3">
      <c r="A1129" s="1">
        <f t="shared" si="269"/>
        <v>5</v>
      </c>
      <c r="B1129" s="2" t="s">
        <v>823</v>
      </c>
      <c r="C1129" s="3" t="s">
        <v>459</v>
      </c>
      <c r="D1129" s="12" t="s">
        <v>40</v>
      </c>
      <c r="E1129" s="12" t="s">
        <v>40</v>
      </c>
      <c r="F1129" s="12"/>
      <c r="G1129" s="12"/>
      <c r="H1129" s="12" t="s">
        <v>40</v>
      </c>
      <c r="I1129" s="12" t="s">
        <v>40</v>
      </c>
      <c r="J1129" s="12" t="s">
        <v>40</v>
      </c>
      <c r="K1129" s="12"/>
      <c r="L1129" s="12">
        <v>339000</v>
      </c>
      <c r="M1129" s="15">
        <f t="shared" si="267"/>
        <v>20</v>
      </c>
      <c r="N1129" s="15">
        <f t="shared" si="268"/>
        <v>0</v>
      </c>
      <c r="O1129" s="12">
        <v>339000</v>
      </c>
      <c r="P1129" s="12">
        <f t="shared" si="265"/>
        <v>28250</v>
      </c>
      <c r="Q1129" s="12">
        <f t="shared" si="266"/>
        <v>28250</v>
      </c>
    </row>
    <row r="1130" spans="1:21" x14ac:dyDescent="0.3">
      <c r="A1130" s="1">
        <f t="shared" si="269"/>
        <v>6</v>
      </c>
      <c r="B1130" s="2" t="s">
        <v>824</v>
      </c>
      <c r="C1130" s="3" t="s">
        <v>459</v>
      </c>
      <c r="D1130" s="12" t="s">
        <v>40</v>
      </c>
      <c r="E1130" s="12" t="s">
        <v>40</v>
      </c>
      <c r="F1130" s="12"/>
      <c r="G1130" s="12"/>
      <c r="H1130" s="12" t="s">
        <v>40</v>
      </c>
      <c r="I1130" s="12"/>
      <c r="J1130" s="12"/>
      <c r="K1130" s="12"/>
      <c r="L1130" s="12">
        <v>664756.64</v>
      </c>
      <c r="M1130" s="15">
        <f t="shared" si="267"/>
        <v>5</v>
      </c>
      <c r="N1130" s="15">
        <f t="shared" si="268"/>
        <v>0</v>
      </c>
      <c r="O1130" s="20"/>
      <c r="P1130" s="12">
        <f t="shared" si="265"/>
        <v>55396.386666666665</v>
      </c>
      <c r="Q1130" s="20"/>
      <c r="U1130" t="s">
        <v>822</v>
      </c>
    </row>
    <row r="1131" spans="1:21" x14ac:dyDescent="0.3">
      <c r="A1131" s="1">
        <f t="shared" si="269"/>
        <v>7</v>
      </c>
      <c r="B1131" s="2">
        <v>43315918</v>
      </c>
      <c r="C1131" s="3" t="s">
        <v>459</v>
      </c>
      <c r="D1131" s="12" t="s">
        <v>40</v>
      </c>
      <c r="E1131" s="12" t="s">
        <v>40</v>
      </c>
      <c r="F1131" s="12"/>
      <c r="G1131" s="12"/>
      <c r="H1131" s="12" t="s">
        <v>40</v>
      </c>
      <c r="I1131" s="12" t="s">
        <v>40</v>
      </c>
      <c r="J1131" s="12"/>
      <c r="K1131" s="12"/>
      <c r="L1131" s="12">
        <v>191190.78</v>
      </c>
      <c r="M1131" s="15">
        <f t="shared" si="267"/>
        <v>10</v>
      </c>
      <c r="N1131" s="15">
        <f t="shared" si="268"/>
        <v>0</v>
      </c>
      <c r="O1131" s="12">
        <v>191190.78</v>
      </c>
      <c r="P1131" s="12">
        <f t="shared" si="265"/>
        <v>15932.565000000001</v>
      </c>
      <c r="Q1131" s="12">
        <f t="shared" si="266"/>
        <v>15932.565000000001</v>
      </c>
    </row>
    <row r="1132" spans="1:21" x14ac:dyDescent="0.3">
      <c r="A1132" s="1">
        <f t="shared" si="269"/>
        <v>8</v>
      </c>
      <c r="B1132" s="2" t="s">
        <v>825</v>
      </c>
      <c r="C1132" s="3" t="s">
        <v>459</v>
      </c>
      <c r="D1132" s="12" t="s">
        <v>40</v>
      </c>
      <c r="E1132" s="12" t="s">
        <v>40</v>
      </c>
      <c r="F1132" s="12"/>
      <c r="G1132" s="12"/>
      <c r="H1132" s="12" t="s">
        <v>40</v>
      </c>
      <c r="I1132" s="12"/>
      <c r="J1132" s="12"/>
      <c r="K1132" s="12"/>
      <c r="L1132" s="12">
        <v>494314.83</v>
      </c>
      <c r="M1132" s="15">
        <f t="shared" si="267"/>
        <v>5</v>
      </c>
      <c r="N1132" s="15">
        <f t="shared" si="268"/>
        <v>0</v>
      </c>
      <c r="O1132" s="12">
        <v>494314.83</v>
      </c>
      <c r="P1132" s="12">
        <f t="shared" si="265"/>
        <v>41192.902500000004</v>
      </c>
      <c r="Q1132" s="12">
        <f t="shared" si="266"/>
        <v>41192.902500000004</v>
      </c>
    </row>
    <row r="1133" spans="1:21" x14ac:dyDescent="0.3">
      <c r="A1133" s="1">
        <f t="shared" si="269"/>
        <v>9</v>
      </c>
      <c r="B1133" s="2">
        <v>25470735</v>
      </c>
      <c r="C1133" s="3" t="s">
        <v>459</v>
      </c>
      <c r="D1133" s="12" t="s">
        <v>40</v>
      </c>
      <c r="E1133" s="12" t="s">
        <v>40</v>
      </c>
      <c r="F1133" s="12"/>
      <c r="G1133" s="12"/>
      <c r="H1133" s="12" t="s">
        <v>40</v>
      </c>
      <c r="I1133" s="12"/>
      <c r="J1133" s="12"/>
      <c r="K1133" s="12"/>
      <c r="L1133" s="12">
        <v>104200</v>
      </c>
      <c r="M1133" s="15">
        <f t="shared" si="267"/>
        <v>5</v>
      </c>
      <c r="N1133" s="15">
        <f t="shared" si="268"/>
        <v>0</v>
      </c>
      <c r="O1133" s="12">
        <v>104200</v>
      </c>
      <c r="P1133" s="12">
        <f t="shared" si="265"/>
        <v>8683.3333333333339</v>
      </c>
      <c r="Q1133" s="12">
        <f t="shared" si="266"/>
        <v>8683.3333333333339</v>
      </c>
    </row>
    <row r="1134" spans="1:21" x14ac:dyDescent="0.3">
      <c r="A1134" s="1">
        <f t="shared" si="269"/>
        <v>10</v>
      </c>
      <c r="B1134" s="2" t="s">
        <v>826</v>
      </c>
      <c r="C1134" s="3" t="s">
        <v>459</v>
      </c>
      <c r="D1134" s="12" t="s">
        <v>40</v>
      </c>
      <c r="E1134" s="12" t="s">
        <v>40</v>
      </c>
      <c r="F1134" s="12"/>
      <c r="G1134" s="12"/>
      <c r="H1134" s="12"/>
      <c r="I1134" s="12"/>
      <c r="J1134" s="12"/>
      <c r="K1134" s="12"/>
      <c r="L1134" s="12">
        <v>0</v>
      </c>
      <c r="M1134" s="15">
        <f t="shared" si="267"/>
        <v>2</v>
      </c>
      <c r="N1134" s="15">
        <f t="shared" si="268"/>
        <v>0</v>
      </c>
      <c r="O1134" s="20"/>
      <c r="P1134" s="12">
        <f t="shared" si="265"/>
        <v>0</v>
      </c>
      <c r="Q1134" s="20"/>
    </row>
    <row r="1135" spans="1:21" x14ac:dyDescent="0.3">
      <c r="A1135" s="1">
        <f t="shared" si="269"/>
        <v>11</v>
      </c>
      <c r="B1135" s="2">
        <v>23802843</v>
      </c>
      <c r="C1135" s="3" t="s">
        <v>459</v>
      </c>
      <c r="D1135" s="12" t="s">
        <v>40</v>
      </c>
      <c r="E1135" s="12" t="s">
        <v>40</v>
      </c>
      <c r="F1135" s="12"/>
      <c r="G1135" s="12"/>
      <c r="H1135" s="12" t="s">
        <v>40</v>
      </c>
      <c r="I1135" s="12" t="s">
        <v>40</v>
      </c>
      <c r="J1135" s="12"/>
      <c r="K1135" s="12"/>
      <c r="L1135" s="12">
        <v>48000</v>
      </c>
      <c r="M1135" s="15">
        <f t="shared" si="267"/>
        <v>10</v>
      </c>
      <c r="N1135" s="15">
        <f t="shared" si="268"/>
        <v>0</v>
      </c>
      <c r="O1135" s="12">
        <v>48000</v>
      </c>
      <c r="P1135" s="12">
        <f t="shared" si="265"/>
        <v>4000</v>
      </c>
      <c r="Q1135" s="12">
        <f t="shared" si="266"/>
        <v>4000</v>
      </c>
    </row>
    <row r="1136" spans="1:21" x14ac:dyDescent="0.3">
      <c r="A1136" s="1">
        <f t="shared" si="269"/>
        <v>12</v>
      </c>
      <c r="B1136" s="2" t="s">
        <v>828</v>
      </c>
      <c r="C1136" s="3" t="s">
        <v>459</v>
      </c>
      <c r="D1136" s="12" t="s">
        <v>40</v>
      </c>
      <c r="E1136" s="12" t="s">
        <v>40</v>
      </c>
      <c r="F1136" s="12" t="s">
        <v>40</v>
      </c>
      <c r="G1136" s="12"/>
      <c r="H1136" s="12" t="s">
        <v>40</v>
      </c>
      <c r="I1136" s="12"/>
      <c r="J1136" s="12"/>
      <c r="K1136" s="12"/>
      <c r="L1136" s="12">
        <v>19443.96</v>
      </c>
      <c r="M1136" s="15">
        <f t="shared" si="267"/>
        <v>7</v>
      </c>
      <c r="N1136" s="15">
        <f t="shared" si="268"/>
        <v>0</v>
      </c>
      <c r="O1136" s="12">
        <v>19443.96</v>
      </c>
      <c r="P1136" s="12">
        <f t="shared" si="265"/>
        <v>1620.33</v>
      </c>
      <c r="Q1136" s="12">
        <f t="shared" si="266"/>
        <v>1620.33</v>
      </c>
    </row>
    <row r="1137" spans="1:17" x14ac:dyDescent="0.3">
      <c r="A1137" s="1">
        <f t="shared" si="269"/>
        <v>13</v>
      </c>
      <c r="B1137" s="2" t="s">
        <v>827</v>
      </c>
      <c r="C1137" s="3" t="s">
        <v>459</v>
      </c>
      <c r="D1137" s="12" t="s">
        <v>40</v>
      </c>
      <c r="E1137" s="12" t="s">
        <v>40</v>
      </c>
      <c r="F1137" s="12" t="s">
        <v>40</v>
      </c>
      <c r="G1137" s="12"/>
      <c r="H1137" s="12" t="s">
        <v>40</v>
      </c>
      <c r="I1137" s="12" t="s">
        <v>40</v>
      </c>
      <c r="J1137" s="12"/>
      <c r="K1137" s="12"/>
      <c r="L1137" s="12">
        <v>89616</v>
      </c>
      <c r="M1137" s="15">
        <f t="shared" si="267"/>
        <v>12</v>
      </c>
      <c r="N1137" s="15">
        <f t="shared" si="268"/>
        <v>0</v>
      </c>
      <c r="O1137" s="12">
        <v>89616</v>
      </c>
      <c r="P1137" s="12">
        <f t="shared" si="265"/>
        <v>7468</v>
      </c>
      <c r="Q1137" s="12">
        <f t="shared" si="266"/>
        <v>7468</v>
      </c>
    </row>
    <row r="1138" spans="1:17" x14ac:dyDescent="0.3">
      <c r="A1138" s="1">
        <f t="shared" si="269"/>
        <v>14</v>
      </c>
      <c r="B1138" s="2">
        <v>40248378</v>
      </c>
      <c r="C1138" s="3" t="s">
        <v>459</v>
      </c>
      <c r="D1138" s="12" t="s">
        <v>40</v>
      </c>
      <c r="E1138" s="12" t="s">
        <v>40</v>
      </c>
      <c r="F1138" s="12"/>
      <c r="G1138" s="12"/>
      <c r="H1138" s="12"/>
      <c r="I1138" s="12"/>
      <c r="J1138" s="12"/>
      <c r="K1138" s="12" t="s">
        <v>40</v>
      </c>
      <c r="L1138" s="12">
        <v>6000</v>
      </c>
      <c r="M1138" s="15">
        <f t="shared" si="267"/>
        <v>2</v>
      </c>
      <c r="N1138" s="15">
        <f t="shared" si="268"/>
        <v>1</v>
      </c>
      <c r="O1138" s="12">
        <v>6000</v>
      </c>
      <c r="P1138" s="12">
        <f t="shared" si="265"/>
        <v>500</v>
      </c>
      <c r="Q1138" s="12">
        <f t="shared" si="266"/>
        <v>500</v>
      </c>
    </row>
    <row r="1139" spans="1:17" x14ac:dyDescent="0.3">
      <c r="A1139" s="1">
        <f t="shared" si="269"/>
        <v>15</v>
      </c>
      <c r="B1139" s="2">
        <v>16422667</v>
      </c>
      <c r="C1139" s="3" t="s">
        <v>459</v>
      </c>
      <c r="D1139" s="12" t="s">
        <v>40</v>
      </c>
      <c r="E1139" s="12" t="s">
        <v>40</v>
      </c>
      <c r="F1139" s="12"/>
      <c r="G1139" s="12"/>
      <c r="H1139" s="12" t="s">
        <v>40</v>
      </c>
      <c r="I1139" s="12" t="s">
        <v>40</v>
      </c>
      <c r="J1139" s="12"/>
      <c r="K1139" s="12"/>
      <c r="L1139" s="12">
        <v>88800</v>
      </c>
      <c r="M1139" s="15">
        <f t="shared" si="267"/>
        <v>10</v>
      </c>
      <c r="N1139" s="15">
        <f t="shared" si="268"/>
        <v>0</v>
      </c>
      <c r="O1139" s="12">
        <v>88800</v>
      </c>
      <c r="P1139" s="12">
        <f t="shared" si="265"/>
        <v>7400</v>
      </c>
      <c r="Q1139" s="12">
        <f t="shared" si="266"/>
        <v>7400</v>
      </c>
    </row>
    <row r="1140" spans="1:17" x14ac:dyDescent="0.3">
      <c r="A1140" s="1">
        <f t="shared" si="269"/>
        <v>16</v>
      </c>
      <c r="B1140" s="2">
        <v>40807022</v>
      </c>
      <c r="C1140" s="3" t="s">
        <v>459</v>
      </c>
      <c r="D1140" s="12" t="s">
        <v>40</v>
      </c>
      <c r="E1140" s="12" t="s">
        <v>40</v>
      </c>
      <c r="F1140" s="12"/>
      <c r="G1140" s="12"/>
      <c r="H1140" s="12" t="s">
        <v>40</v>
      </c>
      <c r="I1140" s="12"/>
      <c r="J1140" s="12"/>
      <c r="K1140" s="12"/>
      <c r="L1140" s="12">
        <v>43820</v>
      </c>
      <c r="M1140" s="15">
        <f t="shared" si="267"/>
        <v>5</v>
      </c>
      <c r="N1140" s="15">
        <f t="shared" si="268"/>
        <v>0</v>
      </c>
      <c r="O1140" s="12">
        <v>43820</v>
      </c>
      <c r="P1140" s="12">
        <f t="shared" si="265"/>
        <v>3651.6666666666665</v>
      </c>
      <c r="Q1140" s="12">
        <f t="shared" si="266"/>
        <v>3651.6666666666665</v>
      </c>
    </row>
    <row r="1141" spans="1:17" x14ac:dyDescent="0.3">
      <c r="A1141" s="1">
        <f t="shared" si="269"/>
        <v>17</v>
      </c>
      <c r="B1141" s="2">
        <v>10472653</v>
      </c>
      <c r="C1141" s="3" t="s">
        <v>459</v>
      </c>
      <c r="D1141" s="12" t="s">
        <v>40</v>
      </c>
      <c r="E1141" s="12" t="s">
        <v>40</v>
      </c>
      <c r="F1141" s="12"/>
      <c r="G1141" s="12"/>
      <c r="H1141" s="12" t="s">
        <v>40</v>
      </c>
      <c r="I1141" s="12"/>
      <c r="J1141" s="12"/>
      <c r="K1141" s="12"/>
      <c r="L1141" s="12">
        <v>147010.65</v>
      </c>
      <c r="M1141" s="15">
        <f t="shared" si="267"/>
        <v>5</v>
      </c>
      <c r="N1141" s="15">
        <f t="shared" si="268"/>
        <v>0</v>
      </c>
      <c r="O1141" s="12">
        <v>147010.65</v>
      </c>
      <c r="P1141" s="12">
        <f t="shared" si="265"/>
        <v>12250.887499999999</v>
      </c>
      <c r="Q1141" s="12">
        <f t="shared" si="266"/>
        <v>12250.887499999999</v>
      </c>
    </row>
    <row r="1142" spans="1:17" x14ac:dyDescent="0.3">
      <c r="A1142" s="1">
        <f t="shared" si="269"/>
        <v>18</v>
      </c>
      <c r="B1142" s="2" t="s">
        <v>829</v>
      </c>
      <c r="C1142" s="3" t="s">
        <v>459</v>
      </c>
      <c r="D1142" s="12" t="s">
        <v>40</v>
      </c>
      <c r="E1142" s="12" t="s">
        <v>40</v>
      </c>
      <c r="F1142" s="12"/>
      <c r="G1142" s="12"/>
      <c r="H1142" s="12"/>
      <c r="I1142" s="12"/>
      <c r="J1142" s="12"/>
      <c r="K1142" s="12"/>
      <c r="L1142" s="12">
        <v>10200</v>
      </c>
      <c r="M1142" s="15">
        <f t="shared" si="267"/>
        <v>2</v>
      </c>
      <c r="N1142" s="15">
        <f t="shared" si="268"/>
        <v>0</v>
      </c>
      <c r="O1142" s="12">
        <v>10200</v>
      </c>
      <c r="P1142" s="12">
        <f t="shared" si="265"/>
        <v>850</v>
      </c>
      <c r="Q1142" s="12">
        <f t="shared" si="266"/>
        <v>850</v>
      </c>
    </row>
    <row r="1143" spans="1:17" x14ac:dyDescent="0.3">
      <c r="A1143" s="1">
        <f t="shared" si="269"/>
        <v>19</v>
      </c>
      <c r="B1143" s="2">
        <v>20054502</v>
      </c>
      <c r="C1143" s="3" t="s">
        <v>459</v>
      </c>
      <c r="D1143" s="12" t="s">
        <v>40</v>
      </c>
      <c r="E1143" s="12" t="s">
        <v>40</v>
      </c>
      <c r="F1143" s="12"/>
      <c r="G1143" s="12"/>
      <c r="H1143" s="12"/>
      <c r="I1143" s="12"/>
      <c r="J1143" s="12"/>
      <c r="K1143" s="12"/>
      <c r="L1143" s="12">
        <v>36000</v>
      </c>
      <c r="M1143" s="15">
        <f t="shared" si="267"/>
        <v>2</v>
      </c>
      <c r="N1143" s="15">
        <f t="shared" si="268"/>
        <v>0</v>
      </c>
      <c r="O1143" s="12">
        <v>36000</v>
      </c>
      <c r="P1143" s="12">
        <f t="shared" si="265"/>
        <v>3000</v>
      </c>
      <c r="Q1143" s="12">
        <f t="shared" si="266"/>
        <v>3000</v>
      </c>
    </row>
    <row r="1144" spans="1:17" x14ac:dyDescent="0.3">
      <c r="A1144" s="1">
        <f t="shared" si="269"/>
        <v>20</v>
      </c>
      <c r="B1144" s="2" t="s">
        <v>830</v>
      </c>
      <c r="C1144" s="3" t="s">
        <v>459</v>
      </c>
      <c r="D1144" s="12" t="s">
        <v>40</v>
      </c>
      <c r="E1144" s="12" t="s">
        <v>40</v>
      </c>
      <c r="F1144" s="12"/>
      <c r="G1144" s="12"/>
      <c r="H1144" s="12" t="s">
        <v>40</v>
      </c>
      <c r="I1144" s="12"/>
      <c r="J1144" s="12"/>
      <c r="K1144" s="12"/>
      <c r="L1144" s="12">
        <v>0</v>
      </c>
      <c r="M1144" s="15">
        <f t="shared" si="267"/>
        <v>5</v>
      </c>
      <c r="N1144" s="15">
        <f t="shared" si="268"/>
        <v>0</v>
      </c>
      <c r="O1144" s="20"/>
      <c r="P1144" s="12">
        <f t="shared" si="265"/>
        <v>0</v>
      </c>
      <c r="Q1144" s="20"/>
    </row>
    <row r="1145" spans="1:17" x14ac:dyDescent="0.3">
      <c r="A1145" s="1">
        <f t="shared" si="269"/>
        <v>21</v>
      </c>
      <c r="B1145" s="2">
        <v>10006722</v>
      </c>
      <c r="C1145" s="3" t="s">
        <v>459</v>
      </c>
      <c r="D1145" s="12" t="s">
        <v>40</v>
      </c>
      <c r="E1145" s="12" t="s">
        <v>40</v>
      </c>
      <c r="F1145" s="12"/>
      <c r="G1145" s="12"/>
      <c r="H1145" s="12" t="s">
        <v>40</v>
      </c>
      <c r="I1145" s="12" t="s">
        <v>40</v>
      </c>
      <c r="J1145" s="12" t="s">
        <v>40</v>
      </c>
      <c r="K1145" s="12"/>
      <c r="L1145" s="12">
        <v>189600</v>
      </c>
      <c r="M1145" s="15">
        <f t="shared" si="267"/>
        <v>20</v>
      </c>
      <c r="N1145" s="15">
        <f t="shared" si="268"/>
        <v>0</v>
      </c>
      <c r="O1145" s="12">
        <v>189600</v>
      </c>
      <c r="P1145" s="12">
        <f t="shared" si="265"/>
        <v>15800</v>
      </c>
      <c r="Q1145" s="12">
        <f t="shared" si="266"/>
        <v>15800</v>
      </c>
    </row>
    <row r="1146" spans="1:17" x14ac:dyDescent="0.3">
      <c r="A1146" s="1">
        <f t="shared" si="269"/>
        <v>22</v>
      </c>
      <c r="B1146" s="2" t="s">
        <v>831</v>
      </c>
      <c r="C1146" s="3" t="s">
        <v>459</v>
      </c>
      <c r="D1146" s="12" t="s">
        <v>40</v>
      </c>
      <c r="E1146" s="12" t="s">
        <v>40</v>
      </c>
      <c r="F1146" s="12" t="s">
        <v>40</v>
      </c>
      <c r="G1146" s="12"/>
      <c r="H1146" s="12"/>
      <c r="I1146" s="12"/>
      <c r="J1146" s="12"/>
      <c r="K1146" s="12"/>
      <c r="L1146" s="12">
        <v>0</v>
      </c>
      <c r="M1146" s="15">
        <f t="shared" si="267"/>
        <v>4</v>
      </c>
      <c r="N1146" s="15">
        <f t="shared" si="268"/>
        <v>0</v>
      </c>
      <c r="O1146" s="20"/>
      <c r="P1146" s="12">
        <f t="shared" si="265"/>
        <v>0</v>
      </c>
      <c r="Q1146" s="20"/>
    </row>
    <row r="1147" spans="1:17" x14ac:dyDescent="0.3">
      <c r="A1147" s="1">
        <f t="shared" si="269"/>
        <v>23</v>
      </c>
      <c r="B1147" s="2" t="s">
        <v>832</v>
      </c>
      <c r="C1147" s="3" t="s">
        <v>459</v>
      </c>
      <c r="D1147" s="12" t="s">
        <v>40</v>
      </c>
      <c r="E1147" s="12" t="s">
        <v>40</v>
      </c>
      <c r="F1147" s="12"/>
      <c r="G1147" s="12"/>
      <c r="H1147" s="12"/>
      <c r="I1147" s="12"/>
      <c r="J1147" s="12"/>
      <c r="K1147" s="12"/>
      <c r="L1147" s="12">
        <v>120000</v>
      </c>
      <c r="M1147" s="15">
        <f t="shared" si="267"/>
        <v>2</v>
      </c>
      <c r="N1147" s="15">
        <f t="shared" si="268"/>
        <v>0</v>
      </c>
      <c r="O1147" s="12">
        <v>120000</v>
      </c>
      <c r="P1147" s="12">
        <f t="shared" si="265"/>
        <v>10000</v>
      </c>
      <c r="Q1147" s="12">
        <f t="shared" si="266"/>
        <v>10000</v>
      </c>
    </row>
    <row r="1148" spans="1:17" x14ac:dyDescent="0.3">
      <c r="A1148" s="1">
        <f t="shared" si="269"/>
        <v>24</v>
      </c>
      <c r="B1148" s="2" t="s">
        <v>833</v>
      </c>
      <c r="C1148" s="3" t="s">
        <v>459</v>
      </c>
      <c r="D1148" s="12" t="s">
        <v>40</v>
      </c>
      <c r="E1148" s="12" t="s">
        <v>40</v>
      </c>
      <c r="F1148" s="12" t="s">
        <v>40</v>
      </c>
      <c r="G1148" s="12"/>
      <c r="H1148" s="12"/>
      <c r="I1148" s="12"/>
      <c r="J1148" s="12"/>
      <c r="K1148" s="12"/>
      <c r="L1148" s="12">
        <v>0</v>
      </c>
      <c r="M1148" s="15">
        <f t="shared" si="267"/>
        <v>4</v>
      </c>
      <c r="N1148" s="15">
        <f t="shared" si="268"/>
        <v>0</v>
      </c>
      <c r="O1148" s="20"/>
      <c r="P1148" s="12">
        <f t="shared" si="265"/>
        <v>0</v>
      </c>
      <c r="Q1148" s="20"/>
    </row>
    <row r="1149" spans="1:17" x14ac:dyDescent="0.3">
      <c r="A1149" s="1">
        <f t="shared" si="269"/>
        <v>25</v>
      </c>
      <c r="B1149" s="2" t="s">
        <v>834</v>
      </c>
      <c r="C1149" s="3" t="s">
        <v>459</v>
      </c>
      <c r="D1149" s="12" t="s">
        <v>40</v>
      </c>
      <c r="E1149" s="12" t="s">
        <v>40</v>
      </c>
      <c r="F1149" s="12"/>
      <c r="G1149" s="12"/>
      <c r="H1149" s="12" t="s">
        <v>40</v>
      </c>
      <c r="I1149" s="12" t="s">
        <v>40</v>
      </c>
      <c r="J1149" s="12"/>
      <c r="K1149" s="12"/>
      <c r="L1149" s="12">
        <v>15000</v>
      </c>
      <c r="M1149" s="15">
        <f t="shared" si="267"/>
        <v>10</v>
      </c>
      <c r="N1149" s="15">
        <f t="shared" si="268"/>
        <v>0</v>
      </c>
      <c r="O1149" s="12">
        <v>15000</v>
      </c>
      <c r="P1149" s="12">
        <f t="shared" si="265"/>
        <v>1250</v>
      </c>
      <c r="Q1149" s="12">
        <f t="shared" si="266"/>
        <v>1250</v>
      </c>
    </row>
    <row r="1150" spans="1:17" x14ac:dyDescent="0.3">
      <c r="A1150" s="1">
        <f t="shared" si="269"/>
        <v>26</v>
      </c>
      <c r="B1150" s="2" t="s">
        <v>835</v>
      </c>
      <c r="C1150" s="3" t="s">
        <v>459</v>
      </c>
      <c r="D1150" s="12" t="s">
        <v>40</v>
      </c>
      <c r="E1150" s="12" t="s">
        <v>40</v>
      </c>
      <c r="F1150" s="12"/>
      <c r="G1150" s="12"/>
      <c r="H1150" s="12" t="s">
        <v>40</v>
      </c>
      <c r="I1150" s="12"/>
      <c r="J1150" s="12"/>
      <c r="K1150" s="12"/>
      <c r="L1150" s="12">
        <v>60000</v>
      </c>
      <c r="M1150" s="15">
        <f t="shared" si="267"/>
        <v>5</v>
      </c>
      <c r="N1150" s="15">
        <f t="shared" si="268"/>
        <v>0</v>
      </c>
      <c r="O1150" s="12">
        <v>60000</v>
      </c>
      <c r="P1150" s="12">
        <f t="shared" si="265"/>
        <v>5000</v>
      </c>
      <c r="Q1150" s="12">
        <f t="shared" si="266"/>
        <v>5000</v>
      </c>
    </row>
    <row r="1151" spans="1:17" x14ac:dyDescent="0.3">
      <c r="A1151" s="1">
        <f t="shared" si="269"/>
        <v>27</v>
      </c>
      <c r="B1151" s="2" t="s">
        <v>836</v>
      </c>
      <c r="C1151" s="3" t="s">
        <v>459</v>
      </c>
      <c r="D1151" s="12" t="s">
        <v>40</v>
      </c>
      <c r="E1151" s="12" t="s">
        <v>40</v>
      </c>
      <c r="F1151" s="12"/>
      <c r="G1151" s="12"/>
      <c r="H1151" s="12" t="s">
        <v>40</v>
      </c>
      <c r="I1151" s="12" t="s">
        <v>40</v>
      </c>
      <c r="J1151" s="12" t="s">
        <v>40</v>
      </c>
      <c r="K1151" s="12"/>
      <c r="L1151" s="12">
        <v>138803</v>
      </c>
      <c r="M1151" s="15">
        <f t="shared" si="267"/>
        <v>20</v>
      </c>
      <c r="N1151" s="15">
        <f t="shared" si="268"/>
        <v>0</v>
      </c>
      <c r="O1151" s="12">
        <v>138803</v>
      </c>
      <c r="P1151" s="12">
        <f t="shared" si="265"/>
        <v>11566.916666666666</v>
      </c>
      <c r="Q1151" s="12">
        <f t="shared" si="266"/>
        <v>11566.916666666666</v>
      </c>
    </row>
    <row r="1152" spans="1:17" x14ac:dyDescent="0.3">
      <c r="A1152" s="1">
        <f t="shared" si="269"/>
        <v>28</v>
      </c>
      <c r="B1152" s="2" t="s">
        <v>837</v>
      </c>
      <c r="C1152" s="3" t="s">
        <v>459</v>
      </c>
      <c r="D1152" s="12" t="s">
        <v>40</v>
      </c>
      <c r="E1152" s="12" t="s">
        <v>40</v>
      </c>
      <c r="F1152" s="12" t="s">
        <v>40</v>
      </c>
      <c r="G1152" s="12"/>
      <c r="H1152" s="12"/>
      <c r="I1152" s="12"/>
      <c r="J1152" s="12"/>
      <c r="K1152" s="12"/>
      <c r="L1152" s="12">
        <v>0</v>
      </c>
      <c r="M1152" s="15">
        <f t="shared" si="267"/>
        <v>4</v>
      </c>
      <c r="N1152" s="15">
        <f t="shared" si="268"/>
        <v>0</v>
      </c>
      <c r="O1152" s="20"/>
      <c r="P1152" s="12">
        <f t="shared" si="265"/>
        <v>0</v>
      </c>
      <c r="Q1152" s="20"/>
    </row>
    <row r="1153" spans="1:21" x14ac:dyDescent="0.3">
      <c r="A1153" s="1">
        <f t="shared" si="269"/>
        <v>29</v>
      </c>
      <c r="B1153" s="2" t="s">
        <v>838</v>
      </c>
      <c r="C1153" s="3" t="s">
        <v>459</v>
      </c>
      <c r="D1153" s="12" t="s">
        <v>40</v>
      </c>
      <c r="E1153" s="12" t="s">
        <v>40</v>
      </c>
      <c r="F1153" s="12"/>
      <c r="G1153" s="12"/>
      <c r="H1153" s="12" t="s">
        <v>40</v>
      </c>
      <c r="I1153" s="12"/>
      <c r="J1153" s="12"/>
      <c r="K1153" s="12"/>
      <c r="L1153" s="12">
        <v>45000</v>
      </c>
      <c r="M1153" s="15">
        <f t="shared" si="267"/>
        <v>5</v>
      </c>
      <c r="N1153" s="15">
        <f t="shared" si="268"/>
        <v>0</v>
      </c>
      <c r="O1153" s="12">
        <v>45000</v>
      </c>
      <c r="P1153" s="12">
        <f t="shared" si="265"/>
        <v>3750</v>
      </c>
      <c r="Q1153" s="12">
        <f t="shared" si="266"/>
        <v>3750</v>
      </c>
    </row>
    <row r="1154" spans="1:21" x14ac:dyDescent="0.3">
      <c r="A1154" s="1">
        <f t="shared" si="269"/>
        <v>30</v>
      </c>
      <c r="B1154" s="2">
        <v>30581647</v>
      </c>
      <c r="C1154" s="3" t="s">
        <v>459</v>
      </c>
      <c r="D1154" s="12" t="s">
        <v>40</v>
      </c>
      <c r="E1154" s="12" t="s">
        <v>40</v>
      </c>
      <c r="F1154" s="12"/>
      <c r="G1154" s="12"/>
      <c r="H1154" s="12"/>
      <c r="I1154" s="12"/>
      <c r="J1154" s="12"/>
      <c r="K1154" s="12"/>
      <c r="L1154" s="12">
        <v>42000</v>
      </c>
      <c r="M1154" s="15">
        <f t="shared" si="267"/>
        <v>2</v>
      </c>
      <c r="N1154" s="15">
        <f t="shared" si="268"/>
        <v>0</v>
      </c>
      <c r="O1154" s="12">
        <v>42000</v>
      </c>
      <c r="P1154" s="12">
        <f t="shared" si="265"/>
        <v>3500</v>
      </c>
      <c r="Q1154" s="12">
        <f t="shared" si="266"/>
        <v>3500</v>
      </c>
    </row>
    <row r="1155" spans="1:21" x14ac:dyDescent="0.3">
      <c r="B1155" s="29"/>
      <c r="L1155" s="14">
        <f>+AVERAGE(L1125:L1154)</f>
        <v>113422.82866666667</v>
      </c>
      <c r="M1155" s="14">
        <f>+AVERAGE(M1125:M1154)</f>
        <v>7</v>
      </c>
      <c r="N1155" s="14">
        <f>+SUM(N1125:N1154)</f>
        <v>1</v>
      </c>
      <c r="O1155" s="14">
        <f>+AVERAGE(O1125:O1154)</f>
        <v>114080.34249999998</v>
      </c>
      <c r="P1155" s="14">
        <f>+AVERAGE(P1125:P1154)</f>
        <v>9451.9023888888896</v>
      </c>
      <c r="Q1155" s="14">
        <f>+AVERAGE(Q1125:Q1154)</f>
        <v>9506.6952083333326</v>
      </c>
      <c r="R1155" s="14">
        <f>30-COUNTBLANK(R1125:R1154)</f>
        <v>1</v>
      </c>
    </row>
    <row r="1156" spans="1:21" x14ac:dyDescent="0.3">
      <c r="L1156" s="14">
        <f>+STDEV(L1125:L1154)</f>
        <v>156868.62792449439</v>
      </c>
      <c r="M1156" s="14">
        <f>+STDEV(M1125:M1154)</f>
        <v>5.2980152432058345</v>
      </c>
      <c r="N1156" s="17"/>
      <c r="O1156" s="14">
        <f>+STDEV(O1125:O1154)</f>
        <v>122531.66205920998</v>
      </c>
      <c r="P1156" s="14">
        <f>+STDEV(P1125:P1154)</f>
        <v>13072.385660374532</v>
      </c>
      <c r="Q1156" s="14">
        <f>+STDEV(Q1125:Q1154)</f>
        <v>10210.971838267498</v>
      </c>
    </row>
    <row r="1157" spans="1:21" x14ac:dyDescent="0.3">
      <c r="I1157" s="15"/>
      <c r="J1157" s="15"/>
      <c r="K1157" s="11" t="s">
        <v>75</v>
      </c>
      <c r="L1157" s="14">
        <f>+COUNTIF(L1125:L1154,0)</f>
        <v>5</v>
      </c>
      <c r="M1157" s="14">
        <f>+COUNT(M1125:M1154)</f>
        <v>30</v>
      </c>
      <c r="P1157" s="14">
        <f>+COUNTIF(P1125:P1154,0)</f>
        <v>5</v>
      </c>
    </row>
    <row r="1159" spans="1:21" x14ac:dyDescent="0.3">
      <c r="A1159" s="1">
        <v>1</v>
      </c>
      <c r="B1159" s="2" t="s">
        <v>885</v>
      </c>
      <c r="C1159" s="3" t="s">
        <v>140</v>
      </c>
      <c r="D1159" s="12" t="s">
        <v>40</v>
      </c>
      <c r="E1159" s="12" t="s">
        <v>40</v>
      </c>
      <c r="F1159" s="12"/>
      <c r="G1159" s="12"/>
      <c r="H1159" s="12" t="s">
        <v>40</v>
      </c>
      <c r="I1159" s="12" t="s">
        <v>40</v>
      </c>
      <c r="J1159" s="12" t="s">
        <v>40</v>
      </c>
      <c r="K1159" s="12"/>
      <c r="L1159" s="14">
        <v>0</v>
      </c>
      <c r="M1159" s="15">
        <f>+IF(D1159="X",1,0)+IF(E1159="X",1,0)+IF(F1159="X",2,0)+IF(G1159="X",2,0)+IF(H1159="X",3,IF(H1159="Y",1.5,0))+IF(I1159="X",5,IF(I1159="Y",2.5,0))+IF(J1159="X",10,IF(J1159="Y",5,0))</f>
        <v>20</v>
      </c>
      <c r="N1159" s="15">
        <f>+IF(K1159="X",1,0)</f>
        <v>0</v>
      </c>
      <c r="O1159" s="20"/>
      <c r="P1159" s="12">
        <f t="shared" ref="P1159" si="270">+L1159/12</f>
        <v>0</v>
      </c>
      <c r="Q1159" s="20"/>
    </row>
    <row r="1160" spans="1:21" x14ac:dyDescent="0.3">
      <c r="A1160" s="1">
        <f>+A1159+1</f>
        <v>2</v>
      </c>
      <c r="B1160" s="2">
        <v>19805447</v>
      </c>
      <c r="C1160" s="3" t="s">
        <v>140</v>
      </c>
      <c r="D1160" s="12" t="s">
        <v>40</v>
      </c>
      <c r="E1160" s="12" t="s">
        <v>40</v>
      </c>
      <c r="F1160" s="12"/>
      <c r="G1160" s="12"/>
      <c r="H1160" s="12" t="s">
        <v>40</v>
      </c>
      <c r="I1160" s="12" t="s">
        <v>40</v>
      </c>
      <c r="J1160" s="12" t="s">
        <v>40</v>
      </c>
      <c r="K1160" s="12"/>
      <c r="L1160" s="14">
        <v>171974.11</v>
      </c>
      <c r="M1160" s="15">
        <f t="shared" ref="M1160:M1188" si="271">+IF(D1160="X",1,0)+IF(E1160="X",1,0)+IF(F1160="X",2,0)+IF(G1160="X",2,0)+IF(H1160="X",3,IF(H1160="Y",1.5,0))+IF(I1160="X",5,IF(I1160="Y",2.5,0))+IF(J1160="X",10,IF(J1160="Y",5,0))</f>
        <v>20</v>
      </c>
      <c r="N1160" s="15">
        <f t="shared" ref="N1160:N1188" si="272">+IF(K1160="X",1,0)</f>
        <v>0</v>
      </c>
      <c r="O1160" s="14">
        <v>171974.11</v>
      </c>
      <c r="P1160" s="12">
        <f t="shared" ref="P1160:P1188" si="273">+L1160/12</f>
        <v>14331.175833333333</v>
      </c>
      <c r="Q1160" s="12">
        <f t="shared" ref="Q1160" si="274">+O1160/12</f>
        <v>14331.175833333333</v>
      </c>
    </row>
    <row r="1161" spans="1:21" x14ac:dyDescent="0.3">
      <c r="A1161" s="1">
        <f t="shared" ref="A1161:A1188" si="275">+A1160+1</f>
        <v>3</v>
      </c>
      <c r="B1161" s="2" t="s">
        <v>886</v>
      </c>
      <c r="C1161" s="3" t="s">
        <v>140</v>
      </c>
      <c r="D1161" s="12" t="s">
        <v>40</v>
      </c>
      <c r="E1161" s="12" t="s">
        <v>40</v>
      </c>
      <c r="F1161" s="12" t="s">
        <v>40</v>
      </c>
      <c r="G1161" s="12"/>
      <c r="H1161" s="12" t="s">
        <v>40</v>
      </c>
      <c r="I1161" s="12" t="s">
        <v>40</v>
      </c>
      <c r="J1161" s="12"/>
      <c r="K1161" s="12"/>
      <c r="L1161" s="14">
        <v>427249.6</v>
      </c>
      <c r="M1161" s="15">
        <f t="shared" si="271"/>
        <v>12</v>
      </c>
      <c r="N1161" s="15">
        <f t="shared" si="272"/>
        <v>0</v>
      </c>
      <c r="O1161" s="20"/>
      <c r="P1161" s="12">
        <f t="shared" si="273"/>
        <v>35604.133333333331</v>
      </c>
      <c r="Q1161" s="20"/>
      <c r="R1161" t="s">
        <v>140</v>
      </c>
    </row>
    <row r="1162" spans="1:21" x14ac:dyDescent="0.3">
      <c r="A1162" s="1">
        <f t="shared" si="275"/>
        <v>4</v>
      </c>
      <c r="B1162" s="2">
        <v>20107161</v>
      </c>
      <c r="C1162" s="3" t="s">
        <v>140</v>
      </c>
      <c r="D1162" s="12" t="s">
        <v>40</v>
      </c>
      <c r="E1162" s="12" t="s">
        <v>40</v>
      </c>
      <c r="F1162" s="12"/>
      <c r="G1162" s="12"/>
      <c r="H1162" s="12" t="s">
        <v>40</v>
      </c>
      <c r="I1162" s="12" t="s">
        <v>40</v>
      </c>
      <c r="J1162" s="12"/>
      <c r="K1162" s="12" t="s">
        <v>40</v>
      </c>
      <c r="L1162" s="14">
        <v>297344.34000000003</v>
      </c>
      <c r="M1162" s="15">
        <f t="shared" si="271"/>
        <v>10</v>
      </c>
      <c r="N1162" s="15">
        <f t="shared" si="272"/>
        <v>1</v>
      </c>
      <c r="O1162" s="14">
        <v>297344.34000000003</v>
      </c>
      <c r="P1162" s="12">
        <f t="shared" ref="P1162:P1171" si="276">+L1162/12</f>
        <v>24778.695000000003</v>
      </c>
      <c r="Q1162" s="12">
        <f t="shared" ref="Q1162:Q1171" si="277">+O1162/12</f>
        <v>24778.695000000003</v>
      </c>
      <c r="U1162" t="s">
        <v>365</v>
      </c>
    </row>
    <row r="1163" spans="1:21" x14ac:dyDescent="0.3">
      <c r="A1163" s="1">
        <f t="shared" si="275"/>
        <v>5</v>
      </c>
      <c r="B1163" s="2">
        <v>10305232</v>
      </c>
      <c r="C1163" s="3" t="s">
        <v>140</v>
      </c>
      <c r="D1163" s="12" t="s">
        <v>40</v>
      </c>
      <c r="E1163" s="12" t="s">
        <v>40</v>
      </c>
      <c r="F1163" s="12"/>
      <c r="G1163" s="12"/>
      <c r="H1163" s="12" t="s">
        <v>40</v>
      </c>
      <c r="I1163" s="12"/>
      <c r="J1163" s="12"/>
      <c r="K1163" s="12"/>
      <c r="L1163" s="14">
        <v>266875.74</v>
      </c>
      <c r="M1163" s="15">
        <f t="shared" si="271"/>
        <v>5</v>
      </c>
      <c r="N1163" s="15">
        <f t="shared" si="272"/>
        <v>0</v>
      </c>
      <c r="O1163" s="14">
        <v>266875.74</v>
      </c>
      <c r="P1163" s="12">
        <f t="shared" si="276"/>
        <v>22239.645</v>
      </c>
      <c r="Q1163" s="12">
        <f t="shared" si="277"/>
        <v>22239.645</v>
      </c>
      <c r="U1163" t="s">
        <v>365</v>
      </c>
    </row>
    <row r="1164" spans="1:21" x14ac:dyDescent="0.3">
      <c r="A1164" s="1">
        <f t="shared" si="275"/>
        <v>6</v>
      </c>
      <c r="B1164" s="2" t="s">
        <v>887</v>
      </c>
      <c r="C1164" s="3" t="s">
        <v>140</v>
      </c>
      <c r="D1164" s="12" t="s">
        <v>40</v>
      </c>
      <c r="E1164" s="12" t="s">
        <v>40</v>
      </c>
      <c r="F1164" s="12"/>
      <c r="G1164" s="12"/>
      <c r="H1164" s="12"/>
      <c r="I1164" s="12"/>
      <c r="J1164" s="12"/>
      <c r="K1164" s="12"/>
      <c r="L1164" s="14">
        <v>410705</v>
      </c>
      <c r="M1164" s="15">
        <f t="shared" si="271"/>
        <v>2</v>
      </c>
      <c r="N1164" s="15">
        <f t="shared" si="272"/>
        <v>0</v>
      </c>
      <c r="O1164" s="14">
        <v>410705</v>
      </c>
      <c r="P1164" s="12">
        <f t="shared" si="276"/>
        <v>34225.416666666664</v>
      </c>
      <c r="Q1164" s="12">
        <f t="shared" si="277"/>
        <v>34225.416666666664</v>
      </c>
      <c r="R1164" t="s">
        <v>140</v>
      </c>
    </row>
    <row r="1165" spans="1:21" x14ac:dyDescent="0.3">
      <c r="A1165" s="1">
        <f t="shared" si="275"/>
        <v>7</v>
      </c>
      <c r="B1165" s="2">
        <v>16655831</v>
      </c>
      <c r="C1165" s="3" t="s">
        <v>140</v>
      </c>
      <c r="D1165" s="12" t="s">
        <v>40</v>
      </c>
      <c r="E1165" s="12" t="s">
        <v>40</v>
      </c>
      <c r="F1165" s="12"/>
      <c r="G1165" s="12"/>
      <c r="H1165" s="12"/>
      <c r="I1165" s="12"/>
      <c r="J1165" s="12"/>
      <c r="K1165" s="12" t="s">
        <v>40</v>
      </c>
      <c r="L1165" s="14">
        <v>397731.96</v>
      </c>
      <c r="M1165" s="15">
        <f t="shared" si="271"/>
        <v>2</v>
      </c>
      <c r="N1165" s="15">
        <f t="shared" si="272"/>
        <v>1</v>
      </c>
      <c r="O1165" s="14">
        <v>397731.96</v>
      </c>
      <c r="P1165" s="12">
        <f t="shared" si="276"/>
        <v>33144.33</v>
      </c>
      <c r="Q1165" s="12">
        <f t="shared" si="277"/>
        <v>33144.33</v>
      </c>
      <c r="R1165" t="s">
        <v>140</v>
      </c>
    </row>
    <row r="1166" spans="1:21" x14ac:dyDescent="0.3">
      <c r="A1166" s="1">
        <f t="shared" si="275"/>
        <v>8</v>
      </c>
      <c r="B1166" s="2">
        <v>41005490</v>
      </c>
      <c r="C1166" s="3" t="s">
        <v>140</v>
      </c>
      <c r="D1166" s="12" t="s">
        <v>40</v>
      </c>
      <c r="E1166" s="12" t="s">
        <v>40</v>
      </c>
      <c r="F1166" s="12"/>
      <c r="G1166" s="12"/>
      <c r="H1166" s="12" t="s">
        <v>40</v>
      </c>
      <c r="I1166" s="12"/>
      <c r="J1166" s="12"/>
      <c r="K1166" s="12"/>
      <c r="L1166" s="14">
        <v>387848.64</v>
      </c>
      <c r="M1166" s="15">
        <f t="shared" si="271"/>
        <v>5</v>
      </c>
      <c r="N1166" s="15">
        <f t="shared" si="272"/>
        <v>0</v>
      </c>
      <c r="O1166" s="14">
        <v>387848.64</v>
      </c>
      <c r="P1166" s="12">
        <f t="shared" si="276"/>
        <v>32320.720000000001</v>
      </c>
      <c r="Q1166" s="12">
        <f t="shared" si="277"/>
        <v>32320.720000000001</v>
      </c>
      <c r="R1166" t="s">
        <v>140</v>
      </c>
    </row>
    <row r="1167" spans="1:21" x14ac:dyDescent="0.3">
      <c r="A1167" s="1">
        <f t="shared" si="275"/>
        <v>9</v>
      </c>
      <c r="B1167" s="2">
        <v>40724667</v>
      </c>
      <c r="C1167" s="3" t="s">
        <v>140</v>
      </c>
      <c r="D1167" s="12" t="s">
        <v>40</v>
      </c>
      <c r="E1167" s="12" t="s">
        <v>40</v>
      </c>
      <c r="F1167" s="12" t="s">
        <v>40</v>
      </c>
      <c r="G1167" s="12"/>
      <c r="H1167" s="12" t="s">
        <v>40</v>
      </c>
      <c r="I1167" s="12"/>
      <c r="J1167" s="12"/>
      <c r="K1167" s="12"/>
      <c r="L1167" s="14">
        <v>66648</v>
      </c>
      <c r="M1167" s="15">
        <f t="shared" si="271"/>
        <v>7</v>
      </c>
      <c r="N1167" s="15">
        <f t="shared" si="272"/>
        <v>0</v>
      </c>
      <c r="O1167" s="14">
        <v>66648</v>
      </c>
      <c r="P1167" s="12">
        <f t="shared" si="276"/>
        <v>5554</v>
      </c>
      <c r="Q1167" s="12">
        <f t="shared" si="277"/>
        <v>5554</v>
      </c>
    </row>
    <row r="1168" spans="1:21" x14ac:dyDescent="0.3">
      <c r="A1168" s="1">
        <f t="shared" si="275"/>
        <v>10</v>
      </c>
      <c r="B1168" s="2">
        <v>42699423</v>
      </c>
      <c r="C1168" s="3" t="s">
        <v>140</v>
      </c>
      <c r="D1168" s="12" t="s">
        <v>40</v>
      </c>
      <c r="E1168" s="12" t="s">
        <v>40</v>
      </c>
      <c r="F1168" s="12"/>
      <c r="G1168" s="12"/>
      <c r="H1168" s="12" t="s">
        <v>40</v>
      </c>
      <c r="I1168" s="12"/>
      <c r="J1168" s="12"/>
      <c r="K1168" s="12"/>
      <c r="L1168" s="14">
        <v>411650</v>
      </c>
      <c r="M1168" s="15">
        <f t="shared" si="271"/>
        <v>5</v>
      </c>
      <c r="N1168" s="15">
        <f t="shared" si="272"/>
        <v>0</v>
      </c>
      <c r="O1168" s="14">
        <v>411650</v>
      </c>
      <c r="P1168" s="12">
        <f t="shared" si="276"/>
        <v>34304.166666666664</v>
      </c>
      <c r="Q1168" s="12">
        <f t="shared" si="277"/>
        <v>34304.166666666664</v>
      </c>
      <c r="R1168" t="s">
        <v>140</v>
      </c>
    </row>
    <row r="1169" spans="1:21" x14ac:dyDescent="0.3">
      <c r="A1169" s="1">
        <f t="shared" si="275"/>
        <v>11</v>
      </c>
      <c r="B1169" s="2">
        <v>28237461</v>
      </c>
      <c r="C1169" s="3" t="s">
        <v>140</v>
      </c>
      <c r="D1169" s="12" t="s">
        <v>40</v>
      </c>
      <c r="E1169" s="12" t="s">
        <v>40</v>
      </c>
      <c r="F1169" s="12"/>
      <c r="G1169" s="12"/>
      <c r="H1169" s="12"/>
      <c r="I1169" s="12"/>
      <c r="J1169" s="12"/>
      <c r="K1169" s="12"/>
      <c r="L1169" s="14">
        <v>50000</v>
      </c>
      <c r="M1169" s="15">
        <f t="shared" si="271"/>
        <v>2</v>
      </c>
      <c r="N1169" s="15">
        <f t="shared" si="272"/>
        <v>0</v>
      </c>
      <c r="O1169" s="14">
        <v>50000</v>
      </c>
      <c r="P1169" s="12">
        <f t="shared" si="276"/>
        <v>4166.666666666667</v>
      </c>
      <c r="Q1169" s="12">
        <f t="shared" si="277"/>
        <v>4166.666666666667</v>
      </c>
    </row>
    <row r="1170" spans="1:21" x14ac:dyDescent="0.3">
      <c r="A1170" s="1">
        <f t="shared" si="275"/>
        <v>12</v>
      </c>
      <c r="B1170" s="2" t="s">
        <v>888</v>
      </c>
      <c r="C1170" s="3" t="s">
        <v>140</v>
      </c>
      <c r="D1170" s="12" t="s">
        <v>40</v>
      </c>
      <c r="E1170" s="12" t="s">
        <v>40</v>
      </c>
      <c r="F1170" s="12" t="s">
        <v>40</v>
      </c>
      <c r="G1170" s="12" t="s">
        <v>40</v>
      </c>
      <c r="H1170" s="12" t="s">
        <v>40</v>
      </c>
      <c r="I1170" s="12"/>
      <c r="J1170" s="12"/>
      <c r="K1170" s="12"/>
      <c r="L1170" s="14">
        <v>67200</v>
      </c>
      <c r="M1170" s="15">
        <f t="shared" si="271"/>
        <v>9</v>
      </c>
      <c r="N1170" s="15">
        <f t="shared" si="272"/>
        <v>0</v>
      </c>
      <c r="O1170" s="14">
        <v>67200</v>
      </c>
      <c r="P1170" s="12">
        <f t="shared" si="276"/>
        <v>5600</v>
      </c>
      <c r="Q1170" s="12">
        <f t="shared" si="277"/>
        <v>5600</v>
      </c>
    </row>
    <row r="1171" spans="1:21" x14ac:dyDescent="0.3">
      <c r="A1171" s="1">
        <f t="shared" si="275"/>
        <v>13</v>
      </c>
      <c r="B1171" s="2">
        <v>31173024</v>
      </c>
      <c r="C1171" s="3" t="s">
        <v>140</v>
      </c>
      <c r="D1171" s="12" t="s">
        <v>40</v>
      </c>
      <c r="E1171" s="12" t="s">
        <v>40</v>
      </c>
      <c r="F1171" s="12"/>
      <c r="G1171" s="12"/>
      <c r="H1171" s="12" t="s">
        <v>40</v>
      </c>
      <c r="I1171" s="12"/>
      <c r="J1171" s="12"/>
      <c r="K1171" s="12"/>
      <c r="L1171" s="14">
        <v>81600</v>
      </c>
      <c r="M1171" s="15">
        <f t="shared" si="271"/>
        <v>5</v>
      </c>
      <c r="N1171" s="15">
        <f t="shared" si="272"/>
        <v>0</v>
      </c>
      <c r="O1171" s="14">
        <v>81600</v>
      </c>
      <c r="P1171" s="12">
        <f t="shared" si="276"/>
        <v>6800</v>
      </c>
      <c r="Q1171" s="12">
        <f t="shared" si="277"/>
        <v>6800</v>
      </c>
      <c r="U1171" t="s">
        <v>365</v>
      </c>
    </row>
    <row r="1172" spans="1:21" x14ac:dyDescent="0.3">
      <c r="A1172" s="1">
        <f t="shared" si="275"/>
        <v>14</v>
      </c>
      <c r="B1172" s="2">
        <v>20051068</v>
      </c>
      <c r="C1172" s="3" t="s">
        <v>140</v>
      </c>
      <c r="D1172" s="12" t="s">
        <v>40</v>
      </c>
      <c r="E1172" s="12" t="s">
        <v>40</v>
      </c>
      <c r="F1172" s="12"/>
      <c r="G1172" s="12" t="s">
        <v>40</v>
      </c>
      <c r="H1172" s="12"/>
      <c r="I1172" s="12"/>
      <c r="J1172" s="12"/>
      <c r="K1172" s="12"/>
      <c r="L1172" s="14">
        <v>29825</v>
      </c>
      <c r="M1172" s="15">
        <f t="shared" si="271"/>
        <v>4</v>
      </c>
      <c r="N1172" s="15">
        <f t="shared" si="272"/>
        <v>0</v>
      </c>
      <c r="O1172" s="14">
        <v>29825</v>
      </c>
      <c r="P1172" s="12">
        <f t="shared" si="273"/>
        <v>2485.4166666666665</v>
      </c>
      <c r="Q1172" s="12">
        <f t="shared" ref="Q1172:Q1176" si="278">+O1172/12</f>
        <v>2485.4166666666665</v>
      </c>
    </row>
    <row r="1173" spans="1:21" x14ac:dyDescent="0.3">
      <c r="A1173" s="1">
        <f t="shared" si="275"/>
        <v>15</v>
      </c>
      <c r="B1173" s="2">
        <v>43391265</v>
      </c>
      <c r="C1173" s="3" t="s">
        <v>140</v>
      </c>
      <c r="D1173" s="12" t="s">
        <v>40</v>
      </c>
      <c r="E1173" s="12" t="s">
        <v>40</v>
      </c>
      <c r="F1173" s="12"/>
      <c r="G1173" s="12" t="s">
        <v>40</v>
      </c>
      <c r="H1173" s="12" t="s">
        <v>40</v>
      </c>
      <c r="I1173" s="12" t="s">
        <v>40</v>
      </c>
      <c r="J1173" s="12"/>
      <c r="K1173" s="12"/>
      <c r="L1173" s="14">
        <v>40800</v>
      </c>
      <c r="M1173" s="15">
        <f t="shared" si="271"/>
        <v>12</v>
      </c>
      <c r="N1173" s="15">
        <f t="shared" si="272"/>
        <v>0</v>
      </c>
      <c r="O1173" s="14">
        <v>40800</v>
      </c>
      <c r="P1173" s="12">
        <f t="shared" si="273"/>
        <v>3400</v>
      </c>
      <c r="Q1173" s="12">
        <f t="shared" si="278"/>
        <v>3400</v>
      </c>
    </row>
    <row r="1174" spans="1:21" x14ac:dyDescent="0.3">
      <c r="A1174" s="1">
        <f t="shared" si="275"/>
        <v>16</v>
      </c>
      <c r="B1174" s="2" t="s">
        <v>889</v>
      </c>
      <c r="C1174" s="3" t="s">
        <v>140</v>
      </c>
      <c r="D1174" s="12" t="s">
        <v>40</v>
      </c>
      <c r="E1174" s="12" t="s">
        <v>40</v>
      </c>
      <c r="F1174" s="12"/>
      <c r="G1174" s="12"/>
      <c r="H1174" s="12"/>
      <c r="I1174" s="12"/>
      <c r="J1174" s="12"/>
      <c r="K1174" s="12"/>
      <c r="L1174" s="14">
        <v>45600</v>
      </c>
      <c r="M1174" s="15">
        <f t="shared" si="271"/>
        <v>2</v>
      </c>
      <c r="N1174" s="15">
        <f t="shared" si="272"/>
        <v>0</v>
      </c>
      <c r="O1174" s="14">
        <v>45600</v>
      </c>
      <c r="P1174" s="12">
        <f t="shared" si="273"/>
        <v>3800</v>
      </c>
      <c r="Q1174" s="12">
        <f t="shared" si="278"/>
        <v>3800</v>
      </c>
    </row>
    <row r="1175" spans="1:21" x14ac:dyDescent="0.3">
      <c r="A1175" s="1">
        <f t="shared" si="275"/>
        <v>17</v>
      </c>
      <c r="B1175" s="2">
        <v>20066854</v>
      </c>
      <c r="C1175" s="3" t="s">
        <v>140</v>
      </c>
      <c r="D1175" s="12" t="s">
        <v>40</v>
      </c>
      <c r="E1175" s="12" t="s">
        <v>40</v>
      </c>
      <c r="F1175" s="12"/>
      <c r="G1175" s="12"/>
      <c r="H1175" s="12" t="s">
        <v>40</v>
      </c>
      <c r="I1175" s="12" t="s">
        <v>40</v>
      </c>
      <c r="J1175" s="12" t="s">
        <v>40</v>
      </c>
      <c r="K1175" s="12"/>
      <c r="L1175" s="14">
        <v>165759</v>
      </c>
      <c r="M1175" s="15">
        <f t="shared" si="271"/>
        <v>20</v>
      </c>
      <c r="N1175" s="15">
        <f t="shared" si="272"/>
        <v>0</v>
      </c>
      <c r="O1175" s="14">
        <v>165759</v>
      </c>
      <c r="P1175" s="12">
        <f t="shared" si="273"/>
        <v>13813.25</v>
      </c>
      <c r="Q1175" s="12">
        <f t="shared" si="278"/>
        <v>13813.25</v>
      </c>
      <c r="U1175" t="s">
        <v>746</v>
      </c>
    </row>
    <row r="1176" spans="1:21" x14ac:dyDescent="0.3">
      <c r="A1176" s="1">
        <f t="shared" si="275"/>
        <v>18</v>
      </c>
      <c r="B1176" s="2" t="s">
        <v>890</v>
      </c>
      <c r="C1176" s="3" t="s">
        <v>140</v>
      </c>
      <c r="D1176" s="12" t="s">
        <v>40</v>
      </c>
      <c r="E1176" s="12" t="s">
        <v>40</v>
      </c>
      <c r="F1176" s="12"/>
      <c r="G1176" s="12"/>
      <c r="H1176" s="12" t="s">
        <v>40</v>
      </c>
      <c r="I1176" s="12"/>
      <c r="J1176" s="12"/>
      <c r="K1176" s="12"/>
      <c r="L1176" s="14">
        <v>54000</v>
      </c>
      <c r="M1176" s="15">
        <f t="shared" si="271"/>
        <v>5</v>
      </c>
      <c r="N1176" s="15">
        <f t="shared" si="272"/>
        <v>0</v>
      </c>
      <c r="O1176" s="14">
        <v>54000</v>
      </c>
      <c r="P1176" s="12">
        <f t="shared" si="273"/>
        <v>4500</v>
      </c>
      <c r="Q1176" s="12">
        <f t="shared" si="278"/>
        <v>4500</v>
      </c>
    </row>
    <row r="1177" spans="1:21" x14ac:dyDescent="0.3">
      <c r="A1177" s="1">
        <f t="shared" si="275"/>
        <v>19</v>
      </c>
      <c r="B1177" s="2" t="s">
        <v>891</v>
      </c>
      <c r="C1177" s="3" t="s">
        <v>140</v>
      </c>
      <c r="D1177" s="12" t="s">
        <v>40</v>
      </c>
      <c r="E1177" s="12" t="s">
        <v>40</v>
      </c>
      <c r="F1177" s="12"/>
      <c r="G1177" s="12"/>
      <c r="H1177" s="12" t="s">
        <v>40</v>
      </c>
      <c r="I1177" s="12"/>
      <c r="J1177" s="12"/>
      <c r="K1177" s="12"/>
      <c r="L1177" s="14">
        <v>60000</v>
      </c>
      <c r="M1177" s="15">
        <f t="shared" si="271"/>
        <v>5</v>
      </c>
      <c r="N1177" s="15">
        <f t="shared" si="272"/>
        <v>0</v>
      </c>
      <c r="O1177" s="14">
        <v>60000</v>
      </c>
      <c r="P1177" s="12">
        <f t="shared" ref="P1177:P1186" si="279">+L1177/12</f>
        <v>5000</v>
      </c>
      <c r="Q1177" s="12">
        <f t="shared" ref="Q1177:Q1186" si="280">+O1177/12</f>
        <v>5000</v>
      </c>
    </row>
    <row r="1178" spans="1:21" x14ac:dyDescent="0.3">
      <c r="A1178" s="1">
        <f t="shared" si="275"/>
        <v>20</v>
      </c>
      <c r="B1178" s="2" t="s">
        <v>892</v>
      </c>
      <c r="C1178" s="3" t="s">
        <v>140</v>
      </c>
      <c r="D1178" s="12" t="s">
        <v>40</v>
      </c>
      <c r="E1178" s="12" t="s">
        <v>40</v>
      </c>
      <c r="F1178" s="12"/>
      <c r="G1178" s="12"/>
      <c r="H1178" s="12" t="s">
        <v>40</v>
      </c>
      <c r="I1178" s="12"/>
      <c r="J1178" s="12"/>
      <c r="K1178" s="12"/>
      <c r="L1178" s="14">
        <v>122057</v>
      </c>
      <c r="M1178" s="15">
        <f t="shared" si="271"/>
        <v>5</v>
      </c>
      <c r="N1178" s="15">
        <f t="shared" si="272"/>
        <v>0</v>
      </c>
      <c r="O1178" s="14">
        <v>122057</v>
      </c>
      <c r="P1178" s="12">
        <f t="shared" si="279"/>
        <v>10171.416666666666</v>
      </c>
      <c r="Q1178" s="12">
        <f t="shared" si="280"/>
        <v>10171.416666666666</v>
      </c>
    </row>
    <row r="1179" spans="1:21" x14ac:dyDescent="0.3">
      <c r="A1179" s="1">
        <f t="shared" si="275"/>
        <v>21</v>
      </c>
      <c r="B1179" s="2">
        <v>20073840</v>
      </c>
      <c r="C1179" s="3" t="s">
        <v>140</v>
      </c>
      <c r="D1179" s="12" t="s">
        <v>40</v>
      </c>
      <c r="E1179" s="12" t="s">
        <v>40</v>
      </c>
      <c r="F1179" s="12"/>
      <c r="G1179" s="12" t="s">
        <v>40</v>
      </c>
      <c r="H1179" s="12" t="s">
        <v>40</v>
      </c>
      <c r="I1179" s="12"/>
      <c r="J1179" s="12"/>
      <c r="K1179" s="12"/>
      <c r="L1179" s="14">
        <v>120000</v>
      </c>
      <c r="M1179" s="15">
        <f t="shared" si="271"/>
        <v>7</v>
      </c>
      <c r="N1179" s="15">
        <f t="shared" si="272"/>
        <v>0</v>
      </c>
      <c r="O1179" s="14">
        <v>120000</v>
      </c>
      <c r="P1179" s="12">
        <f t="shared" si="279"/>
        <v>10000</v>
      </c>
      <c r="Q1179" s="12">
        <f t="shared" si="280"/>
        <v>10000</v>
      </c>
    </row>
    <row r="1180" spans="1:21" x14ac:dyDescent="0.3">
      <c r="A1180" s="1">
        <f t="shared" si="275"/>
        <v>22</v>
      </c>
      <c r="B1180" s="2" t="s">
        <v>893</v>
      </c>
      <c r="C1180" s="3" t="s">
        <v>140</v>
      </c>
      <c r="D1180" s="12" t="s">
        <v>40</v>
      </c>
      <c r="E1180" s="12" t="s">
        <v>40</v>
      </c>
      <c r="F1180" s="12" t="s">
        <v>40</v>
      </c>
      <c r="G1180" s="12"/>
      <c r="H1180" s="12"/>
      <c r="I1180" s="12"/>
      <c r="J1180" s="12"/>
      <c r="K1180" s="12"/>
      <c r="L1180" s="14">
        <v>39600</v>
      </c>
      <c r="M1180" s="15">
        <f t="shared" si="271"/>
        <v>4</v>
      </c>
      <c r="N1180" s="15">
        <f t="shared" si="272"/>
        <v>0</v>
      </c>
      <c r="O1180" s="14">
        <v>39600</v>
      </c>
      <c r="P1180" s="12">
        <f t="shared" si="279"/>
        <v>3300</v>
      </c>
      <c r="Q1180" s="12">
        <f t="shared" si="280"/>
        <v>3300</v>
      </c>
    </row>
    <row r="1181" spans="1:21" x14ac:dyDescent="0.3">
      <c r="A1181" s="1">
        <f t="shared" si="275"/>
        <v>23</v>
      </c>
      <c r="B1181" s="2">
        <v>19864589</v>
      </c>
      <c r="C1181" s="3" t="s">
        <v>140</v>
      </c>
      <c r="D1181" s="12" t="s">
        <v>40</v>
      </c>
      <c r="E1181" s="12" t="s">
        <v>40</v>
      </c>
      <c r="F1181" s="12"/>
      <c r="G1181" s="12" t="s">
        <v>40</v>
      </c>
      <c r="H1181" s="12"/>
      <c r="I1181" s="12"/>
      <c r="J1181" s="12"/>
      <c r="K1181" s="12"/>
      <c r="L1181" s="14">
        <v>33600</v>
      </c>
      <c r="M1181" s="15">
        <f t="shared" si="271"/>
        <v>4</v>
      </c>
      <c r="N1181" s="15">
        <f t="shared" si="272"/>
        <v>0</v>
      </c>
      <c r="O1181" s="14">
        <v>33600</v>
      </c>
      <c r="P1181" s="12">
        <f t="shared" si="279"/>
        <v>2800</v>
      </c>
      <c r="Q1181" s="12">
        <f t="shared" si="280"/>
        <v>2800</v>
      </c>
      <c r="U1181" t="s">
        <v>746</v>
      </c>
    </row>
    <row r="1182" spans="1:21" x14ac:dyDescent="0.3">
      <c r="A1182" s="1">
        <f t="shared" si="275"/>
        <v>24</v>
      </c>
      <c r="B1182" s="2">
        <v>20075990</v>
      </c>
      <c r="C1182" s="3" t="s">
        <v>140</v>
      </c>
      <c r="D1182" s="12" t="s">
        <v>40</v>
      </c>
      <c r="E1182" s="12" t="s">
        <v>40</v>
      </c>
      <c r="F1182" s="12"/>
      <c r="G1182" s="12" t="s">
        <v>40</v>
      </c>
      <c r="H1182" s="12"/>
      <c r="I1182" s="12"/>
      <c r="J1182" s="12"/>
      <c r="K1182" s="12"/>
      <c r="L1182" s="14">
        <v>40670.400000000001</v>
      </c>
      <c r="M1182" s="15">
        <f t="shared" si="271"/>
        <v>4</v>
      </c>
      <c r="N1182" s="15">
        <f t="shared" si="272"/>
        <v>0</v>
      </c>
      <c r="O1182" s="14">
        <v>40670.400000000001</v>
      </c>
      <c r="P1182" s="12">
        <f t="shared" si="279"/>
        <v>3389.2000000000003</v>
      </c>
      <c r="Q1182" s="12">
        <f t="shared" si="280"/>
        <v>3389.2000000000003</v>
      </c>
    </row>
    <row r="1183" spans="1:21" x14ac:dyDescent="0.3">
      <c r="A1183" s="1">
        <f t="shared" si="275"/>
        <v>25</v>
      </c>
      <c r="B1183" s="2" t="s">
        <v>894</v>
      </c>
      <c r="C1183" s="3" t="s">
        <v>140</v>
      </c>
      <c r="D1183" s="12" t="s">
        <v>40</v>
      </c>
      <c r="E1183" s="12" t="s">
        <v>40</v>
      </c>
      <c r="F1183" s="12"/>
      <c r="G1183" s="12"/>
      <c r="H1183" s="12" t="s">
        <v>40</v>
      </c>
      <c r="I1183" s="12"/>
      <c r="J1183" s="12"/>
      <c r="K1183" s="12"/>
      <c r="L1183" s="14">
        <v>36588</v>
      </c>
      <c r="M1183" s="15">
        <f t="shared" si="271"/>
        <v>5</v>
      </c>
      <c r="N1183" s="15">
        <f t="shared" si="272"/>
        <v>0</v>
      </c>
      <c r="O1183" s="14">
        <v>36588</v>
      </c>
      <c r="P1183" s="12">
        <f t="shared" si="279"/>
        <v>3049</v>
      </c>
      <c r="Q1183" s="12">
        <f t="shared" si="280"/>
        <v>3049</v>
      </c>
    </row>
    <row r="1184" spans="1:21" x14ac:dyDescent="0.3">
      <c r="A1184" s="1">
        <f t="shared" si="275"/>
        <v>26</v>
      </c>
      <c r="B1184" s="2">
        <v>20057129</v>
      </c>
      <c r="C1184" s="3" t="s">
        <v>140</v>
      </c>
      <c r="D1184" s="12" t="s">
        <v>40</v>
      </c>
      <c r="E1184" s="12" t="s">
        <v>40</v>
      </c>
      <c r="F1184" s="12" t="s">
        <v>40</v>
      </c>
      <c r="G1184" s="12"/>
      <c r="H1184" s="12" t="s">
        <v>40</v>
      </c>
      <c r="I1184" s="12" t="s">
        <v>40</v>
      </c>
      <c r="J1184" s="12"/>
      <c r="K1184" s="12"/>
      <c r="L1184" s="14">
        <v>38200</v>
      </c>
      <c r="M1184" s="15">
        <f t="shared" si="271"/>
        <v>12</v>
      </c>
      <c r="N1184" s="15">
        <f t="shared" si="272"/>
        <v>0</v>
      </c>
      <c r="O1184" s="14">
        <v>38200</v>
      </c>
      <c r="P1184" s="12">
        <f t="shared" si="279"/>
        <v>3183.3333333333335</v>
      </c>
      <c r="Q1184" s="12">
        <f t="shared" si="280"/>
        <v>3183.3333333333335</v>
      </c>
    </row>
    <row r="1185" spans="1:18" x14ac:dyDescent="0.3">
      <c r="A1185" s="1">
        <f t="shared" si="275"/>
        <v>27</v>
      </c>
      <c r="B1185" s="2">
        <v>42377791</v>
      </c>
      <c r="C1185" s="3" t="s">
        <v>140</v>
      </c>
      <c r="D1185" s="12" t="s">
        <v>40</v>
      </c>
      <c r="E1185" s="12" t="s">
        <v>40</v>
      </c>
      <c r="F1185" s="12"/>
      <c r="G1185" s="12"/>
      <c r="H1185" s="12"/>
      <c r="I1185" s="12"/>
      <c r="J1185" s="12"/>
      <c r="K1185" s="12"/>
      <c r="L1185" s="14">
        <v>427249.6</v>
      </c>
      <c r="M1185" s="15">
        <f t="shared" si="271"/>
        <v>2</v>
      </c>
      <c r="N1185" s="15">
        <f t="shared" si="272"/>
        <v>0</v>
      </c>
      <c r="O1185" s="14">
        <v>427249.6</v>
      </c>
      <c r="P1185" s="12">
        <f t="shared" si="279"/>
        <v>35604.133333333331</v>
      </c>
      <c r="Q1185" s="12">
        <f t="shared" si="280"/>
        <v>35604.133333333331</v>
      </c>
      <c r="R1185" t="s">
        <v>140</v>
      </c>
    </row>
    <row r="1186" spans="1:18" x14ac:dyDescent="0.3">
      <c r="A1186" s="1">
        <f t="shared" si="275"/>
        <v>28</v>
      </c>
      <c r="B1186" s="2">
        <v>40725826</v>
      </c>
      <c r="C1186" s="3" t="s">
        <v>140</v>
      </c>
      <c r="D1186" s="12" t="s">
        <v>40</v>
      </c>
      <c r="E1186" s="12" t="s">
        <v>40</v>
      </c>
      <c r="F1186" s="12"/>
      <c r="G1186" s="12"/>
      <c r="H1186" s="12"/>
      <c r="I1186" s="12"/>
      <c r="J1186" s="12"/>
      <c r="K1186" s="12"/>
      <c r="L1186" s="14">
        <v>48000</v>
      </c>
      <c r="M1186" s="15">
        <f t="shared" si="271"/>
        <v>2</v>
      </c>
      <c r="N1186" s="15">
        <f t="shared" si="272"/>
        <v>0</v>
      </c>
      <c r="O1186" s="14">
        <v>48000</v>
      </c>
      <c r="P1186" s="12">
        <f t="shared" si="279"/>
        <v>4000</v>
      </c>
      <c r="Q1186" s="12">
        <f t="shared" si="280"/>
        <v>4000</v>
      </c>
    </row>
    <row r="1187" spans="1:18" x14ac:dyDescent="0.3">
      <c r="A1187" s="1">
        <f t="shared" si="275"/>
        <v>29</v>
      </c>
      <c r="B1187" s="2">
        <v>19254198</v>
      </c>
      <c r="C1187" s="3" t="s">
        <v>140</v>
      </c>
      <c r="D1187" s="12" t="s">
        <v>40</v>
      </c>
      <c r="E1187" s="12" t="s">
        <v>40</v>
      </c>
      <c r="F1187" s="12"/>
      <c r="G1187" s="12"/>
      <c r="H1187" s="12" t="s">
        <v>40</v>
      </c>
      <c r="I1187" s="12"/>
      <c r="J1187" s="12"/>
      <c r="K1187" s="12" t="s">
        <v>40</v>
      </c>
      <c r="L1187" s="14">
        <v>13560</v>
      </c>
      <c r="M1187" s="15">
        <f t="shared" si="271"/>
        <v>5</v>
      </c>
      <c r="N1187" s="15">
        <f t="shared" si="272"/>
        <v>1</v>
      </c>
      <c r="O1187" s="14">
        <v>13560</v>
      </c>
      <c r="P1187" s="12">
        <f t="shared" si="273"/>
        <v>1130</v>
      </c>
      <c r="Q1187" s="12">
        <f t="shared" ref="Q1187:Q1188" si="281">+O1187/12</f>
        <v>1130</v>
      </c>
    </row>
    <row r="1188" spans="1:18" x14ac:dyDescent="0.3">
      <c r="A1188" s="1">
        <f t="shared" si="275"/>
        <v>30</v>
      </c>
      <c r="B1188" s="2" t="s">
        <v>895</v>
      </c>
      <c r="C1188" s="3" t="s">
        <v>140</v>
      </c>
      <c r="D1188" s="12" t="s">
        <v>40</v>
      </c>
      <c r="E1188" s="12" t="s">
        <v>40</v>
      </c>
      <c r="F1188" s="12"/>
      <c r="G1188" s="12"/>
      <c r="H1188" s="12" t="s">
        <v>40</v>
      </c>
      <c r="I1188" s="12"/>
      <c r="J1188" s="12"/>
      <c r="K1188" s="12"/>
      <c r="L1188" s="14">
        <v>15133.56</v>
      </c>
      <c r="M1188" s="15">
        <f t="shared" si="271"/>
        <v>5</v>
      </c>
      <c r="N1188" s="15">
        <f t="shared" si="272"/>
        <v>0</v>
      </c>
      <c r="O1188" s="14">
        <v>15133.56</v>
      </c>
      <c r="P1188" s="12">
        <f t="shared" si="273"/>
        <v>1261.1299999999999</v>
      </c>
      <c r="Q1188" s="12">
        <f t="shared" si="281"/>
        <v>1261.1299999999999</v>
      </c>
    </row>
    <row r="1189" spans="1:18" x14ac:dyDescent="0.3">
      <c r="B1189" s="29"/>
      <c r="L1189" s="14">
        <f>+AVERAGE(L1159:L1188)</f>
        <v>145582.33166666664</v>
      </c>
      <c r="M1189" s="14">
        <f>+AVERAGE(M1159:M1188)</f>
        <v>6.9</v>
      </c>
      <c r="N1189" s="14">
        <f>+SUM(N1159:N1188)</f>
        <v>3</v>
      </c>
      <c r="O1189" s="14">
        <f>+AVERAGE(O1159:O1188)</f>
        <v>140722.15535714285</v>
      </c>
      <c r="P1189" s="14">
        <f>+AVERAGE(P1159:P1188)</f>
        <v>12131.860972222221</v>
      </c>
      <c r="Q1189" s="14">
        <f>+AVERAGE(Q1159:Q1188)</f>
        <v>11726.846279761903</v>
      </c>
      <c r="R1189" s="14">
        <f>30-COUNTBLANK(R1159:R1188)</f>
        <v>6</v>
      </c>
    </row>
    <row r="1190" spans="1:18" x14ac:dyDescent="0.3">
      <c r="L1190" s="14">
        <f>+STDEV(L1159:L1188)</f>
        <v>150988.33690899945</v>
      </c>
      <c r="M1190" s="14">
        <f>+STDEV(M1159:M1188)</f>
        <v>5.3197744313081543</v>
      </c>
      <c r="N1190" s="17"/>
      <c r="O1190" s="14">
        <f>+STDEV(O1159:O1188)</f>
        <v>144008.07545060906</v>
      </c>
      <c r="P1190" s="14">
        <f>+STDEV(P1159:P1188)</f>
        <v>12582.361409083285</v>
      </c>
      <c r="Q1190" s="14">
        <f>+STDEV(Q1159:Q1188)</f>
        <v>12000.67295421742</v>
      </c>
    </row>
    <row r="1191" spans="1:18" x14ac:dyDescent="0.3">
      <c r="I1191" s="15"/>
      <c r="J1191" s="15"/>
      <c r="K1191" s="11" t="s">
        <v>75</v>
      </c>
      <c r="L1191" s="14">
        <f>+COUNTIF(L1159:L1188,0)</f>
        <v>1</v>
      </c>
      <c r="M1191" s="14">
        <f>+COUNT(M1159:M1188)</f>
        <v>30</v>
      </c>
      <c r="P1191" s="14">
        <f>+COUNTIF(P1159:P1188,0)</f>
        <v>1</v>
      </c>
    </row>
  </sheetData>
  <autoFilter ref="M2:M1191" xr:uid="{7977CF57-5B76-4BF9-932F-551BAAB14027}"/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B8A90-BD04-4908-B97A-78AF1A282327}">
  <dimension ref="A1:R40"/>
  <sheetViews>
    <sheetView zoomScale="70" zoomScaleNormal="70" workbookViewId="0">
      <selection activeCell="Q21" sqref="Q21"/>
    </sheetView>
  </sheetViews>
  <sheetFormatPr baseColWidth="10" defaultRowHeight="14.4" x14ac:dyDescent="0.3"/>
  <cols>
    <col min="2" max="2" width="20.5546875" bestFit="1" customWidth="1"/>
    <col min="3" max="13" width="13.77734375" customWidth="1"/>
  </cols>
  <sheetData>
    <row r="1" spans="1:18" x14ac:dyDescent="0.3">
      <c r="C1" s="66" t="s">
        <v>439</v>
      </c>
      <c r="D1" s="66"/>
      <c r="G1" s="66" t="s">
        <v>176</v>
      </c>
      <c r="H1" s="66"/>
      <c r="I1" s="66" t="s">
        <v>41</v>
      </c>
      <c r="J1" s="66"/>
      <c r="K1" s="66" t="s">
        <v>440</v>
      </c>
      <c r="L1" s="66"/>
      <c r="N1">
        <f>1130*4</f>
        <v>4520</v>
      </c>
    </row>
    <row r="2" spans="1:18" x14ac:dyDescent="0.3">
      <c r="B2" t="s">
        <v>32</v>
      </c>
      <c r="C2" s="24" t="s">
        <v>174</v>
      </c>
      <c r="D2" s="24" t="s">
        <v>175</v>
      </c>
      <c r="E2" s="24" t="s">
        <v>173</v>
      </c>
      <c r="F2" s="24" t="s">
        <v>234</v>
      </c>
      <c r="G2" s="24" t="s">
        <v>174</v>
      </c>
      <c r="H2" s="24" t="s">
        <v>175</v>
      </c>
      <c r="I2" s="24" t="s">
        <v>257</v>
      </c>
      <c r="J2" s="24" t="s">
        <v>258</v>
      </c>
      <c r="K2" s="24" t="s">
        <v>174</v>
      </c>
      <c r="L2" s="24" t="s">
        <v>175</v>
      </c>
      <c r="M2" s="24" t="s">
        <v>234</v>
      </c>
      <c r="N2" s="24" t="s">
        <v>414</v>
      </c>
      <c r="O2" s="38" t="s">
        <v>902</v>
      </c>
      <c r="P2" s="38" t="s">
        <v>903</v>
      </c>
      <c r="Q2" s="38" t="s">
        <v>904</v>
      </c>
      <c r="R2" s="38" t="s">
        <v>908</v>
      </c>
    </row>
    <row r="3" spans="1:18" x14ac:dyDescent="0.3">
      <c r="A3">
        <v>1</v>
      </c>
      <c r="B3" t="str">
        <f ca="1">INDIRECT(ADDRESS(34*(A3-1)+3,3,,,"Crudo"))</f>
        <v>Ahora Nación</v>
      </c>
      <c r="C3" s="39">
        <f ca="1">INDIRECT(ADDRESS(34*(A3-1)+33,16,,,"Crudo"))</f>
        <v>8509.7649107142861</v>
      </c>
      <c r="D3" s="39">
        <f ca="1">INDIRECT(ADDRESS(34*(A3-1)+34,16,,,"Crudo"))</f>
        <v>8326.9528239522315</v>
      </c>
      <c r="E3" s="40">
        <f ca="1">INDIRECT(ADDRESS(34*(A3-1)+35,12,,,"Crudo"))</f>
        <v>0</v>
      </c>
      <c r="F3" s="41">
        <f ca="1">+E3/M3</f>
        <v>0</v>
      </c>
      <c r="G3" s="42">
        <f ca="1">INDIRECT(ADDRESS(34*(A3-1)+33,13,,,"Crudo"))</f>
        <v>7.75</v>
      </c>
      <c r="H3" s="42">
        <f ca="1">INDIRECT(ADDRESS(34*(A3-1)+34,13,,,"Crudo"))</f>
        <v>5.7437566749245867</v>
      </c>
      <c r="I3" s="42">
        <f ca="1">INDIRECT(ADDRESS(34*(A3-1)+33,14,,,"Crudo"))</f>
        <v>0</v>
      </c>
      <c r="J3" s="41">
        <f ca="1">+I3/M3</f>
        <v>0</v>
      </c>
      <c r="K3" s="39">
        <f ca="1">INDIRECT(ADDRESS(34*(A3-1)+33,17,,,"Crudo"))</f>
        <v>6872.4074382716044</v>
      </c>
      <c r="L3" s="39">
        <f ca="1">INDIRECT(ADDRESS(34*(A3-1)+34,17,,,"Crudo"))</f>
        <v>5479.2326649434781</v>
      </c>
      <c r="M3" s="40">
        <f ca="1">INDIRECT(ADDRESS(34*(A3-1)+35,13,,,"Crudo"))</f>
        <v>28</v>
      </c>
      <c r="N3" s="43">
        <f ca="1">+M3-E3</f>
        <v>28</v>
      </c>
      <c r="O3" s="26">
        <f ca="1">+VLOOKUP(B3,[1]RESUMEN!$A$2:$D$40,2,FALSE)</f>
        <v>0.2857142857142857</v>
      </c>
      <c r="P3" s="26">
        <f ca="1">+VLOOKUP(B3,[1]RESUMEN!$A$2:$D$40,3,FALSE)</f>
        <v>0.2857142857142857</v>
      </c>
      <c r="Q3" s="26">
        <f ca="1">+VLOOKUP(B3,[1]RESUMEN!$A$2:$D$40,4,FALSE)</f>
        <v>0.27777777777777779</v>
      </c>
      <c r="R3" s="39">
        <f ca="1">INDIRECT(ADDRESS(34*(A3-1)+33,18,,,"Crudo"))</f>
        <v>1</v>
      </c>
    </row>
    <row r="4" spans="1:18" x14ac:dyDescent="0.3">
      <c r="A4">
        <f>+A3+1</f>
        <v>2</v>
      </c>
      <c r="B4" t="str">
        <f ca="1">INDIRECT(ADDRESS(34*(A4-1)+3,3,,,"Crudo"))</f>
        <v>Renovación Popular</v>
      </c>
      <c r="C4" s="21">
        <f t="shared" ref="C4:C36" ca="1" si="0">INDIRECT(ADDRESS(34*(A4-1)+33,16,,,"Crudo"))</f>
        <v>15310.844109195406</v>
      </c>
      <c r="D4" s="21">
        <f t="shared" ref="D4:D36" ca="1" si="1">INDIRECT(ADDRESS(34*(A4-1)+34,16,,,"Crudo"))</f>
        <v>29497.025197436116</v>
      </c>
      <c r="E4" s="23">
        <f t="shared" ref="E4:E17" ca="1" si="2">INDIRECT(ADDRESS(34*(A4-1)+35,12,,,"Crudo"))</f>
        <v>7</v>
      </c>
      <c r="F4" s="26">
        <f t="shared" ref="F4:F36" ca="1" si="3">+E4/M4</f>
        <v>0.2413793103448276</v>
      </c>
      <c r="G4" s="22">
        <f ca="1">INDIRECT(ADDRESS(34*(A4-1)+33,13,,,"Crudo"))</f>
        <v>6.2413793103448274</v>
      </c>
      <c r="H4" s="22">
        <f ca="1">INDIRECT(ADDRESS(34*(A4-1)+34,13,,,"Crudo"))</f>
        <v>4.7932629239514997</v>
      </c>
      <c r="I4" s="22">
        <f ca="1">INDIRECT(ADDRESS(34*(A4-1)+33,14,,,"Crudo"))</f>
        <v>5</v>
      </c>
      <c r="J4" s="26">
        <f t="shared" ref="J4:J36" ca="1" si="4">+I4/M4</f>
        <v>0.17241379310344829</v>
      </c>
      <c r="K4" s="21">
        <f t="shared" ref="K4:K36" ca="1" si="5">INDIRECT(ADDRESS(34*(A4-1)+33,17,,,"Crudo"))</f>
        <v>13614.284722222223</v>
      </c>
      <c r="L4" s="21">
        <f t="shared" ref="L4:L36" ca="1" si="6">INDIRECT(ADDRESS(34*(A4-1)+34,17,,,"Crudo"))</f>
        <v>10648.482328466114</v>
      </c>
      <c r="M4" s="23">
        <f t="shared" ref="M4:M36" ca="1" si="7">INDIRECT(ADDRESS(34*(A4-1)+35,13,,,"Crudo"))</f>
        <v>29</v>
      </c>
      <c r="N4">
        <f t="shared" ref="N4:N36" ca="1" si="8">+M4-E4</f>
        <v>22</v>
      </c>
      <c r="O4" s="26">
        <f ca="1">+VLOOKUP(B4,[1]RESUMEN!$A$2:$D$40,2,FALSE)</f>
        <v>1</v>
      </c>
      <c r="P4" s="26">
        <f ca="1">+VLOOKUP(B4,[1]RESUMEN!$A$2:$D$40,3,FALSE)</f>
        <v>0</v>
      </c>
      <c r="Q4" s="26">
        <f ca="1">+VLOOKUP(B4,[1]RESUMEN!$A$2:$D$40,4,FALSE)</f>
        <v>1</v>
      </c>
      <c r="R4" s="39">
        <f t="shared" ref="R4:R37" ca="1" si="9">INDIRECT(ADDRESS(34*(A4-1)+33,18,,,"Crudo"))</f>
        <v>2</v>
      </c>
    </row>
    <row r="5" spans="1:18" x14ac:dyDescent="0.3">
      <c r="A5">
        <f>+A4+1</f>
        <v>3</v>
      </c>
      <c r="B5" t="str">
        <f ca="1">INDIRECT(ADDRESS(34*(A5-1)+3,3,,,"Crudo"))</f>
        <v>Fuerza Popular</v>
      </c>
      <c r="C5" s="21">
        <f t="shared" ca="1" si="0"/>
        <v>16195.718083333331</v>
      </c>
      <c r="D5" s="21">
        <f t="shared" ca="1" si="1"/>
        <v>14402.227228310208</v>
      </c>
      <c r="E5" s="23">
        <f t="shared" ca="1" si="2"/>
        <v>1</v>
      </c>
      <c r="F5" s="26">
        <f t="shared" ca="1" si="3"/>
        <v>3.3333333333333333E-2</v>
      </c>
      <c r="G5" s="22">
        <f ca="1">INDIRECT(ADDRESS(34*(A5-1)+33,13,,,"Crudo"))</f>
        <v>7.2833333333333332</v>
      </c>
      <c r="H5" s="22">
        <f ca="1">INDIRECT(ADDRESS(34*(A5-1)+34,13,,,"Crudo"))</f>
        <v>5.0235365570711128</v>
      </c>
      <c r="I5" s="22">
        <f ca="1">INDIRECT(ADDRESS(34*(A5-1)+33,14,,,"Crudo"))</f>
        <v>6</v>
      </c>
      <c r="J5" s="26">
        <f t="shared" ca="1" si="4"/>
        <v>0.2</v>
      </c>
      <c r="K5" s="21">
        <f t="shared" ca="1" si="5"/>
        <v>15141.925555555556</v>
      </c>
      <c r="L5" s="21">
        <f t="shared" ca="1" si="6"/>
        <v>10657.682886582295</v>
      </c>
      <c r="M5" s="23">
        <f t="shared" ca="1" si="7"/>
        <v>30</v>
      </c>
      <c r="N5">
        <f t="shared" ca="1" si="8"/>
        <v>29</v>
      </c>
      <c r="O5" s="26">
        <f ca="1">+VLOOKUP(B5,[1]RESUMEN!$A$2:$D$40,2,FALSE)</f>
        <v>1</v>
      </c>
      <c r="P5" s="26">
        <f ca="1">+VLOOKUP(B5,[1]RESUMEN!$A$2:$D$40,3,FALSE)</f>
        <v>0</v>
      </c>
      <c r="Q5" s="26">
        <f ca="1">+VLOOKUP(B5,[1]RESUMEN!$A$2:$D$40,4,FALSE)</f>
        <v>1</v>
      </c>
      <c r="R5" s="39">
        <f t="shared" ca="1" si="9"/>
        <v>5</v>
      </c>
    </row>
    <row r="6" spans="1:18" x14ac:dyDescent="0.3">
      <c r="A6">
        <f>+A5+1</f>
        <v>4</v>
      </c>
      <c r="B6" t="str">
        <f ca="1">INDIRECT(ADDRESS(34*(A6-1)+3,3,,,"Crudo"))</f>
        <v>Alianza para el Progreso</v>
      </c>
      <c r="C6" s="21">
        <f t="shared" ca="1" si="0"/>
        <v>42399.069827586209</v>
      </c>
      <c r="D6" s="21">
        <f t="shared" ca="1" si="1"/>
        <v>150040.03445523279</v>
      </c>
      <c r="E6" s="23">
        <f t="shared" ca="1" si="2"/>
        <v>3</v>
      </c>
      <c r="F6" s="26">
        <f t="shared" ca="1" si="3"/>
        <v>0.10344827586206896</v>
      </c>
      <c r="G6" s="22">
        <f ca="1">INDIRECT(ADDRESS(34*(A6-1)+33,13,,,"Crudo"))</f>
        <v>8.6724137931034484</v>
      </c>
      <c r="H6" s="22">
        <f ca="1">INDIRECT(ADDRESS(34*(A6-1)+34,13,,,"Crudo"))</f>
        <v>5.7651599254068611</v>
      </c>
      <c r="I6" s="22">
        <f ca="1">INDIRECT(ADDRESS(34*(A6-1)+33,14,,,"Crudo"))</f>
        <v>7</v>
      </c>
      <c r="J6" s="26">
        <f t="shared" ca="1" si="4"/>
        <v>0.2413793103448276</v>
      </c>
      <c r="K6" s="21">
        <f t="shared" ca="1" si="5"/>
        <v>16393.700999999997</v>
      </c>
      <c r="L6" s="21">
        <f t="shared" ca="1" si="6"/>
        <v>12570.0676278916</v>
      </c>
      <c r="M6" s="23">
        <f t="shared" ca="1" si="7"/>
        <v>29</v>
      </c>
      <c r="N6">
        <f t="shared" ca="1" si="8"/>
        <v>26</v>
      </c>
      <c r="O6" s="26">
        <f ca="1">+VLOOKUP(B6,[1]RESUMEN!$A$2:$D$40,2,FALSE)</f>
        <v>1</v>
      </c>
      <c r="P6" s="26">
        <f ca="1">+VLOOKUP(B6,[1]RESUMEN!$A$2:$D$40,3,FALSE)</f>
        <v>0</v>
      </c>
      <c r="Q6" s="26">
        <f ca="1">+VLOOKUP(B6,[1]RESUMEN!$A$2:$D$40,4,FALSE)</f>
        <v>1</v>
      </c>
      <c r="R6" s="39">
        <f t="shared" ca="1" si="9"/>
        <v>4</v>
      </c>
    </row>
    <row r="7" spans="1:18" x14ac:dyDescent="0.3">
      <c r="A7">
        <f>+A6+1</f>
        <v>5</v>
      </c>
      <c r="B7" t="str">
        <f ca="1">INDIRECT(ADDRESS(34*(A7-1)+3,3,,,"Crudo"))</f>
        <v>Juntos por el Perú</v>
      </c>
      <c r="C7" s="21">
        <f t="shared" ca="1" si="0"/>
        <v>8226.7181111111113</v>
      </c>
      <c r="D7" s="21">
        <f t="shared" ca="1" si="1"/>
        <v>16506.917090772229</v>
      </c>
      <c r="E7" s="23">
        <f t="shared" ca="1" si="2"/>
        <v>8</v>
      </c>
      <c r="F7" s="26">
        <f t="shared" ca="1" si="3"/>
        <v>0.26666666666666666</v>
      </c>
      <c r="G7" s="22">
        <f ca="1">INDIRECT(ADDRESS(34*(A7-1)+33,13,,,"Crudo"))</f>
        <v>5</v>
      </c>
      <c r="H7" s="22">
        <f ca="1">INDIRECT(ADDRESS(34*(A7-1)+34,13,,,"Crudo"))</f>
        <v>3.850660489694794</v>
      </c>
      <c r="I7" s="22">
        <f ca="1">INDIRECT(ADDRESS(34*(A7-1)+33,14,,,"Crudo"))</f>
        <v>2</v>
      </c>
      <c r="J7" s="26">
        <f t="shared" ca="1" si="4"/>
        <v>6.6666666666666666E-2</v>
      </c>
      <c r="K7" s="21">
        <f t="shared" ca="1" si="5"/>
        <v>7985.3433333333342</v>
      </c>
      <c r="L7" s="21">
        <f t="shared" ca="1" si="6"/>
        <v>10804.793561604609</v>
      </c>
      <c r="M7" s="23">
        <f t="shared" ca="1" si="7"/>
        <v>30</v>
      </c>
      <c r="N7">
        <f t="shared" ca="1" si="8"/>
        <v>22</v>
      </c>
      <c r="O7" s="26">
        <f ca="1">+VLOOKUP(B7,[1]RESUMEN!$A$2:$D$40,2,FALSE)</f>
        <v>1</v>
      </c>
      <c r="P7" s="26">
        <f ca="1">+VLOOKUP(B7,[1]RESUMEN!$A$2:$D$40,3,FALSE)</f>
        <v>0</v>
      </c>
      <c r="Q7" s="26">
        <f ca="1">+VLOOKUP(B7,[1]RESUMEN!$A$2:$D$40,4,FALSE)</f>
        <v>1</v>
      </c>
      <c r="R7" s="39">
        <f t="shared" ca="1" si="9"/>
        <v>4</v>
      </c>
    </row>
    <row r="8" spans="1:18" x14ac:dyDescent="0.3">
      <c r="A8">
        <f t="shared" ref="A8:A19" si="10">+A7+1</f>
        <v>6</v>
      </c>
      <c r="B8" t="str">
        <f t="shared" ref="B8:B36" ca="1" si="11">INDIRECT(ADDRESS(34*(A8-1)+3,3,,,"Crudo"))</f>
        <v>Buen Gobierno</v>
      </c>
      <c r="C8" s="39">
        <f t="shared" ca="1" si="0"/>
        <v>6373.2588888888868</v>
      </c>
      <c r="D8" s="39">
        <f t="shared" ca="1" si="1"/>
        <v>8562.9171462189261</v>
      </c>
      <c r="E8" s="40">
        <f t="shared" ca="1" si="2"/>
        <v>2</v>
      </c>
      <c r="F8" s="41">
        <f t="shared" ca="1" si="3"/>
        <v>6.6666666666666666E-2</v>
      </c>
      <c r="G8" s="42">
        <f t="shared" ref="G8:G17" ca="1" si="12">INDIRECT(ADDRESS(34*(A8-1)+33,13,,,"Crudo"))</f>
        <v>6.166666666666667</v>
      </c>
      <c r="H8" s="42">
        <f t="shared" ref="H8:H17" ca="1" si="13">INDIRECT(ADDRESS(34*(A8-1)+34,13,,,"Crudo"))</f>
        <v>3.81542543687697</v>
      </c>
      <c r="I8" s="42">
        <f t="shared" ref="I8:I17" ca="1" si="14">INDIRECT(ADDRESS(34*(A8-1)+33,14,,,"Crudo"))</f>
        <v>1</v>
      </c>
      <c r="J8" s="41">
        <f t="shared" ca="1" si="4"/>
        <v>3.3333333333333333E-2</v>
      </c>
      <c r="K8" s="39">
        <f t="shared" ca="1" si="5"/>
        <v>5266.1580246913582</v>
      </c>
      <c r="L8" s="39">
        <f t="shared" ca="1" si="6"/>
        <v>5446.8125705588864</v>
      </c>
      <c r="M8" s="40">
        <f t="shared" ca="1" si="7"/>
        <v>30</v>
      </c>
      <c r="N8" s="43">
        <f t="shared" ca="1" si="8"/>
        <v>28</v>
      </c>
      <c r="O8" s="26">
        <f ca="1">+VLOOKUP(B8,[1]RESUMEN!$A$2:$D$40,2,FALSE)</f>
        <v>0.16666666666666666</v>
      </c>
      <c r="P8" s="26">
        <f ca="1">+VLOOKUP(B8,[1]RESUMEN!$A$2:$D$40,3,FALSE)</f>
        <v>0.16666666666666666</v>
      </c>
      <c r="Q8" s="26">
        <f ca="1">+VLOOKUP(B8,[1]RESUMEN!$A$2:$D$40,4,FALSE)</f>
        <v>0.18333333333333332</v>
      </c>
      <c r="R8" s="39">
        <f t="shared" ca="1" si="9"/>
        <v>0</v>
      </c>
    </row>
    <row r="9" spans="1:18" x14ac:dyDescent="0.3">
      <c r="A9">
        <f t="shared" si="10"/>
        <v>7</v>
      </c>
      <c r="B9" t="str">
        <f t="shared" ca="1" si="11"/>
        <v>Obras</v>
      </c>
      <c r="C9" s="21">
        <f t="shared" ca="1" si="0"/>
        <v>2769.8313611111107</v>
      </c>
      <c r="D9" s="21">
        <f t="shared" ca="1" si="1"/>
        <v>5039.9981360640923</v>
      </c>
      <c r="E9" s="23">
        <f t="shared" ca="1" si="2"/>
        <v>9</v>
      </c>
      <c r="F9" s="26">
        <f t="shared" ca="1" si="3"/>
        <v>0.3</v>
      </c>
      <c r="G9" s="22">
        <f t="shared" ca="1" si="12"/>
        <v>3.7</v>
      </c>
      <c r="H9" s="22">
        <f t="shared" ca="1" si="13"/>
        <v>2.2916640543349791</v>
      </c>
      <c r="I9" s="22">
        <f t="shared" ca="1" si="14"/>
        <v>2</v>
      </c>
      <c r="J9" s="26">
        <f t="shared" ca="1" si="4"/>
        <v>6.6666666666666666E-2</v>
      </c>
      <c r="K9" s="21">
        <f t="shared" ca="1" si="5"/>
        <v>3308.4868421052633</v>
      </c>
      <c r="L9" s="21">
        <f t="shared" ca="1" si="6"/>
        <v>4320.5012131959584</v>
      </c>
      <c r="M9" s="23">
        <f t="shared" ca="1" si="7"/>
        <v>30</v>
      </c>
      <c r="N9">
        <f t="shared" ca="1" si="8"/>
        <v>21</v>
      </c>
      <c r="O9" s="26">
        <f ca="1">+VLOOKUP(B9,[1]RESUMEN!$A$2:$D$40,2,FALSE)</f>
        <v>0.2</v>
      </c>
      <c r="P9" s="26">
        <f ca="1">+VLOOKUP(B9,[1]RESUMEN!$A$2:$D$40,3,FALSE)</f>
        <v>0.2</v>
      </c>
      <c r="Q9" s="26">
        <f ca="1">+VLOOKUP(B9,[1]RESUMEN!$A$2:$D$40,4,FALSE)</f>
        <v>0.18333333333333332</v>
      </c>
      <c r="R9" s="39">
        <f t="shared" ca="1" si="9"/>
        <v>0</v>
      </c>
    </row>
    <row r="10" spans="1:18" x14ac:dyDescent="0.3">
      <c r="A10">
        <f t="shared" si="10"/>
        <v>8</v>
      </c>
      <c r="B10" t="str">
        <f t="shared" ca="1" si="11"/>
        <v>Integridad Democrática</v>
      </c>
      <c r="C10" s="21">
        <f t="shared" ca="1" si="0"/>
        <v>3869.7260277777777</v>
      </c>
      <c r="D10" s="21">
        <f t="shared" ca="1" si="1"/>
        <v>5453.1101628896276</v>
      </c>
      <c r="E10" s="23">
        <f t="shared" ca="1" si="2"/>
        <v>14</v>
      </c>
      <c r="F10" s="26">
        <f t="shared" ca="1" si="3"/>
        <v>0.46666666666666667</v>
      </c>
      <c r="G10" s="22">
        <f t="shared" ca="1" si="12"/>
        <v>7.9666666666666668</v>
      </c>
      <c r="H10" s="22">
        <f t="shared" ca="1" si="13"/>
        <v>6.088334426750392</v>
      </c>
      <c r="I10" s="22">
        <f t="shared" ca="1" si="14"/>
        <v>0</v>
      </c>
      <c r="J10" s="26">
        <f t="shared" ca="1" si="4"/>
        <v>0</v>
      </c>
      <c r="K10" s="21">
        <f t="shared" ca="1" si="5"/>
        <v>6195.9687222222228</v>
      </c>
      <c r="L10" s="21">
        <f t="shared" ca="1" si="6"/>
        <v>3777.0186915426539</v>
      </c>
      <c r="M10" s="23">
        <f t="shared" ca="1" si="7"/>
        <v>30</v>
      </c>
      <c r="N10">
        <f t="shared" ca="1" si="8"/>
        <v>16</v>
      </c>
      <c r="O10" s="26">
        <f ca="1">+VLOOKUP(B10,[1]RESUMEN!$A$2:$D$40,2,FALSE)</f>
        <v>0.1</v>
      </c>
      <c r="P10" s="26">
        <f ca="1">+VLOOKUP(B10,[1]RESUMEN!$A$2:$D$40,3,FALSE)</f>
        <v>0.1</v>
      </c>
      <c r="Q10" s="26">
        <f ca="1">+VLOOKUP(B10,[1]RESUMEN!$A$2:$D$40,4,FALSE)</f>
        <v>0.11666666666666667</v>
      </c>
      <c r="R10" s="39">
        <f t="shared" ca="1" si="9"/>
        <v>0</v>
      </c>
    </row>
    <row r="11" spans="1:18" x14ac:dyDescent="0.3">
      <c r="A11">
        <f t="shared" si="10"/>
        <v>9</v>
      </c>
      <c r="B11" t="str">
        <f t="shared" ca="1" si="11"/>
        <v>Partido Morado</v>
      </c>
      <c r="C11" s="39">
        <f t="shared" ref="C11" ca="1" si="15">INDIRECT(ADDRESS(34*(A11-1)+33,16,,,"Crudo"))</f>
        <v>8654.14857142857</v>
      </c>
      <c r="D11" s="39">
        <f t="shared" ref="D11" ca="1" si="16">INDIRECT(ADDRESS(34*(A11-1)+34,16,,,"Crudo"))</f>
        <v>10863.373378260436</v>
      </c>
      <c r="E11" s="40">
        <f t="shared" ref="E11" ca="1" si="17">INDIRECT(ADDRESS(34*(A11-1)+35,12,,,"Crudo"))</f>
        <v>1</v>
      </c>
      <c r="F11" s="41">
        <f t="shared" ref="F11" ca="1" si="18">+E11/M11</f>
        <v>3.5714285714285712E-2</v>
      </c>
      <c r="G11" s="42">
        <f t="shared" ref="G11" ca="1" si="19">INDIRECT(ADDRESS(34*(A11-1)+33,13,,,"Crudo"))</f>
        <v>6.5357142857142856</v>
      </c>
      <c r="H11" s="42">
        <f t="shared" ref="H11" ca="1" si="20">INDIRECT(ADDRESS(34*(A11-1)+34,13,,,"Crudo"))</f>
        <v>3.6563708262493866</v>
      </c>
      <c r="I11" s="42">
        <f t="shared" ref="I11" ca="1" si="21">INDIRECT(ADDRESS(34*(A11-1)+33,14,,,"Crudo"))</f>
        <v>2</v>
      </c>
      <c r="J11" s="41">
        <f t="shared" ref="J11" ca="1" si="22">+I11/M11</f>
        <v>7.1428571428571425E-2</v>
      </c>
      <c r="K11" s="39">
        <f t="shared" ref="K11" ca="1" si="23">INDIRECT(ADDRESS(34*(A11-1)+33,17,,,"Crudo"))</f>
        <v>6928.5958974358964</v>
      </c>
      <c r="L11" s="39">
        <f t="shared" ref="L11" ca="1" si="24">INDIRECT(ADDRESS(34*(A11-1)+34,17,,,"Crudo"))</f>
        <v>7778.2237003948585</v>
      </c>
      <c r="M11" s="40">
        <f t="shared" ref="M11" ca="1" si="25">INDIRECT(ADDRESS(34*(A11-1)+35,13,,,"Crudo"))</f>
        <v>28</v>
      </c>
      <c r="N11" s="43">
        <f t="shared" ref="N11" ca="1" si="26">+M11-E11</f>
        <v>27</v>
      </c>
      <c r="O11" s="26">
        <f ca="1">+VLOOKUP(B11,[1]RESUMEN!$A$2:$D$40,2,FALSE)</f>
        <v>1</v>
      </c>
      <c r="P11" s="26">
        <f ca="1">+VLOOKUP(B11,[1]RESUMEN!$A$2:$D$40,3,FALSE)</f>
        <v>0</v>
      </c>
      <c r="Q11" s="26">
        <f ca="1">+VLOOKUP(B11,[1]RESUMEN!$A$2:$D$40,4,FALSE)</f>
        <v>1</v>
      </c>
      <c r="R11" s="39">
        <f t="shared" ca="1" si="9"/>
        <v>0</v>
      </c>
    </row>
    <row r="12" spans="1:18" x14ac:dyDescent="0.3">
      <c r="A12">
        <f t="shared" si="10"/>
        <v>10</v>
      </c>
      <c r="B12" t="str">
        <f t="shared" ca="1" si="11"/>
        <v>Cooperación Popular</v>
      </c>
      <c r="C12" s="21">
        <f t="shared" ca="1" si="0"/>
        <v>3355.883928571428</v>
      </c>
      <c r="D12" s="21">
        <f t="shared" ca="1" si="1"/>
        <v>6460.0595167974634</v>
      </c>
      <c r="E12" s="23">
        <f t="shared" ca="1" si="2"/>
        <v>0</v>
      </c>
      <c r="F12" s="26">
        <f t="shared" ca="1" si="3"/>
        <v>0</v>
      </c>
      <c r="G12" s="22">
        <f t="shared" ca="1" si="12"/>
        <v>3.4285714285714284</v>
      </c>
      <c r="H12" s="22">
        <f t="shared" ca="1" si="13"/>
        <v>3.2366943748507482</v>
      </c>
      <c r="I12" s="22">
        <f t="shared" ca="1" si="14"/>
        <v>1</v>
      </c>
      <c r="J12" s="26">
        <f t="shared" ca="1" si="4"/>
        <v>3.5714285714285712E-2</v>
      </c>
      <c r="K12" s="21">
        <f t="shared" ca="1" si="5"/>
        <v>1885.5771604938273</v>
      </c>
      <c r="L12" s="21">
        <f t="shared" ca="1" si="6"/>
        <v>1651.3348034160881</v>
      </c>
      <c r="M12" s="23">
        <f t="shared" ca="1" si="7"/>
        <v>28</v>
      </c>
      <c r="N12">
        <f t="shared" ca="1" si="8"/>
        <v>28</v>
      </c>
      <c r="O12" s="26">
        <f ca="1">+VLOOKUP(B12,[1]RESUMEN!$A$2:$D$40,2,FALSE)</f>
        <v>0.21428571428571427</v>
      </c>
      <c r="P12" s="26">
        <f ca="1">+VLOOKUP(B12,[1]RESUMEN!$A$2:$D$40,3,FALSE)</f>
        <v>0.21428571428571427</v>
      </c>
      <c r="Q12" s="26">
        <f ca="1">+VLOOKUP(B12,[1]RESUMEN!$A$2:$D$40,4,FALSE)</f>
        <v>0.29090909090909089</v>
      </c>
      <c r="R12" s="39">
        <f t="shared" ca="1" si="9"/>
        <v>1</v>
      </c>
    </row>
    <row r="13" spans="1:18" x14ac:dyDescent="0.3">
      <c r="A13">
        <f t="shared" si="10"/>
        <v>11</v>
      </c>
      <c r="B13" t="str">
        <f t="shared" ca="1" si="11"/>
        <v>Unido Perú</v>
      </c>
      <c r="C13" s="21">
        <f t="shared" ca="1" si="0"/>
        <v>4439.0219907407409</v>
      </c>
      <c r="D13" s="21">
        <f t="shared" ca="1" si="1"/>
        <v>3820.4286069941568</v>
      </c>
      <c r="E13" s="23">
        <f t="shared" ca="1" si="2"/>
        <v>2</v>
      </c>
      <c r="F13" s="26">
        <f ca="1">+E13/M13</f>
        <v>0.1111111111111111</v>
      </c>
      <c r="G13" s="22">
        <f t="shared" ca="1" si="12"/>
        <v>8.9166666666666661</v>
      </c>
      <c r="H13" s="22">
        <f t="shared" ca="1" si="13"/>
        <v>7.0549315250772926</v>
      </c>
      <c r="I13" s="22">
        <f ca="1">INDIRECT(ADDRESS(34*(A13-1)+33,14,,,"Crudo"))</f>
        <v>2</v>
      </c>
      <c r="J13" s="26">
        <f t="shared" ca="1" si="4"/>
        <v>0.1111111111111111</v>
      </c>
      <c r="K13" s="21">
        <f t="shared" ca="1" si="5"/>
        <v>4105.0597222222223</v>
      </c>
      <c r="L13" s="21">
        <f t="shared" ca="1" si="6"/>
        <v>2638.2567393916775</v>
      </c>
      <c r="M13" s="23">
        <f t="shared" ca="1" si="7"/>
        <v>18</v>
      </c>
      <c r="N13">
        <f t="shared" ca="1" si="8"/>
        <v>16</v>
      </c>
      <c r="O13" s="26">
        <f ca="1">+VLOOKUP(B13,[1]RESUMEN!$A$2:$D$40,2,FALSE)</f>
        <v>0.33333333333333331</v>
      </c>
      <c r="P13" s="26">
        <f ca="1">+VLOOKUP(B13,[1]RESUMEN!$A$2:$D$40,3,FALSE)</f>
        <v>0.33333333333333331</v>
      </c>
      <c r="Q13" s="26">
        <f ca="1">+VLOOKUP(B13,[1]RESUMEN!$A$2:$D$40,4,FALSE)</f>
        <v>0.35714285714285715</v>
      </c>
      <c r="R13" s="39">
        <f t="shared" ca="1" si="9"/>
        <v>0</v>
      </c>
    </row>
    <row r="14" spans="1:18" x14ac:dyDescent="0.3">
      <c r="A14">
        <f t="shared" si="10"/>
        <v>12</v>
      </c>
      <c r="B14" t="str">
        <f t="shared" ca="1" si="11"/>
        <v>Pais para Todos</v>
      </c>
      <c r="C14" s="21">
        <f t="shared" ca="1" si="0"/>
        <v>7261.4848611111111</v>
      </c>
      <c r="D14" s="21">
        <f t="shared" ca="1" si="1"/>
        <v>10930.684274431864</v>
      </c>
      <c r="E14" s="23">
        <f t="shared" ca="1" si="2"/>
        <v>5</v>
      </c>
      <c r="F14" s="26">
        <f t="shared" ca="1" si="3"/>
        <v>0.20833333333333334</v>
      </c>
      <c r="G14" s="22">
        <f t="shared" ca="1" si="12"/>
        <v>8.7916666666666661</v>
      </c>
      <c r="H14" s="22">
        <f t="shared" ca="1" si="13"/>
        <v>6.9967642624950237</v>
      </c>
      <c r="I14" s="22">
        <f t="shared" ca="1" si="14"/>
        <v>1</v>
      </c>
      <c r="J14" s="26">
        <f t="shared" ca="1" si="4"/>
        <v>4.1666666666666664E-2</v>
      </c>
      <c r="K14" s="21">
        <f t="shared" ca="1" si="5"/>
        <v>7635.3224074074078</v>
      </c>
      <c r="L14" s="21">
        <f t="shared" ca="1" si="6"/>
        <v>7237.4903543068503</v>
      </c>
      <c r="M14" s="23">
        <f t="shared" ca="1" si="7"/>
        <v>24</v>
      </c>
      <c r="N14">
        <f t="shared" ca="1" si="8"/>
        <v>19</v>
      </c>
      <c r="O14" s="26">
        <f ca="1">+VLOOKUP(B14,[1]RESUMEN!$A$2:$D$40,2,FALSE)</f>
        <v>0.29166666666666669</v>
      </c>
      <c r="P14" s="26">
        <f ca="1">+VLOOKUP(B14,[1]RESUMEN!$A$2:$D$40,3,FALSE)</f>
        <v>0.29166666666666669</v>
      </c>
      <c r="Q14" s="26">
        <f ca="1">+VLOOKUP(B14,[1]RESUMEN!$A$2:$D$40,4,FALSE)</f>
        <v>0.28846153846153844</v>
      </c>
      <c r="R14" s="39">
        <f t="shared" ca="1" si="9"/>
        <v>0</v>
      </c>
    </row>
    <row r="15" spans="1:18" x14ac:dyDescent="0.3">
      <c r="A15">
        <f t="shared" si="10"/>
        <v>13</v>
      </c>
      <c r="B15" t="str">
        <f t="shared" ca="1" si="11"/>
        <v>Libertad Popular</v>
      </c>
      <c r="C15" s="39">
        <f t="shared" ref="C15" ca="1" si="27">INDIRECT(ADDRESS(34*(A15-1)+33,16,,,"Crudo"))</f>
        <v>9145.1447839506181</v>
      </c>
      <c r="D15" s="39">
        <f t="shared" ref="D15" ca="1" si="28">INDIRECT(ADDRESS(34*(A15-1)+34,16,,,"Crudo"))</f>
        <v>10920.547831238981</v>
      </c>
      <c r="E15" s="40">
        <f t="shared" ref="E15" ca="1" si="29">INDIRECT(ADDRESS(34*(A15-1)+35,12,,,"Crudo"))</f>
        <v>2</v>
      </c>
      <c r="F15" s="41">
        <f t="shared" ref="F15" ca="1" si="30">+E15/M15</f>
        <v>7.407407407407407E-2</v>
      </c>
      <c r="G15" s="42">
        <f t="shared" ref="G15" ca="1" si="31">INDIRECT(ADDRESS(34*(A15-1)+33,13,,,"Crudo"))</f>
        <v>8.2592592592592595</v>
      </c>
      <c r="H15" s="42">
        <f t="shared" ref="H15" ca="1" si="32">INDIRECT(ADDRESS(34*(A15-1)+34,13,,,"Crudo"))</f>
        <v>6.7058676521879681</v>
      </c>
      <c r="I15" s="42">
        <f t="shared" ref="I15" ca="1" si="33">INDIRECT(ADDRESS(34*(A15-1)+33,14,,,"Crudo"))</f>
        <v>0</v>
      </c>
      <c r="J15" s="41">
        <f t="shared" ref="J15" ca="1" si="34">+I15/M15</f>
        <v>0</v>
      </c>
      <c r="K15" s="39">
        <f t="shared" ref="K15" ca="1" si="35">INDIRECT(ADDRESS(34*(A15-1)+33,17,,,"Crudo"))</f>
        <v>9840.3712152777789</v>
      </c>
      <c r="L15" s="39">
        <f t="shared" ref="L15" ca="1" si="36">INDIRECT(ADDRESS(34*(A15-1)+34,17,,,"Crudo"))</f>
        <v>11266.098485222665</v>
      </c>
      <c r="M15" s="40">
        <f t="shared" ref="M15" ca="1" si="37">INDIRECT(ADDRESS(34*(A15-1)+35,13,,,"Crudo"))</f>
        <v>27</v>
      </c>
      <c r="N15" s="43">
        <f t="shared" ref="N15" ca="1" si="38">+M15-E15</f>
        <v>25</v>
      </c>
      <c r="O15" s="26">
        <f ca="1">+VLOOKUP(B15,[1]RESUMEN!$A$2:$D$40,2,FALSE)</f>
        <v>0.14814814814814814</v>
      </c>
      <c r="P15" s="26">
        <f ca="1">+VLOOKUP(B15,[1]RESUMEN!$A$2:$D$40,3,FALSE)</f>
        <v>0.14814814814814814</v>
      </c>
      <c r="Q15" s="26">
        <f ca="1">+VLOOKUP(B15,[1]RESUMEN!$A$2:$D$40,4,FALSE)</f>
        <v>0.14035087719298245</v>
      </c>
      <c r="R15" s="39">
        <f t="shared" ca="1" si="9"/>
        <v>0</v>
      </c>
    </row>
    <row r="16" spans="1:18" x14ac:dyDescent="0.3">
      <c r="A16">
        <f t="shared" si="10"/>
        <v>14</v>
      </c>
      <c r="B16" t="str">
        <f t="shared" ca="1" si="11"/>
        <v>Venceremos</v>
      </c>
      <c r="C16" s="21">
        <f t="shared" ca="1" si="0"/>
        <v>7024.084404761903</v>
      </c>
      <c r="D16" s="21">
        <f t="shared" ca="1" si="1"/>
        <v>13559.35564730359</v>
      </c>
      <c r="E16" s="23">
        <f t="shared" ca="1" si="2"/>
        <v>7</v>
      </c>
      <c r="F16" s="26">
        <f t="shared" ca="1" si="3"/>
        <v>0.25</v>
      </c>
      <c r="G16" s="22">
        <f t="shared" ca="1" si="12"/>
        <v>5.625</v>
      </c>
      <c r="H16" s="22">
        <f t="shared" ca="1" si="13"/>
        <v>3.7332961307670196</v>
      </c>
      <c r="I16" s="22">
        <f t="shared" ca="1" si="14"/>
        <v>0</v>
      </c>
      <c r="J16" s="26">
        <f t="shared" ca="1" si="4"/>
        <v>0</v>
      </c>
      <c r="K16" s="21">
        <f t="shared" ca="1" si="5"/>
        <v>6629.4893750000001</v>
      </c>
      <c r="L16" s="21">
        <f t="shared" ca="1" si="6"/>
        <v>8459.6169861501839</v>
      </c>
      <c r="M16" s="23">
        <f t="shared" ca="1" si="7"/>
        <v>28</v>
      </c>
      <c r="N16">
        <f t="shared" ca="1" si="8"/>
        <v>21</v>
      </c>
      <c r="O16" s="26">
        <f ca="1">+VLOOKUP(B16,[1]RESUMEN!$A$2:$D$40,2,FALSE)</f>
        <v>1</v>
      </c>
      <c r="P16" s="26">
        <f ca="1">+VLOOKUP(B16,[1]RESUMEN!$A$2:$D$40,3,FALSE)</f>
        <v>1</v>
      </c>
      <c r="Q16" s="26">
        <f ca="1">+VLOOKUP(B16,[1]RESUMEN!$A$2:$D$40,4,FALSE)</f>
        <v>1</v>
      </c>
      <c r="R16" s="39">
        <f t="shared" ca="1" si="9"/>
        <v>1</v>
      </c>
    </row>
    <row r="17" spans="1:18" x14ac:dyDescent="0.3">
      <c r="A17">
        <f t="shared" si="10"/>
        <v>15</v>
      </c>
      <c r="B17" t="str">
        <f t="shared" ca="1" si="11"/>
        <v>Peru Primero</v>
      </c>
      <c r="C17" s="21">
        <f t="shared" ca="1" si="0"/>
        <v>8740.4684523809519</v>
      </c>
      <c r="D17" s="21">
        <f t="shared" ca="1" si="1"/>
        <v>9730.7655569014078</v>
      </c>
      <c r="E17" s="23">
        <f t="shared" ca="1" si="2"/>
        <v>3</v>
      </c>
      <c r="F17" s="26">
        <f t="shared" ca="1" si="3"/>
        <v>0.10714285714285714</v>
      </c>
      <c r="G17" s="22">
        <f t="shared" ca="1" si="12"/>
        <v>8.2857142857142865</v>
      </c>
      <c r="H17" s="22">
        <f t="shared" ca="1" si="13"/>
        <v>5.0303312817579728</v>
      </c>
      <c r="I17" s="22">
        <f t="shared" ca="1" si="14"/>
        <v>3</v>
      </c>
      <c r="J17" s="26">
        <f t="shared" ca="1" si="4"/>
        <v>0.10714285714285714</v>
      </c>
      <c r="K17" s="21">
        <f t="shared" ca="1" si="5"/>
        <v>8821.5954861111113</v>
      </c>
      <c r="L17" s="21">
        <f t="shared" ca="1" si="6"/>
        <v>8228.2428243725226</v>
      </c>
      <c r="M17" s="23">
        <f t="shared" ca="1" si="7"/>
        <v>28</v>
      </c>
      <c r="N17">
        <f t="shared" ca="1" si="8"/>
        <v>25</v>
      </c>
      <c r="O17" s="26">
        <f ca="1">+VLOOKUP(B17,[1]RESUMEN!$A$2:$D$40,2,FALSE)</f>
        <v>0.2857142857142857</v>
      </c>
      <c r="P17" s="26">
        <f ca="1">+VLOOKUP(B17,[1]RESUMEN!$A$2:$D$40,3,FALSE)</f>
        <v>0.5</v>
      </c>
      <c r="Q17" s="26">
        <f ca="1">+VLOOKUP(B17,[1]RESUMEN!$A$2:$D$40,4,FALSE)</f>
        <v>0.45614035087719296</v>
      </c>
      <c r="R17" s="39">
        <f t="shared" ca="1" si="9"/>
        <v>2</v>
      </c>
    </row>
    <row r="18" spans="1:18" x14ac:dyDescent="0.3">
      <c r="A18">
        <f t="shared" si="10"/>
        <v>16</v>
      </c>
      <c r="B18" t="str">
        <f t="shared" ca="1" si="11"/>
        <v>Primero La Gente</v>
      </c>
      <c r="C18" s="21">
        <f t="shared" ref="C18:C19" ca="1" si="39">INDIRECT(ADDRESS(34*(A18-1)+33,16,,,"Crudo"))</f>
        <v>21686.197561728393</v>
      </c>
      <c r="D18" s="21">
        <f t="shared" ref="D18:D19" ca="1" si="40">INDIRECT(ADDRESS(34*(A18-1)+34,16,,,"Crudo"))</f>
        <v>71085.079207753559</v>
      </c>
      <c r="E18" s="23">
        <f t="shared" ref="E18:E19" ca="1" si="41">INDIRECT(ADDRESS(34*(A18-1)+35,12,,,"Crudo"))</f>
        <v>4</v>
      </c>
      <c r="F18" s="26">
        <f t="shared" ref="F18:F19" ca="1" si="42">+E18/M18</f>
        <v>0.14814814814814814</v>
      </c>
      <c r="G18" s="22">
        <f t="shared" ref="G18:G19" ca="1" si="43">INDIRECT(ADDRESS(34*(A18-1)+33,13,,,"Crudo"))</f>
        <v>6.7407407407407405</v>
      </c>
      <c r="H18" s="22">
        <f t="shared" ref="H18:H19" ca="1" si="44">INDIRECT(ADDRESS(34*(A18-1)+34,13,,,"Crudo"))</f>
        <v>3.7784061820234838</v>
      </c>
      <c r="I18" s="22">
        <f t="shared" ref="I18:I19" ca="1" si="45">INDIRECT(ADDRESS(34*(A18-1)+33,14,,,"Crudo"))</f>
        <v>4</v>
      </c>
      <c r="J18" s="26">
        <f t="shared" ref="J18:J19" ca="1" si="46">+I18/M18</f>
        <v>0.14814814814814814</v>
      </c>
      <c r="K18" s="21">
        <f t="shared" ref="K18:K19" ca="1" si="47">INDIRECT(ADDRESS(34*(A18-1)+33,17,,,"Crudo"))</f>
        <v>9599.9621590909082</v>
      </c>
      <c r="L18" s="21">
        <f t="shared" ref="L18:L19" ca="1" si="48">INDIRECT(ADDRESS(34*(A18-1)+34,17,,,"Crudo"))</f>
        <v>8256.9106321265954</v>
      </c>
      <c r="M18" s="23">
        <f t="shared" ref="M18:M19" ca="1" si="49">INDIRECT(ADDRESS(34*(A18-1)+35,13,,,"Crudo"))</f>
        <v>27</v>
      </c>
      <c r="N18" s="43">
        <f t="shared" ref="N18:N19" ca="1" si="50">+M18-E18</f>
        <v>23</v>
      </c>
      <c r="O18" s="26">
        <f ca="1">+VLOOKUP(B18,[1]RESUMEN!$A$2:$D$40,2,FALSE)</f>
        <v>0.29629629629629628</v>
      </c>
      <c r="P18" s="26">
        <f ca="1">+VLOOKUP(B18,[1]RESUMEN!$A$2:$D$40,3,FALSE)</f>
        <v>0.29629629629629628</v>
      </c>
      <c r="Q18" s="26">
        <f ca="1">+VLOOKUP(B18,[1]RESUMEN!$A$2:$D$40,4,FALSE)</f>
        <v>0.2857142857142857</v>
      </c>
      <c r="R18" s="39">
        <f t="shared" ca="1" si="9"/>
        <v>0</v>
      </c>
    </row>
    <row r="19" spans="1:18" x14ac:dyDescent="0.3">
      <c r="A19">
        <f t="shared" si="10"/>
        <v>17</v>
      </c>
      <c r="B19" t="str">
        <f t="shared" ca="1" si="11"/>
        <v>Fe en el Peru</v>
      </c>
      <c r="C19" s="21">
        <f t="shared" ca="1" si="39"/>
        <v>4809.5549999999985</v>
      </c>
      <c r="D19" s="21">
        <f t="shared" ca="1" si="40"/>
        <v>4477.7625215328317</v>
      </c>
      <c r="E19" s="23">
        <f t="shared" ca="1" si="41"/>
        <v>2</v>
      </c>
      <c r="F19" s="26">
        <f t="shared" ca="1" si="42"/>
        <v>0.1111111111111111</v>
      </c>
      <c r="G19" s="22">
        <f t="shared" ca="1" si="43"/>
        <v>5.2666666666666666</v>
      </c>
      <c r="H19" s="22">
        <f t="shared" ca="1" si="44"/>
        <v>4.905778905196061</v>
      </c>
      <c r="I19" s="22">
        <f t="shared" ca="1" si="45"/>
        <v>0</v>
      </c>
      <c r="J19" s="26">
        <f t="shared" ca="1" si="46"/>
        <v>0</v>
      </c>
      <c r="K19" s="21">
        <f t="shared" ca="1" si="47"/>
        <v>4705.0479166666664</v>
      </c>
      <c r="L19" s="21">
        <f t="shared" ca="1" si="48"/>
        <v>3248.5511724423136</v>
      </c>
      <c r="M19" s="23">
        <f t="shared" ca="1" si="49"/>
        <v>18</v>
      </c>
      <c r="N19" s="43">
        <f t="shared" ca="1" si="50"/>
        <v>16</v>
      </c>
      <c r="O19" s="26">
        <f ca="1">+VLOOKUP(B19,[1]RESUMEN!$A$2:$D$40,2,FALSE)</f>
        <v>0.33333333333333331</v>
      </c>
      <c r="P19" s="26">
        <f ca="1">+VLOOKUP(B19,[1]RESUMEN!$A$2:$D$40,3,FALSE)</f>
        <v>0.33333333333333331</v>
      </c>
      <c r="Q19" s="26">
        <f ca="1">+VLOOKUP(B19,[1]RESUMEN!$A$2:$D$40,4,FALSE)</f>
        <v>0.35714285714285715</v>
      </c>
      <c r="R19" s="39">
        <f t="shared" ca="1" si="9"/>
        <v>0</v>
      </c>
    </row>
    <row r="20" spans="1:18" x14ac:dyDescent="0.3">
      <c r="A20">
        <f t="shared" ref="A20:A40" si="51">+A19+1</f>
        <v>18</v>
      </c>
      <c r="B20" t="str">
        <f t="shared" ca="1" si="11"/>
        <v>Avanza Pais</v>
      </c>
      <c r="C20" s="21">
        <f t="shared" ca="1" si="0"/>
        <v>14076.754433333332</v>
      </c>
      <c r="D20" s="21">
        <f t="shared" ca="1" si="1"/>
        <v>17844.180331972078</v>
      </c>
      <c r="E20" s="23">
        <f t="shared" ref="E20:E36" ca="1" si="52">INDIRECT(ADDRESS(34*(A20-1)+35,12,,,"Crudo"))</f>
        <v>10</v>
      </c>
      <c r="F20" s="26">
        <f t="shared" ca="1" si="3"/>
        <v>0.4</v>
      </c>
      <c r="G20" s="22">
        <f t="shared" ref="G20:G36" ca="1" si="53">INDIRECT(ADDRESS(34*(A20-1)+33,13,,,"Crudo"))</f>
        <v>7.64</v>
      </c>
      <c r="H20" s="22">
        <f t="shared" ref="H20:H36" ca="1" si="54">INDIRECT(ADDRESS(34*(A20-1)+34,13,,,"Crudo"))</f>
        <v>6.4477386216667725</v>
      </c>
      <c r="I20" s="22">
        <f t="shared" ref="I20:I36" ca="1" si="55">INDIRECT(ADDRESS(34*(A20-1)+33,14,,,"Crudo"))</f>
        <v>0</v>
      </c>
      <c r="J20" s="26">
        <f t="shared" ca="1" si="4"/>
        <v>0</v>
      </c>
      <c r="K20" s="21">
        <f t="shared" ca="1" si="5"/>
        <v>20119.150773809524</v>
      </c>
      <c r="L20" s="21">
        <f t="shared" ca="1" si="6"/>
        <v>12384.043207336654</v>
      </c>
      <c r="M20" s="23">
        <f t="shared" ca="1" si="7"/>
        <v>25</v>
      </c>
      <c r="N20">
        <f t="shared" ca="1" si="8"/>
        <v>15</v>
      </c>
      <c r="O20" s="26">
        <f ca="1">+VLOOKUP(B20,[1]RESUMEN!$A$2:$D$40,2,FALSE)</f>
        <v>1</v>
      </c>
      <c r="P20" s="26">
        <f ca="1">+VLOOKUP(B20,[1]RESUMEN!$A$2:$D$40,3,FALSE)</f>
        <v>0</v>
      </c>
      <c r="Q20" s="26">
        <f ca="1">+VLOOKUP(B20,[1]RESUMEN!$A$2:$D$40,4,FALSE)</f>
        <v>1</v>
      </c>
      <c r="R20" s="39">
        <f t="shared" ca="1" si="9"/>
        <v>2</v>
      </c>
    </row>
    <row r="21" spans="1:18" x14ac:dyDescent="0.3">
      <c r="A21">
        <f t="shared" si="51"/>
        <v>19</v>
      </c>
      <c r="B21" t="str">
        <f t="shared" ca="1" si="11"/>
        <v>FREPAP</v>
      </c>
      <c r="C21" s="21">
        <f t="shared" ca="1" si="0"/>
        <v>1215.6089722222221</v>
      </c>
      <c r="D21" s="21">
        <f t="shared" ca="1" si="1"/>
        <v>2435.3155698890537</v>
      </c>
      <c r="E21" s="23">
        <f t="shared" ca="1" si="52"/>
        <v>22</v>
      </c>
      <c r="F21" s="26">
        <f ca="1">+E21/M21</f>
        <v>0.73333333333333328</v>
      </c>
      <c r="G21" s="22">
        <f t="shared" ca="1" si="53"/>
        <v>4.0166666666666666</v>
      </c>
      <c r="H21" s="22">
        <f t="shared" ca="1" si="54"/>
        <v>4.2880815848303211</v>
      </c>
      <c r="I21" s="22">
        <f t="shared" ca="1" si="55"/>
        <v>0</v>
      </c>
      <c r="J21" s="26">
        <f t="shared" ca="1" si="4"/>
        <v>0</v>
      </c>
      <c r="K21" s="21">
        <f t="shared" ca="1" si="5"/>
        <v>3958.9379761904761</v>
      </c>
      <c r="L21" s="21">
        <f t="shared" ca="1" si="6"/>
        <v>2234.1508777454997</v>
      </c>
      <c r="M21" s="23">
        <f t="shared" ca="1" si="7"/>
        <v>30</v>
      </c>
      <c r="N21">
        <f t="shared" ca="1" si="8"/>
        <v>8</v>
      </c>
      <c r="O21" s="26">
        <f ca="1">+VLOOKUP(B21,[1]RESUMEN!$A$2:$D$40,2,FALSE)</f>
        <v>0</v>
      </c>
      <c r="P21" s="26">
        <f ca="1">+VLOOKUP(B21,[1]RESUMEN!$A$2:$D$40,3,FALSE)</f>
        <v>0</v>
      </c>
      <c r="Q21" s="26">
        <f ca="1">+VLOOKUP(B21,[1]RESUMEN!$A$2:$D$40,4,FALSE)</f>
        <v>0</v>
      </c>
      <c r="R21" s="39">
        <f t="shared" ca="1" si="9"/>
        <v>0</v>
      </c>
    </row>
    <row r="22" spans="1:18" x14ac:dyDescent="0.3">
      <c r="A22">
        <f t="shared" si="51"/>
        <v>20</v>
      </c>
      <c r="B22" t="str">
        <f t="shared" ca="1" si="11"/>
        <v>Fuerza y Libertad</v>
      </c>
      <c r="C22" s="21">
        <f t="shared" ca="1" si="0"/>
        <v>6745.8043452380953</v>
      </c>
      <c r="D22" s="21">
        <f t="shared" ca="1" si="1"/>
        <v>12148.142065017279</v>
      </c>
      <c r="E22" s="23">
        <f t="shared" ca="1" si="52"/>
        <v>8</v>
      </c>
      <c r="F22" s="26">
        <f t="shared" ca="1" si="3"/>
        <v>0.2857142857142857</v>
      </c>
      <c r="G22" s="22">
        <f t="shared" ca="1" si="53"/>
        <v>6.8928571428571432</v>
      </c>
      <c r="H22" s="22">
        <f t="shared" ca="1" si="54"/>
        <v>6.2854286851903547</v>
      </c>
      <c r="I22" s="22">
        <f t="shared" ca="1" si="55"/>
        <v>0</v>
      </c>
      <c r="J22" s="26">
        <f t="shared" ca="1" si="4"/>
        <v>0</v>
      </c>
      <c r="K22" s="21">
        <f t="shared" ca="1" si="5"/>
        <v>6684.7399561403508</v>
      </c>
      <c r="L22" s="21">
        <f t="shared" ca="1" si="6"/>
        <v>5683.9066392226923</v>
      </c>
      <c r="M22" s="23">
        <f t="shared" ca="1" si="7"/>
        <v>28</v>
      </c>
      <c r="N22">
        <f t="shared" ca="1" si="8"/>
        <v>20</v>
      </c>
      <c r="O22" s="26">
        <f ca="1">+VLOOKUP(B22,[1]RESUMEN!$A$2:$D$40,2,FALSE)</f>
        <v>0.21428571428571427</v>
      </c>
      <c r="P22" s="26">
        <f ca="1">+VLOOKUP(B22,[1]RESUMEN!$A$2:$D$40,3,FALSE)</f>
        <v>0.21428571428571427</v>
      </c>
      <c r="Q22" s="26">
        <f ca="1">+VLOOKUP(B22,[1]RESUMEN!$A$2:$D$40,4,FALSE)</f>
        <v>0.18181818181818182</v>
      </c>
      <c r="R22" s="39">
        <f t="shared" ca="1" si="9"/>
        <v>0</v>
      </c>
    </row>
    <row r="23" spans="1:18" x14ac:dyDescent="0.3">
      <c r="A23">
        <f t="shared" si="51"/>
        <v>21</v>
      </c>
      <c r="B23" t="str">
        <f t="shared" ca="1" si="11"/>
        <v>APRA</v>
      </c>
      <c r="C23" s="21">
        <f t="shared" ca="1" si="0"/>
        <v>9421.012270114943</v>
      </c>
      <c r="D23" s="21">
        <f t="shared" ca="1" si="1"/>
        <v>12702.091483704875</v>
      </c>
      <c r="E23" s="23">
        <f t="shared" ca="1" si="52"/>
        <v>7</v>
      </c>
      <c r="F23" s="26">
        <f t="shared" ca="1" si="3"/>
        <v>0.2413793103448276</v>
      </c>
      <c r="G23" s="22">
        <f t="shared" ca="1" si="53"/>
        <v>7.7068965517241379</v>
      </c>
      <c r="H23" s="22">
        <f t="shared" ca="1" si="54"/>
        <v>5.2703978593706857</v>
      </c>
      <c r="I23" s="22">
        <f t="shared" ca="1" si="55"/>
        <v>0</v>
      </c>
      <c r="J23" s="26">
        <f t="shared" ca="1" si="4"/>
        <v>0</v>
      </c>
      <c r="K23" s="21">
        <f t="shared" ca="1" si="5"/>
        <v>10545.747103174603</v>
      </c>
      <c r="L23" s="21">
        <f t="shared" ca="1" si="6"/>
        <v>10193.437487627149</v>
      </c>
      <c r="M23" s="23">
        <f t="shared" ca="1" si="7"/>
        <v>29</v>
      </c>
      <c r="N23">
        <f t="shared" ca="1" si="8"/>
        <v>22</v>
      </c>
      <c r="O23" s="26">
        <f ca="1">+VLOOKUP(B23,[1]RESUMEN!$A$2:$D$40,2,FALSE)</f>
        <v>1</v>
      </c>
      <c r="P23" s="26">
        <f ca="1">+VLOOKUP(B23,[1]RESUMEN!$A$2:$D$40,3,FALSE)</f>
        <v>0</v>
      </c>
      <c r="Q23" s="26">
        <f ca="1">+VLOOKUP(B23,[1]RESUMEN!$A$2:$D$40,4,FALSE)</f>
        <v>1</v>
      </c>
      <c r="R23" s="39">
        <f t="shared" ca="1" si="9"/>
        <v>0</v>
      </c>
    </row>
    <row r="24" spans="1:18" x14ac:dyDescent="0.3">
      <c r="A24">
        <f t="shared" si="51"/>
        <v>22</v>
      </c>
      <c r="B24" t="str">
        <f t="shared" ca="1" si="11"/>
        <v>PTE</v>
      </c>
      <c r="C24" s="21">
        <f t="shared" ca="1" si="0"/>
        <v>5187.0457246376809</v>
      </c>
      <c r="D24" s="21">
        <f t="shared" ca="1" si="1"/>
        <v>6176.7890326958332</v>
      </c>
      <c r="E24" s="23">
        <f t="shared" ca="1" si="52"/>
        <v>2</v>
      </c>
      <c r="F24" s="26">
        <f t="shared" ca="1" si="3"/>
        <v>8.6956521739130432E-2</v>
      </c>
      <c r="G24" s="22">
        <f t="shared" ca="1" si="53"/>
        <v>4.3043478260869561</v>
      </c>
      <c r="H24" s="22">
        <f t="shared" ca="1" si="54"/>
        <v>2.3244702741347263</v>
      </c>
      <c r="I24" s="22">
        <f t="shared" ca="1" si="55"/>
        <v>0</v>
      </c>
      <c r="J24" s="26">
        <f t="shared" ca="1" si="4"/>
        <v>0</v>
      </c>
      <c r="K24" s="21">
        <f t="shared" ca="1" si="5"/>
        <v>4911.6059649122799</v>
      </c>
      <c r="L24" s="21">
        <f t="shared" ca="1" si="6"/>
        <v>4247.8175673085689</v>
      </c>
      <c r="M24" s="23">
        <f t="shared" ca="1" si="7"/>
        <v>23</v>
      </c>
      <c r="N24">
        <f t="shared" ca="1" si="8"/>
        <v>21</v>
      </c>
      <c r="O24" s="26">
        <f ca="1">+VLOOKUP(B24,[1]RESUMEN!$A$2:$D$40,2,FALSE)</f>
        <v>0.2608695652173913</v>
      </c>
      <c r="P24" s="26">
        <f ca="1">+VLOOKUP(B24,[1]RESUMEN!$A$2:$D$40,3,FALSE)</f>
        <v>0.2608695652173913</v>
      </c>
      <c r="Q24" s="26">
        <f ca="1">+VLOOKUP(B24,[1]RESUMEN!$A$2:$D$40,4,FALSE)</f>
        <v>0.21276595744680851</v>
      </c>
      <c r="R24" s="39">
        <f t="shared" ca="1" si="9"/>
        <v>0</v>
      </c>
    </row>
    <row r="25" spans="1:18" x14ac:dyDescent="0.3">
      <c r="A25">
        <f t="shared" si="51"/>
        <v>23</v>
      </c>
      <c r="B25" t="str">
        <f t="shared" ca="1" si="11"/>
        <v>Verde</v>
      </c>
      <c r="C25" s="21">
        <f t="shared" ca="1" si="0"/>
        <v>2099.0719827586208</v>
      </c>
      <c r="D25" s="21">
        <f t="shared" ca="1" si="1"/>
        <v>3078.8422910222635</v>
      </c>
      <c r="E25" s="23">
        <f t="shared" ca="1" si="52"/>
        <v>8</v>
      </c>
      <c r="F25" s="26">
        <f t="shared" ca="1" si="3"/>
        <v>0.27586206896551724</v>
      </c>
      <c r="G25" s="22">
        <f t="shared" ca="1" si="53"/>
        <v>4</v>
      </c>
      <c r="H25" s="22">
        <f t="shared" ca="1" si="54"/>
        <v>4.1661904489764821</v>
      </c>
      <c r="I25" s="22">
        <f t="shared" ca="1" si="55"/>
        <v>1</v>
      </c>
      <c r="J25" s="26">
        <f t="shared" ca="1" si="4"/>
        <v>3.4482758620689655E-2</v>
      </c>
      <c r="K25" s="21">
        <f t="shared" ca="1" si="5"/>
        <v>2283.5168750000003</v>
      </c>
      <c r="L25" s="21">
        <f t="shared" ca="1" si="6"/>
        <v>1743.9210874863356</v>
      </c>
      <c r="M25" s="23">
        <f t="shared" ca="1" si="7"/>
        <v>29</v>
      </c>
      <c r="N25">
        <f t="shared" ca="1" si="8"/>
        <v>21</v>
      </c>
      <c r="O25" s="26">
        <f ca="1">+VLOOKUP(B25,[1]RESUMEN!$A$2:$D$40,2,FALSE)</f>
        <v>0.20689655172413793</v>
      </c>
      <c r="P25" s="26">
        <f ca="1">+VLOOKUP(B25,[1]RESUMEN!$A$2:$D$40,3,FALSE)</f>
        <v>0.20689655172413793</v>
      </c>
      <c r="Q25" s="26">
        <f ca="1">+VLOOKUP(B25,[1]RESUMEN!$A$2:$D$40,4,FALSE)</f>
        <v>0.42</v>
      </c>
      <c r="R25" s="39">
        <f t="shared" ca="1" si="9"/>
        <v>0</v>
      </c>
    </row>
    <row r="26" spans="1:18" x14ac:dyDescent="0.3">
      <c r="A26">
        <f t="shared" si="51"/>
        <v>24</v>
      </c>
      <c r="B26" t="str">
        <f t="shared" ca="1" si="11"/>
        <v>Peru Federal</v>
      </c>
      <c r="C26" s="21">
        <f t="shared" ca="1" si="0"/>
        <v>6968.4734027777777</v>
      </c>
      <c r="D26" s="21">
        <f t="shared" ca="1" si="1"/>
        <v>12427.861468943123</v>
      </c>
      <c r="E26" s="23">
        <f t="shared" ca="1" si="52"/>
        <v>4</v>
      </c>
      <c r="F26" s="26">
        <f t="shared" ca="1" si="3"/>
        <v>0.16666666666666666</v>
      </c>
      <c r="G26" s="22">
        <f t="shared" ca="1" si="53"/>
        <v>6.375</v>
      </c>
      <c r="H26" s="22">
        <f t="shared" ca="1" si="54"/>
        <v>4.0088217937335457</v>
      </c>
      <c r="I26" s="22">
        <f t="shared" ca="1" si="55"/>
        <v>5</v>
      </c>
      <c r="J26" s="26">
        <f t="shared" ca="1" si="4"/>
        <v>0.20833333333333334</v>
      </c>
      <c r="K26" s="21">
        <f t="shared" ca="1" si="5"/>
        <v>5808.3085087719301</v>
      </c>
      <c r="L26" s="21">
        <f t="shared" ca="1" si="6"/>
        <v>6834.8304713003454</v>
      </c>
      <c r="M26" s="23">
        <f t="shared" ca="1" si="7"/>
        <v>24</v>
      </c>
      <c r="N26">
        <f t="shared" ca="1" si="8"/>
        <v>20</v>
      </c>
      <c r="O26" s="26">
        <f ca="1">+VLOOKUP(B26,[1]RESUMEN!$A$2:$D$40,2,FALSE)</f>
        <v>0.125</v>
      </c>
      <c r="P26" s="26">
        <f ca="1">+VLOOKUP(B26,[1]RESUMEN!$A$2:$D$40,3,FALSE)</f>
        <v>0.125</v>
      </c>
      <c r="Q26" s="26">
        <f ca="1">+VLOOKUP(B26,[1]RESUMEN!$A$2:$D$40,4,FALSE)</f>
        <v>0.48</v>
      </c>
      <c r="R26" s="39">
        <f t="shared" ca="1" si="9"/>
        <v>0</v>
      </c>
    </row>
    <row r="27" spans="1:18" x14ac:dyDescent="0.3">
      <c r="A27">
        <f t="shared" si="51"/>
        <v>25</v>
      </c>
      <c r="B27" t="str">
        <f t="shared" ca="1" si="11"/>
        <v>Somos Perú</v>
      </c>
      <c r="C27" s="39">
        <f t="shared" ca="1" si="0"/>
        <v>9184.3301488095258</v>
      </c>
      <c r="D27" s="39">
        <f t="shared" ca="1" si="1"/>
        <v>11278.689789166687</v>
      </c>
      <c r="E27" s="40">
        <f t="shared" ca="1" si="52"/>
        <v>3</v>
      </c>
      <c r="F27" s="41">
        <f t="shared" ca="1" si="3"/>
        <v>0.10714285714285714</v>
      </c>
      <c r="G27" s="42">
        <f t="shared" ca="1" si="53"/>
        <v>6.8571428571428568</v>
      </c>
      <c r="H27" s="42">
        <f t="shared" ca="1" si="54"/>
        <v>5.3243972756741531</v>
      </c>
      <c r="I27" s="42">
        <f t="shared" ca="1" si="55"/>
        <v>2</v>
      </c>
      <c r="J27" s="41">
        <f t="shared" ca="1" si="4"/>
        <v>7.1428571428571425E-2</v>
      </c>
      <c r="K27" s="39">
        <f t="shared" ca="1" si="5"/>
        <v>9126.2532291666685</v>
      </c>
      <c r="L27" s="39">
        <f t="shared" ca="1" si="6"/>
        <v>10094.300404731206</v>
      </c>
      <c r="M27" s="40">
        <f t="shared" ca="1" si="7"/>
        <v>28</v>
      </c>
      <c r="N27" s="43">
        <f t="shared" ca="1" si="8"/>
        <v>25</v>
      </c>
      <c r="O27" s="26">
        <f ca="1">+VLOOKUP(B27,[1]RESUMEN!$A$2:$D$40,2,FALSE)</f>
        <v>1</v>
      </c>
      <c r="P27" s="26">
        <f ca="1">+VLOOKUP(B27,[1]RESUMEN!$A$2:$D$40,3,FALSE)</f>
        <v>0</v>
      </c>
      <c r="Q27" s="26">
        <f ca="1">+VLOOKUP(B27,[1]RESUMEN!$A$2:$D$40,4,FALSE)</f>
        <v>1</v>
      </c>
      <c r="R27" s="39">
        <f t="shared" ca="1" si="9"/>
        <v>3</v>
      </c>
    </row>
    <row r="28" spans="1:18" x14ac:dyDescent="0.3">
      <c r="A28">
        <f t="shared" si="51"/>
        <v>26</v>
      </c>
      <c r="B28" t="str">
        <f t="shared" ca="1" si="11"/>
        <v>Frente de la Esperanza</v>
      </c>
      <c r="C28" s="21">
        <f t="shared" ca="1" si="0"/>
        <v>5274.1465517241386</v>
      </c>
      <c r="D28" s="21">
        <f t="shared" ca="1" si="1"/>
        <v>5161.1086188841455</v>
      </c>
      <c r="E28" s="23">
        <f t="shared" ca="1" si="52"/>
        <v>6</v>
      </c>
      <c r="F28" s="26">
        <f t="shared" ca="1" si="3"/>
        <v>0.20689655172413793</v>
      </c>
      <c r="G28" s="22">
        <f t="shared" ca="1" si="53"/>
        <v>6.6206896551724137</v>
      </c>
      <c r="H28" s="22">
        <f t="shared" ca="1" si="54"/>
        <v>5.3812756925117426</v>
      </c>
      <c r="I28" s="22">
        <f t="shared" ca="1" si="55"/>
        <v>0</v>
      </c>
      <c r="J28" s="26">
        <f t="shared" ca="1" si="4"/>
        <v>0</v>
      </c>
      <c r="K28" s="21">
        <f t="shared" ca="1" si="5"/>
        <v>6193.193181818182</v>
      </c>
      <c r="L28" s="21">
        <f t="shared" ca="1" si="6"/>
        <v>4524.0368363389607</v>
      </c>
      <c r="M28" s="23">
        <f t="shared" ca="1" si="7"/>
        <v>29</v>
      </c>
      <c r="N28">
        <f t="shared" ca="1" si="8"/>
        <v>23</v>
      </c>
      <c r="O28" s="26">
        <f ca="1">+VLOOKUP(B28,[1]RESUMEN!$A$2:$D$40,2,FALSE)</f>
        <v>0.34482758620689657</v>
      </c>
      <c r="P28" s="26">
        <f ca="1">+VLOOKUP(B28,[1]RESUMEN!$A$2:$D$40,3,FALSE)</f>
        <v>0.34482758620689657</v>
      </c>
      <c r="Q28" s="26">
        <f ca="1">+VLOOKUP(B28,[1]RESUMEN!$A$2:$D$40,4,FALSE)</f>
        <v>0.31034482758620691</v>
      </c>
      <c r="R28" s="39">
        <f t="shared" ca="1" si="9"/>
        <v>0</v>
      </c>
    </row>
    <row r="29" spans="1:18" x14ac:dyDescent="0.3">
      <c r="A29">
        <f t="shared" si="51"/>
        <v>27</v>
      </c>
      <c r="B29" t="str">
        <f t="shared" ca="1" si="11"/>
        <v>PPP</v>
      </c>
      <c r="C29" s="21">
        <f t="shared" ca="1" si="0"/>
        <v>3655.7755128205131</v>
      </c>
      <c r="D29" s="21">
        <f t="shared" ca="1" si="1"/>
        <v>4488.2364514916781</v>
      </c>
      <c r="E29" s="23">
        <f t="shared" ca="1" si="52"/>
        <v>2</v>
      </c>
      <c r="F29" s="26">
        <f t="shared" ca="1" si="3"/>
        <v>7.6923076923076927E-2</v>
      </c>
      <c r="G29" s="22">
        <f t="shared" ca="1" si="53"/>
        <v>5.5</v>
      </c>
      <c r="H29" s="22">
        <f t="shared" ca="1" si="54"/>
        <v>5.1865209919559758</v>
      </c>
      <c r="I29" s="22">
        <f t="shared" ca="1" si="55"/>
        <v>0</v>
      </c>
      <c r="J29" s="26">
        <f t="shared" ca="1" si="4"/>
        <v>0</v>
      </c>
      <c r="K29" s="21">
        <f t="shared" ca="1" si="5"/>
        <v>2747.6182608695658</v>
      </c>
      <c r="L29" s="21">
        <f t="shared" ca="1" si="6"/>
        <v>2178.6243797945576</v>
      </c>
      <c r="M29" s="23">
        <f t="shared" ca="1" si="7"/>
        <v>26</v>
      </c>
      <c r="N29">
        <f t="shared" ca="1" si="8"/>
        <v>24</v>
      </c>
      <c r="O29" s="26">
        <f ca="1">+VLOOKUP(B29,[1]RESUMEN!$A$2:$D$40,2,FALSE)</f>
        <v>0.15384615384615385</v>
      </c>
      <c r="P29" s="26">
        <f ca="1">+VLOOKUP(B29,[1]RESUMEN!$A$2:$D$40,3,FALSE)</f>
        <v>0.15384615384615385</v>
      </c>
      <c r="Q29" s="26">
        <f ca="1">+VLOOKUP(B29,[1]RESUMEN!$A$2:$D$40,4,FALSE)</f>
        <v>0.13207547169811321</v>
      </c>
      <c r="R29" s="39">
        <f t="shared" ca="1" si="9"/>
        <v>0</v>
      </c>
    </row>
    <row r="30" spans="1:18" x14ac:dyDescent="0.3">
      <c r="A30">
        <f t="shared" si="51"/>
        <v>28</v>
      </c>
      <c r="B30" t="str">
        <f t="shared" ca="1" si="11"/>
        <v>Peru Acción</v>
      </c>
      <c r="C30" s="21">
        <f t="shared" ca="1" si="0"/>
        <v>2006.7844827586205</v>
      </c>
      <c r="D30" s="21">
        <f t="shared" ca="1" si="1"/>
        <v>3854.6396621935719</v>
      </c>
      <c r="E30" s="23">
        <f t="shared" ca="1" si="52"/>
        <v>15</v>
      </c>
      <c r="F30" s="26">
        <f t="shared" ca="1" si="3"/>
        <v>0.51724137931034486</v>
      </c>
      <c r="G30" s="22">
        <f t="shared" ca="1" si="53"/>
        <v>4.7758620689655169</v>
      </c>
      <c r="H30" s="22">
        <f t="shared" ca="1" si="54"/>
        <v>4.7501620402747307</v>
      </c>
      <c r="I30" s="22">
        <f t="shared" ca="1" si="55"/>
        <v>2</v>
      </c>
      <c r="J30" s="26">
        <f t="shared" ca="1" si="4"/>
        <v>6.8965517241379309E-2</v>
      </c>
      <c r="K30" s="21">
        <f t="shared" ca="1" si="5"/>
        <v>3201.0320512820513</v>
      </c>
      <c r="L30" s="21">
        <f t="shared" ca="1" si="6"/>
        <v>3222.4010690677187</v>
      </c>
      <c r="M30" s="23">
        <f t="shared" ca="1" si="7"/>
        <v>29</v>
      </c>
      <c r="N30">
        <f t="shared" ca="1" si="8"/>
        <v>14</v>
      </c>
      <c r="O30" s="26">
        <f ca="1">+VLOOKUP(B30,[1]RESUMEN!$A$2:$D$40,2,FALSE)</f>
        <v>0.17241379310344829</v>
      </c>
      <c r="P30" s="26">
        <f ca="1">+VLOOKUP(B30,[1]RESUMEN!$A$2:$D$40,3,FALSE)</f>
        <v>0.17241379310344829</v>
      </c>
      <c r="Q30" s="26">
        <f ca="1">+VLOOKUP(B30,[1]RESUMEN!$A$2:$D$40,4,FALSE)</f>
        <v>0.17241379310344829</v>
      </c>
      <c r="R30" s="39">
        <f t="shared" ca="1" si="9"/>
        <v>0</v>
      </c>
    </row>
    <row r="31" spans="1:18" x14ac:dyDescent="0.3">
      <c r="A31">
        <f t="shared" si="51"/>
        <v>29</v>
      </c>
      <c r="B31" t="str">
        <f t="shared" ca="1" si="11"/>
        <v>PRIN</v>
      </c>
      <c r="C31" s="21">
        <f t="shared" ca="1" si="0"/>
        <v>4237.8200320512824</v>
      </c>
      <c r="D31" s="21">
        <f t="shared" ca="1" si="1"/>
        <v>7281.7562301858061</v>
      </c>
      <c r="E31" s="23">
        <f t="shared" ca="1" si="52"/>
        <v>6</v>
      </c>
      <c r="F31" s="26">
        <f t="shared" ca="1" si="3"/>
        <v>0.23076923076923078</v>
      </c>
      <c r="G31" s="22">
        <f t="shared" ca="1" si="53"/>
        <v>4.634615384615385</v>
      </c>
      <c r="H31" s="22">
        <f t="shared" ca="1" si="54"/>
        <v>3.7351243414582393</v>
      </c>
      <c r="I31" s="22">
        <f t="shared" ca="1" si="55"/>
        <v>0</v>
      </c>
      <c r="J31" s="26">
        <f t="shared" ca="1" si="4"/>
        <v>0</v>
      </c>
      <c r="K31" s="21">
        <f t="shared" ca="1" si="5"/>
        <v>4132.4554824561401</v>
      </c>
      <c r="L31" s="21">
        <f t="shared" ca="1" si="6"/>
        <v>5084.2462205913107</v>
      </c>
      <c r="M31" s="23">
        <f t="shared" ca="1" si="7"/>
        <v>26</v>
      </c>
      <c r="N31">
        <f t="shared" ca="1" si="8"/>
        <v>20</v>
      </c>
      <c r="O31" s="26">
        <f ca="1">+VLOOKUP(B31,[1]RESUMEN!$A$2:$D$40,2,FALSE)</f>
        <v>0.19230769230769232</v>
      </c>
      <c r="P31" s="26">
        <f ca="1">+VLOOKUP(B31,[1]RESUMEN!$A$2:$D$40,3,FALSE)</f>
        <v>0.19230769230769232</v>
      </c>
      <c r="Q31" s="26">
        <f ca="1">+VLOOKUP(B31,[1]RESUMEN!$A$2:$D$40,4,FALSE)</f>
        <v>0.2</v>
      </c>
      <c r="R31" s="39">
        <f t="shared" ca="1" si="9"/>
        <v>0</v>
      </c>
    </row>
    <row r="32" spans="1:18" x14ac:dyDescent="0.3">
      <c r="A32">
        <f t="shared" si="51"/>
        <v>30</v>
      </c>
      <c r="B32" t="str">
        <f t="shared" ca="1" si="11"/>
        <v>Si Creo</v>
      </c>
      <c r="C32" s="21">
        <f t="shared" ca="1" si="0"/>
        <v>6754.4303571428545</v>
      </c>
      <c r="D32" s="21">
        <f t="shared" ca="1" si="1"/>
        <v>11672.216442303865</v>
      </c>
      <c r="E32" s="23">
        <f t="shared" ca="1" si="52"/>
        <v>4</v>
      </c>
      <c r="F32" s="26">
        <f t="shared" ca="1" si="3"/>
        <v>0.14285714285714285</v>
      </c>
      <c r="G32" s="22">
        <f t="shared" ca="1" si="53"/>
        <v>5.6428571428571432</v>
      </c>
      <c r="H32" s="22">
        <f t="shared" ca="1" si="54"/>
        <v>2.9840847683606282</v>
      </c>
      <c r="I32" s="22">
        <f t="shared" ca="1" si="55"/>
        <v>1</v>
      </c>
      <c r="J32" s="26">
        <f t="shared" ca="1" si="4"/>
        <v>3.5714285714285712E-2</v>
      </c>
      <c r="K32" s="21">
        <f t="shared" ca="1" si="5"/>
        <v>6318.5275362318844</v>
      </c>
      <c r="L32" s="21">
        <f t="shared" ca="1" si="6"/>
        <v>9815.150013433431</v>
      </c>
      <c r="M32" s="23">
        <f t="shared" ca="1" si="7"/>
        <v>28</v>
      </c>
      <c r="N32">
        <f t="shared" ca="1" si="8"/>
        <v>24</v>
      </c>
      <c r="O32" s="26">
        <f ca="1">+VLOOKUP(B32,[1]RESUMEN!$A$2:$D$40,2,FALSE)</f>
        <v>0.17857142857142858</v>
      </c>
      <c r="P32" s="26">
        <f ca="1">+VLOOKUP(B32,[1]RESUMEN!$A$2:$D$40,3,FALSE)</f>
        <v>0.17857142857142858</v>
      </c>
      <c r="Q32" s="26">
        <f ca="1">+VLOOKUP(B32,[1]RESUMEN!$A$2:$D$40,4,FALSE)</f>
        <v>0.21428571428571427</v>
      </c>
      <c r="R32" s="39">
        <f t="shared" ca="1" si="9"/>
        <v>2</v>
      </c>
    </row>
    <row r="33" spans="1:18" x14ac:dyDescent="0.3">
      <c r="A33">
        <f t="shared" si="51"/>
        <v>31</v>
      </c>
      <c r="B33" t="str">
        <f t="shared" ca="1" si="11"/>
        <v>Podemos Perú</v>
      </c>
      <c r="C33" s="21">
        <f t="shared" ca="1" si="0"/>
        <v>39105.942701149419</v>
      </c>
      <c r="D33" s="21">
        <f t="shared" ca="1" si="1"/>
        <v>175592.72558756568</v>
      </c>
      <c r="E33" s="23">
        <f t="shared" ca="1" si="52"/>
        <v>9</v>
      </c>
      <c r="F33" s="26">
        <f t="shared" ca="1" si="3"/>
        <v>0.31034482758620691</v>
      </c>
      <c r="G33" s="22">
        <f t="shared" ca="1" si="53"/>
        <v>4.7241379310344831</v>
      </c>
      <c r="H33" s="22">
        <f t="shared" ca="1" si="54"/>
        <v>4.3003035750326308</v>
      </c>
      <c r="I33" s="22">
        <f t="shared" ca="1" si="55"/>
        <v>3</v>
      </c>
      <c r="J33" s="26">
        <f t="shared" ca="1" si="4"/>
        <v>0.10344827586206896</v>
      </c>
      <c r="K33" s="21">
        <f t="shared" ca="1" si="5"/>
        <v>9165.9559166666677</v>
      </c>
      <c r="L33" s="21">
        <f t="shared" ca="1" si="6"/>
        <v>10401.253476313128</v>
      </c>
      <c r="M33" s="23">
        <f t="shared" ca="1" si="7"/>
        <v>29</v>
      </c>
      <c r="N33">
        <f t="shared" ca="1" si="8"/>
        <v>20</v>
      </c>
      <c r="O33" s="26">
        <f ca="1">+VLOOKUP(B33,[1]RESUMEN!$A$2:$D$40,2,FALSE)</f>
        <v>1</v>
      </c>
      <c r="P33" s="26">
        <f ca="1">+VLOOKUP(B33,[1]RESUMEN!$A$2:$D$40,3,FALSE)</f>
        <v>0</v>
      </c>
      <c r="Q33" s="26">
        <f ca="1">+VLOOKUP(B33,[1]RESUMEN!$A$2:$D$40,4,FALSE)</f>
        <v>1</v>
      </c>
      <c r="R33" s="39">
        <f t="shared" ca="1" si="9"/>
        <v>4</v>
      </c>
    </row>
    <row r="34" spans="1:18" x14ac:dyDescent="0.3">
      <c r="A34">
        <f t="shared" si="51"/>
        <v>32</v>
      </c>
      <c r="B34" t="str">
        <f t="shared" ca="1" si="11"/>
        <v>Progresemos</v>
      </c>
      <c r="C34" s="21">
        <f t="shared" ca="1" si="0"/>
        <v>3332.6196551724142</v>
      </c>
      <c r="D34" s="21">
        <f t="shared" ca="1" si="1"/>
        <v>8810.5719791461979</v>
      </c>
      <c r="E34" s="23">
        <f t="shared" ca="1" si="52"/>
        <v>22</v>
      </c>
      <c r="F34" s="26">
        <f t="shared" ca="1" si="3"/>
        <v>0.75862068965517238</v>
      </c>
      <c r="G34" s="22">
        <f t="shared" ca="1" si="53"/>
        <v>3.4827586206896552</v>
      </c>
      <c r="H34" s="22">
        <f t="shared" ca="1" si="54"/>
        <v>3.6017921100392352</v>
      </c>
      <c r="I34" s="22">
        <f t="shared" ca="1" si="55"/>
        <v>2</v>
      </c>
      <c r="J34" s="26">
        <f t="shared" ca="1" si="4"/>
        <v>6.8965517241379309E-2</v>
      </c>
      <c r="K34" s="21">
        <f t="shared" ca="1" si="5"/>
        <v>10289.161666666667</v>
      </c>
      <c r="L34" s="21">
        <f t="shared" ca="1" si="6"/>
        <v>11328.179484722505</v>
      </c>
      <c r="M34" s="23">
        <f t="shared" ca="1" si="7"/>
        <v>29</v>
      </c>
      <c r="N34">
        <f t="shared" ca="1" si="8"/>
        <v>7</v>
      </c>
      <c r="O34" s="26">
        <f ca="1">+VLOOKUP(B34,[1]RESUMEN!$A$2:$D$40,2,FALSE)</f>
        <v>0.10344827586206896</v>
      </c>
      <c r="P34" s="26">
        <f ca="1">+VLOOKUP(B34,[1]RESUMEN!$A$2:$D$40,3,FALSE)</f>
        <v>0.10344827586206896</v>
      </c>
      <c r="Q34" s="26">
        <f ca="1">+VLOOKUP(B34,[1]RESUMEN!$A$2:$D$40,4,FALSE)</f>
        <v>0.12280701754385964</v>
      </c>
      <c r="R34" s="39">
        <f t="shared" ca="1" si="9"/>
        <v>1</v>
      </c>
    </row>
    <row r="35" spans="1:18" x14ac:dyDescent="0.3">
      <c r="A35">
        <f t="shared" si="51"/>
        <v>33</v>
      </c>
      <c r="B35" t="str">
        <f t="shared" ca="1" si="11"/>
        <v>Un Camino Diferente</v>
      </c>
      <c r="C35" s="21">
        <f t="shared" ca="1" si="0"/>
        <v>301.32402777777776</v>
      </c>
      <c r="D35" s="21">
        <f t="shared" ca="1" si="1"/>
        <v>1162.1498604334397</v>
      </c>
      <c r="E35" s="23">
        <f t="shared" ca="1" si="52"/>
        <v>26</v>
      </c>
      <c r="F35" s="26">
        <f t="shared" ca="1" si="3"/>
        <v>0.8666666666666667</v>
      </c>
      <c r="G35" s="22">
        <f t="shared" ca="1" si="53"/>
        <v>3.2166666666666668</v>
      </c>
      <c r="H35" s="22">
        <f t="shared" ca="1" si="54"/>
        <v>2.7470464808255595</v>
      </c>
      <c r="I35" s="22">
        <f t="shared" ca="1" si="55"/>
        <v>0</v>
      </c>
      <c r="J35" s="26">
        <f t="shared" ca="1" si="4"/>
        <v>0</v>
      </c>
      <c r="K35" s="21">
        <f t="shared" ca="1" si="5"/>
        <v>1179.9069444444442</v>
      </c>
      <c r="L35" s="21">
        <f t="shared" ca="1" si="6"/>
        <v>1931.9058651886305</v>
      </c>
      <c r="M35" s="23">
        <f t="shared" ca="1" si="7"/>
        <v>30</v>
      </c>
      <c r="N35">
        <f t="shared" ca="1" si="8"/>
        <v>4</v>
      </c>
      <c r="O35" s="26">
        <f ca="1">+VLOOKUP(B35,[1]RESUMEN!$A$2:$D$40,2,FALSE)</f>
        <v>0.3</v>
      </c>
      <c r="P35" s="26">
        <f ca="1">+VLOOKUP(B35,[1]RESUMEN!$A$2:$D$40,3,FALSE)</f>
        <v>0.3</v>
      </c>
      <c r="Q35" s="26">
        <f ca="1">+VLOOKUP(B35,[1]RESUMEN!$A$2:$D$40,4,FALSE)</f>
        <v>0.25</v>
      </c>
      <c r="R35" s="39">
        <f t="shared" ca="1" si="9"/>
        <v>0</v>
      </c>
    </row>
    <row r="36" spans="1:18" x14ac:dyDescent="0.3">
      <c r="A36">
        <f t="shared" si="51"/>
        <v>34</v>
      </c>
      <c r="B36" t="str">
        <f t="shared" ca="1" si="11"/>
        <v>Unidad Nacional</v>
      </c>
      <c r="C36" s="21">
        <f t="shared" ca="1" si="0"/>
        <v>9451.9023888888896</v>
      </c>
      <c r="D36" s="21">
        <f t="shared" ca="1" si="1"/>
        <v>13072.385660374532</v>
      </c>
      <c r="E36" s="23">
        <f t="shared" ca="1" si="52"/>
        <v>5</v>
      </c>
      <c r="F36" s="26">
        <f t="shared" ca="1" si="3"/>
        <v>0.16666666666666666</v>
      </c>
      <c r="G36" s="22">
        <f t="shared" ca="1" si="53"/>
        <v>7</v>
      </c>
      <c r="H36" s="22">
        <f t="shared" ca="1" si="54"/>
        <v>5.2980152432058345</v>
      </c>
      <c r="I36" s="22">
        <f t="shared" ca="1" si="55"/>
        <v>1</v>
      </c>
      <c r="J36" s="26">
        <f t="shared" ca="1" si="4"/>
        <v>3.3333333333333333E-2</v>
      </c>
      <c r="K36" s="21">
        <f t="shared" ca="1" si="5"/>
        <v>9506.6952083333326</v>
      </c>
      <c r="L36" s="21">
        <f t="shared" ca="1" si="6"/>
        <v>10210.971838267498</v>
      </c>
      <c r="M36" s="23">
        <f t="shared" ca="1" si="7"/>
        <v>30</v>
      </c>
      <c r="N36">
        <f t="shared" ca="1" si="8"/>
        <v>25</v>
      </c>
      <c r="O36" s="26">
        <f ca="1">+VLOOKUP(B36,[1]RESUMEN!$A$2:$D$40,2,FALSE)</f>
        <v>0.36666666666666664</v>
      </c>
      <c r="P36" s="26">
        <f ca="1">+VLOOKUP(B36,[1]RESUMEN!$A$2:$D$40,3,FALSE)</f>
        <v>0.36666666666666664</v>
      </c>
      <c r="Q36" s="26">
        <f ca="1">+VLOOKUP(B36,[1]RESUMEN!$A$2:$D$40,4,FALSE)</f>
        <v>0.33333333333333331</v>
      </c>
      <c r="R36" s="39">
        <f t="shared" ca="1" si="9"/>
        <v>1</v>
      </c>
    </row>
    <row r="37" spans="1:18" x14ac:dyDescent="0.3">
      <c r="A37">
        <f t="shared" si="51"/>
        <v>35</v>
      </c>
      <c r="B37" t="str">
        <f t="shared" ref="B37" ca="1" si="56">INDIRECT(ADDRESS(34*(A37-1)+3,3,,,"Crudo"))</f>
        <v>Peru Libre</v>
      </c>
      <c r="C37" s="21">
        <f t="shared" ref="C37" ca="1" si="57">INDIRECT(ADDRESS(34*(A37-1)+33,16,,,"Crudo"))</f>
        <v>12131.860972222221</v>
      </c>
      <c r="D37" s="21">
        <f t="shared" ref="D37" ca="1" si="58">INDIRECT(ADDRESS(34*(A37-1)+34,16,,,"Crudo"))</f>
        <v>12582.361409083285</v>
      </c>
      <c r="E37" s="23">
        <f t="shared" ref="E37" ca="1" si="59">INDIRECT(ADDRESS(34*(A37-1)+35,12,,,"Crudo"))</f>
        <v>1</v>
      </c>
      <c r="F37" s="26">
        <f t="shared" ref="F37" ca="1" si="60">+E37/M37</f>
        <v>3.3333333333333333E-2</v>
      </c>
      <c r="G37" s="22">
        <f t="shared" ref="G37" ca="1" si="61">INDIRECT(ADDRESS(34*(A37-1)+33,13,,,"Crudo"))</f>
        <v>6.9</v>
      </c>
      <c r="H37" s="22">
        <f t="shared" ref="H37" ca="1" si="62">INDIRECT(ADDRESS(34*(A37-1)+34,13,,,"Crudo"))</f>
        <v>5.3197744313081543</v>
      </c>
      <c r="I37" s="22">
        <f t="shared" ref="I37" ca="1" si="63">INDIRECT(ADDRESS(34*(A37-1)+33,14,,,"Crudo"))</f>
        <v>3</v>
      </c>
      <c r="J37" s="26">
        <f t="shared" ref="J37" ca="1" si="64">+I37/M37</f>
        <v>0.1</v>
      </c>
      <c r="K37" s="21">
        <f t="shared" ref="K37" ca="1" si="65">INDIRECT(ADDRESS(34*(A37-1)+33,17,,,"Crudo"))</f>
        <v>11726.846279761903</v>
      </c>
      <c r="L37" s="21">
        <f t="shared" ref="L37" ca="1" si="66">INDIRECT(ADDRESS(34*(A37-1)+34,17,,,"Crudo"))</f>
        <v>12000.67295421742</v>
      </c>
      <c r="M37" s="23">
        <f t="shared" ref="M37" ca="1" si="67">INDIRECT(ADDRESS(34*(A37-1)+35,13,,,"Crudo"))</f>
        <v>30</v>
      </c>
      <c r="N37">
        <f t="shared" ref="N37" ca="1" si="68">+M37-E37</f>
        <v>29</v>
      </c>
      <c r="O37" s="26">
        <f ca="1">+VLOOKUP(B37,[1]RESUMEN!$A$2:$D$40,2,FALSE)</f>
        <v>1</v>
      </c>
      <c r="P37" s="26">
        <f ca="1">+VLOOKUP(B37,[1]RESUMEN!$A$2:$D$40,3,FALSE)</f>
        <v>0</v>
      </c>
      <c r="Q37" s="26">
        <f ca="1">+VLOOKUP(B37,[1]RESUMEN!$A$2:$D$40,4,FALSE)</f>
        <v>1</v>
      </c>
      <c r="R37" s="39">
        <f t="shared" ca="1" si="9"/>
        <v>6</v>
      </c>
    </row>
    <row r="38" spans="1:18" x14ac:dyDescent="0.3">
      <c r="A38">
        <f t="shared" si="51"/>
        <v>36</v>
      </c>
      <c r="B38" t="s">
        <v>500</v>
      </c>
      <c r="C38" s="21"/>
      <c r="D38" s="21"/>
      <c r="E38" s="23"/>
      <c r="F38" s="26"/>
      <c r="G38" s="22"/>
      <c r="H38" s="22"/>
      <c r="I38" s="22"/>
      <c r="J38" s="26"/>
      <c r="K38" s="21"/>
      <c r="L38" s="21"/>
      <c r="M38" s="23"/>
    </row>
    <row r="39" spans="1:18" x14ac:dyDescent="0.3">
      <c r="A39">
        <f t="shared" si="51"/>
        <v>37</v>
      </c>
      <c r="B39" t="s">
        <v>455</v>
      </c>
      <c r="C39" s="21"/>
      <c r="D39" s="21"/>
      <c r="E39" s="23"/>
      <c r="F39" s="26"/>
      <c r="G39" s="22"/>
      <c r="H39" s="22"/>
      <c r="I39" s="22"/>
      <c r="J39" s="26"/>
      <c r="K39" s="21"/>
      <c r="L39" s="21"/>
      <c r="M39" s="23"/>
    </row>
    <row r="40" spans="1:18" x14ac:dyDescent="0.3">
      <c r="A40">
        <f t="shared" si="51"/>
        <v>38</v>
      </c>
      <c r="B40" t="s">
        <v>445</v>
      </c>
      <c r="C40" s="21"/>
      <c r="D40" s="21"/>
      <c r="E40" s="23"/>
      <c r="F40" s="26"/>
      <c r="G40" s="22"/>
      <c r="H40" s="22"/>
      <c r="I40" s="22"/>
      <c r="J40" s="26"/>
      <c r="K40" s="21"/>
      <c r="L40" s="21"/>
      <c r="M40" s="23"/>
    </row>
  </sheetData>
  <mergeCells count="4">
    <mergeCell ref="C1:D1"/>
    <mergeCell ref="G1:H1"/>
    <mergeCell ref="I1:J1"/>
    <mergeCell ref="K1:L1"/>
  </mergeCells>
  <conditionalFormatting sqref="G3:G10 G12:G14 G16:G36 G38:G39">
    <cfRule type="cellIs" dxfId="67" priority="50" operator="lessThan">
      <formula>5</formula>
    </cfRule>
  </conditionalFormatting>
  <conditionalFormatting sqref="J3:J10 J12:J14 J16:J36 J38:J39">
    <cfRule type="cellIs" dxfId="66" priority="48" operator="greaterThanOrEqual">
      <formula>0.1</formula>
    </cfRule>
  </conditionalFormatting>
  <conditionalFormatting sqref="F3:F10 F12:F14 F16:F36 F38:F39">
    <cfRule type="cellIs" dxfId="65" priority="47" operator="greaterThanOrEqual">
      <formula>0.15</formula>
    </cfRule>
  </conditionalFormatting>
  <conditionalFormatting sqref="K3:K10 K12:K14 K16:K36 K38:K39">
    <cfRule type="cellIs" dxfId="64" priority="46" operator="lessThanOrEqual">
      <formula>$N$1</formula>
    </cfRule>
  </conditionalFormatting>
  <conditionalFormatting sqref="C3:C10 C12:C14 C16:C36 C38:C39">
    <cfRule type="cellIs" dxfId="63" priority="45" operator="lessThanOrEqual">
      <formula>$N$1</formula>
    </cfRule>
  </conditionalFormatting>
  <conditionalFormatting sqref="G11">
    <cfRule type="cellIs" dxfId="62" priority="44" operator="lessThan">
      <formula>5</formula>
    </cfRule>
  </conditionalFormatting>
  <conditionalFormatting sqref="J11">
    <cfRule type="cellIs" dxfId="61" priority="43" operator="greaterThanOrEqual">
      <formula>0.1</formula>
    </cfRule>
  </conditionalFormatting>
  <conditionalFormatting sqref="F11">
    <cfRule type="cellIs" dxfId="60" priority="42" operator="greaterThanOrEqual">
      <formula>0.15</formula>
    </cfRule>
  </conditionalFormatting>
  <conditionalFormatting sqref="K11">
    <cfRule type="cellIs" dxfId="59" priority="41" operator="lessThanOrEqual">
      <formula>$N$1</formula>
    </cfRule>
  </conditionalFormatting>
  <conditionalFormatting sqref="C11">
    <cfRule type="cellIs" dxfId="58" priority="40" operator="lessThanOrEqual">
      <formula>$N$1</formula>
    </cfRule>
  </conditionalFormatting>
  <conditionalFormatting sqref="G15">
    <cfRule type="cellIs" dxfId="57" priority="39" operator="lessThan">
      <formula>5</formula>
    </cfRule>
  </conditionalFormatting>
  <conditionalFormatting sqref="J15">
    <cfRule type="cellIs" dxfId="56" priority="38" operator="greaterThanOrEqual">
      <formula>0.1</formula>
    </cfRule>
  </conditionalFormatting>
  <conditionalFormatting sqref="F15">
    <cfRule type="cellIs" dxfId="55" priority="37" operator="greaterThanOrEqual">
      <formula>0.15</formula>
    </cfRule>
  </conditionalFormatting>
  <conditionalFormatting sqref="K15">
    <cfRule type="cellIs" dxfId="54" priority="36" operator="lessThanOrEqual">
      <formula>$N$1</formula>
    </cfRule>
  </conditionalFormatting>
  <conditionalFormatting sqref="C15">
    <cfRule type="cellIs" dxfId="53" priority="35" operator="lessThanOrEqual">
      <formula>$N$1</formula>
    </cfRule>
  </conditionalFormatting>
  <conditionalFormatting sqref="N3:N36 N38:N39">
    <cfRule type="cellIs" dxfId="52" priority="19" operator="lessThan">
      <formula>25</formula>
    </cfRule>
  </conditionalFormatting>
  <conditionalFormatting sqref="G40">
    <cfRule type="cellIs" dxfId="51" priority="18" operator="lessThan">
      <formula>5</formula>
    </cfRule>
  </conditionalFormatting>
  <conditionalFormatting sqref="J40">
    <cfRule type="cellIs" dxfId="50" priority="17" operator="greaterThanOrEqual">
      <formula>0.1</formula>
    </cfRule>
  </conditionalFormatting>
  <conditionalFormatting sqref="F40">
    <cfRule type="cellIs" dxfId="49" priority="16" operator="greaterThanOrEqual">
      <formula>0.15</formula>
    </cfRule>
  </conditionalFormatting>
  <conditionalFormatting sqref="K40">
    <cfRule type="cellIs" dxfId="48" priority="15" operator="lessThanOrEqual">
      <formula>$N$1</formula>
    </cfRule>
  </conditionalFormatting>
  <conditionalFormatting sqref="C40">
    <cfRule type="cellIs" dxfId="47" priority="14" operator="lessThanOrEqual">
      <formula>$N$1</formula>
    </cfRule>
  </conditionalFormatting>
  <conditionalFormatting sqref="N40">
    <cfRule type="cellIs" dxfId="46" priority="13" operator="lessThan">
      <formula>25</formula>
    </cfRule>
  </conditionalFormatting>
  <conditionalFormatting sqref="G39">
    <cfRule type="cellIs" dxfId="45" priority="12" operator="lessThan">
      <formula>5</formula>
    </cfRule>
  </conditionalFormatting>
  <conditionalFormatting sqref="J39">
    <cfRule type="cellIs" dxfId="44" priority="11" operator="greaterThanOrEqual">
      <formula>0.1</formula>
    </cfRule>
  </conditionalFormatting>
  <conditionalFormatting sqref="F39">
    <cfRule type="cellIs" dxfId="43" priority="10" operator="greaterThanOrEqual">
      <formula>0.15</formula>
    </cfRule>
  </conditionalFormatting>
  <conditionalFormatting sqref="K39">
    <cfRule type="cellIs" dxfId="42" priority="9" operator="lessThanOrEqual">
      <formula>$N$1</formula>
    </cfRule>
  </conditionalFormatting>
  <conditionalFormatting sqref="C39">
    <cfRule type="cellIs" dxfId="41" priority="8" operator="lessThanOrEqual">
      <formula>$N$1</formula>
    </cfRule>
  </conditionalFormatting>
  <conditionalFormatting sqref="N39">
    <cfRule type="cellIs" dxfId="40" priority="7" operator="lessThan">
      <formula>25</formula>
    </cfRule>
  </conditionalFormatting>
  <conditionalFormatting sqref="G37">
    <cfRule type="cellIs" dxfId="39" priority="6" operator="lessThan">
      <formula>5</formula>
    </cfRule>
  </conditionalFormatting>
  <conditionalFormatting sqref="J37">
    <cfRule type="cellIs" dxfId="38" priority="5" operator="greaterThanOrEqual">
      <formula>0.1</formula>
    </cfRule>
  </conditionalFormatting>
  <conditionalFormatting sqref="F37">
    <cfRule type="cellIs" dxfId="37" priority="4" operator="greaterThanOrEqual">
      <formula>0.15</formula>
    </cfRule>
  </conditionalFormatting>
  <conditionalFormatting sqref="K37">
    <cfRule type="cellIs" dxfId="36" priority="3" operator="lessThanOrEqual">
      <formula>$N$1</formula>
    </cfRule>
  </conditionalFormatting>
  <conditionalFormatting sqref="C37">
    <cfRule type="cellIs" dxfId="35" priority="2" operator="lessThanOrEqual">
      <formula>$N$1</formula>
    </cfRule>
  </conditionalFormatting>
  <conditionalFormatting sqref="N37">
    <cfRule type="cellIs" dxfId="34" priority="1" operator="lessThan">
      <formula>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7C21-C8FC-4AD7-AB56-3F9763178E4F}">
  <dimension ref="A1:AB1191"/>
  <sheetViews>
    <sheetView topLeftCell="A293" workbookViewId="0">
      <selection activeCell="R312" sqref="R312"/>
    </sheetView>
  </sheetViews>
  <sheetFormatPr baseColWidth="10" defaultRowHeight="14.4" x14ac:dyDescent="0.3"/>
  <cols>
    <col min="2" max="2" width="13.6640625" customWidth="1"/>
    <col min="3" max="3" width="20.5546875" bestFit="1" customWidth="1"/>
    <col min="4" max="10" width="4.33203125" style="45" customWidth="1"/>
    <col min="11" max="11" width="4.33203125" customWidth="1"/>
    <col min="12" max="12" width="14.77734375" bestFit="1" customWidth="1"/>
    <col min="15" max="15" width="12.77734375" bestFit="1" customWidth="1"/>
    <col min="16" max="16" width="14.77734375" bestFit="1" customWidth="1"/>
    <col min="17" max="17" width="12.77734375" bestFit="1" customWidth="1"/>
    <col min="18" max="18" width="17.33203125" bestFit="1" customWidth="1"/>
    <col min="19" max="20" width="13.77734375" customWidth="1"/>
    <col min="21" max="21" width="18.109375" bestFit="1" customWidth="1"/>
  </cols>
  <sheetData>
    <row r="1" spans="1:18" x14ac:dyDescent="0.3">
      <c r="D1" s="1">
        <f>+COUNTIF(D3:D1191,"X")</f>
        <v>957</v>
      </c>
      <c r="E1" s="1">
        <f t="shared" ref="E1:H1" si="0">+COUNTIF(E3:E1191,"X")</f>
        <v>939</v>
      </c>
      <c r="F1" s="1">
        <f t="shared" si="0"/>
        <v>146</v>
      </c>
      <c r="G1" s="1">
        <f t="shared" si="0"/>
        <v>66</v>
      </c>
      <c r="H1" s="1">
        <f t="shared" si="0"/>
        <v>547</v>
      </c>
      <c r="I1" s="1">
        <f>+COUNTIF(I3:I1191,"X")</f>
        <v>234</v>
      </c>
      <c r="J1" s="1">
        <f>+COUNTIF(J3:J1191,"X")</f>
        <v>0</v>
      </c>
      <c r="K1" s="15">
        <f>+COUNTIF(K3:K1191,"X")</f>
        <v>56</v>
      </c>
    </row>
    <row r="2" spans="1:18" ht="53.4" x14ac:dyDescent="0.3">
      <c r="A2" s="1" t="s">
        <v>0</v>
      </c>
      <c r="B2" s="2" t="s">
        <v>1</v>
      </c>
      <c r="C2" s="3" t="s">
        <v>32</v>
      </c>
      <c r="D2" s="51" t="s">
        <v>33</v>
      </c>
      <c r="E2" s="51" t="s">
        <v>34</v>
      </c>
      <c r="F2" s="51" t="s">
        <v>35</v>
      </c>
      <c r="G2" s="51" t="s">
        <v>36</v>
      </c>
      <c r="H2" s="51" t="s">
        <v>37</v>
      </c>
      <c r="I2" s="51" t="s">
        <v>38</v>
      </c>
      <c r="J2" s="51" t="s">
        <v>39</v>
      </c>
      <c r="K2" s="6" t="s">
        <v>41</v>
      </c>
      <c r="L2" s="11" t="s">
        <v>42</v>
      </c>
      <c r="M2" s="11" t="s">
        <v>44</v>
      </c>
      <c r="N2" s="11" t="s">
        <v>41</v>
      </c>
      <c r="O2" s="11" t="s">
        <v>42</v>
      </c>
      <c r="P2" s="11" t="s">
        <v>42</v>
      </c>
      <c r="Q2" s="11" t="s">
        <v>42</v>
      </c>
    </row>
    <row r="3" spans="1:18" x14ac:dyDescent="0.3">
      <c r="A3" s="1">
        <v>1</v>
      </c>
      <c r="B3" s="2" t="s">
        <v>2</v>
      </c>
      <c r="C3" s="3" t="s">
        <v>3</v>
      </c>
      <c r="D3" s="1" t="s">
        <v>40</v>
      </c>
      <c r="E3" s="1" t="s">
        <v>40</v>
      </c>
      <c r="F3" s="1"/>
      <c r="G3" s="1"/>
      <c r="H3" s="1" t="s">
        <v>40</v>
      </c>
      <c r="I3" s="1" t="s">
        <v>40</v>
      </c>
      <c r="J3" s="1" t="s">
        <v>896</v>
      </c>
      <c r="K3" s="1"/>
      <c r="L3" s="12">
        <v>350000</v>
      </c>
      <c r="M3" s="15">
        <f>+IF(D3="X",1,0)+IF(E3="X",1,0)+IF(F3="X",2,0)+IF(G3="X",2,0)+IF(H3="X",3,IF(H3="Y",1.5,0))+IF(I3="X",5,IF(I3="Y",2.5,0))+IF(J3="X1",10,IF(J3="X2",5,IF(J3="X3",3,0)))</f>
        <v>20</v>
      </c>
      <c r="N3" s="15">
        <f t="shared" ref="N3:N8" si="1">+IF(K3="X",1,0)</f>
        <v>0</v>
      </c>
      <c r="O3" s="12">
        <v>111742</v>
      </c>
      <c r="P3" s="12">
        <f t="shared" ref="P3:P10" si="2">+L3/12</f>
        <v>29166.666666666668</v>
      </c>
      <c r="Q3" s="12">
        <f>+O3/12</f>
        <v>9311.8333333333339</v>
      </c>
    </row>
    <row r="4" spans="1:18" x14ac:dyDescent="0.3">
      <c r="A4" s="1">
        <f>+A3+1</f>
        <v>2</v>
      </c>
      <c r="B4" s="4" t="s">
        <v>4</v>
      </c>
      <c r="C4" s="3" t="s">
        <v>3</v>
      </c>
      <c r="D4" s="1" t="s">
        <v>40</v>
      </c>
      <c r="E4" s="1" t="s">
        <v>40</v>
      </c>
      <c r="F4" s="1"/>
      <c r="G4" s="1"/>
      <c r="H4" s="1" t="s">
        <v>40</v>
      </c>
      <c r="I4" s="1"/>
      <c r="J4" s="1"/>
      <c r="K4" s="1"/>
      <c r="L4" s="12">
        <v>111742</v>
      </c>
      <c r="M4" s="15">
        <f t="shared" ref="M4:M32" si="3">+IF(D4="X",1,0)+IF(E4="X",1,0)+IF(F4="X",2,0)+IF(G4="X",2,0)+IF(H4="X",3,IF(H4="Y",1.5,0))+IF(I4="X",5,IF(I4="Y",2.5,0))+IF(J4="X1",10,IF(J4="X2",5,IF(J4="X3",3,0)))</f>
        <v>5</v>
      </c>
      <c r="N4" s="15">
        <f t="shared" si="1"/>
        <v>0</v>
      </c>
      <c r="O4" s="12">
        <v>111742</v>
      </c>
      <c r="P4" s="12">
        <f t="shared" si="2"/>
        <v>9311.8333333333339</v>
      </c>
      <c r="Q4" s="12">
        <f>+O4/12</f>
        <v>9311.8333333333339</v>
      </c>
    </row>
    <row r="5" spans="1:18" x14ac:dyDescent="0.3">
      <c r="A5" s="1">
        <f t="shared" ref="A5:A32" si="4">+A4+1</f>
        <v>3</v>
      </c>
      <c r="B5" s="2" t="s">
        <v>5</v>
      </c>
      <c r="C5" s="3" t="s">
        <v>3</v>
      </c>
      <c r="D5" s="1" t="s">
        <v>40</v>
      </c>
      <c r="E5" s="1" t="s">
        <v>40</v>
      </c>
      <c r="F5" s="1"/>
      <c r="G5" s="1"/>
      <c r="H5" s="1" t="s">
        <v>40</v>
      </c>
      <c r="I5" s="1"/>
      <c r="J5" s="1"/>
      <c r="K5" s="1"/>
      <c r="L5" s="12">
        <v>147096</v>
      </c>
      <c r="M5" s="15">
        <f t="shared" si="3"/>
        <v>5</v>
      </c>
      <c r="N5" s="15">
        <f t="shared" si="1"/>
        <v>0</v>
      </c>
      <c r="O5" s="12">
        <v>147096</v>
      </c>
      <c r="P5" s="12">
        <f t="shared" si="2"/>
        <v>12258</v>
      </c>
      <c r="Q5" s="12">
        <f t="shared" ref="Q5:Q8" si="5">+O5/12</f>
        <v>12258</v>
      </c>
    </row>
    <row r="6" spans="1:18" x14ac:dyDescent="0.3">
      <c r="A6" s="1">
        <f t="shared" si="4"/>
        <v>4</v>
      </c>
      <c r="B6" s="4" t="s">
        <v>6</v>
      </c>
      <c r="C6" s="3" t="s">
        <v>3</v>
      </c>
      <c r="D6" s="1" t="s">
        <v>40</v>
      </c>
      <c r="E6" s="1" t="s">
        <v>40</v>
      </c>
      <c r="F6" s="1"/>
      <c r="G6" s="1"/>
      <c r="H6" s="1" t="s">
        <v>40</v>
      </c>
      <c r="I6" s="1" t="s">
        <v>40</v>
      </c>
      <c r="J6" s="1"/>
      <c r="K6" s="1"/>
      <c r="L6" s="12">
        <v>110787</v>
      </c>
      <c r="M6" s="15">
        <f t="shared" si="3"/>
        <v>10</v>
      </c>
      <c r="N6" s="15">
        <f t="shared" si="1"/>
        <v>0</v>
      </c>
      <c r="O6" s="12">
        <v>110787</v>
      </c>
      <c r="P6" s="12">
        <f t="shared" si="2"/>
        <v>9232.25</v>
      </c>
      <c r="Q6" s="12">
        <f t="shared" si="5"/>
        <v>9232.25</v>
      </c>
    </row>
    <row r="7" spans="1:18" x14ac:dyDescent="0.3">
      <c r="A7" s="1">
        <f t="shared" si="4"/>
        <v>5</v>
      </c>
      <c r="B7" s="4" t="s">
        <v>7</v>
      </c>
      <c r="C7" s="3" t="s">
        <v>3</v>
      </c>
      <c r="D7" s="1" t="s">
        <v>40</v>
      </c>
      <c r="E7" s="1" t="s">
        <v>40</v>
      </c>
      <c r="F7" s="1"/>
      <c r="G7" s="1"/>
      <c r="H7" s="1" t="s">
        <v>40</v>
      </c>
      <c r="I7" s="1" t="s">
        <v>40</v>
      </c>
      <c r="J7" s="1"/>
      <c r="K7" s="1"/>
      <c r="L7" s="12">
        <v>217445</v>
      </c>
      <c r="M7" s="15">
        <f t="shared" si="3"/>
        <v>10</v>
      </c>
      <c r="N7" s="15">
        <f t="shared" si="1"/>
        <v>0</v>
      </c>
      <c r="O7" s="12">
        <v>217445</v>
      </c>
      <c r="P7" s="12">
        <f t="shared" si="2"/>
        <v>18120.416666666668</v>
      </c>
      <c r="Q7" s="12">
        <f t="shared" si="5"/>
        <v>18120.416666666668</v>
      </c>
    </row>
    <row r="8" spans="1:18" x14ac:dyDescent="0.3">
      <c r="A8" s="1">
        <f t="shared" si="4"/>
        <v>6</v>
      </c>
      <c r="B8" s="4" t="s">
        <v>8</v>
      </c>
      <c r="C8" s="3" t="s">
        <v>3</v>
      </c>
      <c r="D8" s="1" t="s">
        <v>40</v>
      </c>
      <c r="E8" s="1" t="s">
        <v>40</v>
      </c>
      <c r="F8" s="1"/>
      <c r="G8" s="1"/>
      <c r="H8" s="1" t="s">
        <v>40</v>
      </c>
      <c r="I8" s="1"/>
      <c r="J8" s="1"/>
      <c r="K8" s="1"/>
      <c r="L8" s="12">
        <v>62558</v>
      </c>
      <c r="M8" s="15">
        <f t="shared" si="3"/>
        <v>5</v>
      </c>
      <c r="N8" s="15">
        <f t="shared" si="1"/>
        <v>0</v>
      </c>
      <c r="O8" s="12">
        <v>62558</v>
      </c>
      <c r="P8" s="12">
        <f t="shared" si="2"/>
        <v>5213.166666666667</v>
      </c>
      <c r="Q8" s="12">
        <f t="shared" si="5"/>
        <v>5213.166666666667</v>
      </c>
    </row>
    <row r="9" spans="1:18" x14ac:dyDescent="0.3">
      <c r="A9" s="1">
        <f t="shared" si="4"/>
        <v>7</v>
      </c>
      <c r="B9" s="8" t="s">
        <v>9</v>
      </c>
      <c r="C9" s="9"/>
      <c r="D9" s="7"/>
      <c r="E9" s="7"/>
      <c r="F9" s="7"/>
      <c r="G9" s="7"/>
      <c r="H9" s="7"/>
      <c r="I9" s="7"/>
      <c r="J9" s="7"/>
      <c r="K9" s="7"/>
      <c r="L9" s="13"/>
      <c r="M9" s="13"/>
      <c r="N9" s="13"/>
      <c r="O9" s="13"/>
      <c r="P9" s="13"/>
      <c r="Q9" s="13"/>
    </row>
    <row r="10" spans="1:18" x14ac:dyDescent="0.3">
      <c r="A10" s="1">
        <f t="shared" si="4"/>
        <v>8</v>
      </c>
      <c r="B10" s="4" t="s">
        <v>10</v>
      </c>
      <c r="C10" s="3" t="s">
        <v>3</v>
      </c>
      <c r="D10" s="1" t="s">
        <v>40</v>
      </c>
      <c r="E10" s="1" t="s">
        <v>40</v>
      </c>
      <c r="F10" s="1"/>
      <c r="G10" s="1"/>
      <c r="H10" s="1" t="s">
        <v>40</v>
      </c>
      <c r="I10" s="1"/>
      <c r="J10" s="1"/>
      <c r="K10" s="1"/>
      <c r="L10" s="12">
        <v>394363</v>
      </c>
      <c r="M10" s="15">
        <f t="shared" si="3"/>
        <v>5</v>
      </c>
      <c r="N10" s="15">
        <f>+IF(K10="X",1,0)</f>
        <v>0</v>
      </c>
      <c r="O10" s="20"/>
      <c r="P10" s="12">
        <f t="shared" si="2"/>
        <v>32863.583333333336</v>
      </c>
      <c r="Q10" s="20"/>
      <c r="R10" t="s">
        <v>140</v>
      </c>
    </row>
    <row r="11" spans="1:18" x14ac:dyDescent="0.3">
      <c r="A11" s="1">
        <f t="shared" si="4"/>
        <v>9</v>
      </c>
      <c r="B11" s="10"/>
      <c r="C11" s="9"/>
      <c r="D11" s="7"/>
      <c r="E11" s="7"/>
      <c r="F11" s="7"/>
      <c r="G11" s="7"/>
      <c r="H11" s="7"/>
      <c r="I11" s="7"/>
      <c r="J11" s="7"/>
      <c r="K11" s="7"/>
      <c r="L11" s="13"/>
      <c r="M11" s="13"/>
      <c r="N11" s="13"/>
      <c r="O11" s="13"/>
      <c r="P11" s="13"/>
      <c r="Q11" s="13"/>
    </row>
    <row r="12" spans="1:18" x14ac:dyDescent="0.3">
      <c r="A12" s="1">
        <f t="shared" si="4"/>
        <v>10</v>
      </c>
      <c r="B12" s="2" t="s">
        <v>11</v>
      </c>
      <c r="C12" s="3" t="s">
        <v>3</v>
      </c>
      <c r="D12" s="1" t="s">
        <v>40</v>
      </c>
      <c r="E12" s="1" t="s">
        <v>40</v>
      </c>
      <c r="F12" s="1"/>
      <c r="G12" s="1"/>
      <c r="H12" s="1" t="s">
        <v>40</v>
      </c>
      <c r="I12" s="1" t="s">
        <v>40</v>
      </c>
      <c r="J12" s="1"/>
      <c r="K12" s="1"/>
      <c r="L12" s="12">
        <v>90412.49</v>
      </c>
      <c r="M12" s="15">
        <f t="shared" si="3"/>
        <v>10</v>
      </c>
      <c r="N12" s="15">
        <f t="shared" ref="N12:N32" si="6">+IF(K12="X",1,0)</f>
        <v>0</v>
      </c>
      <c r="O12" s="12">
        <v>90412.49</v>
      </c>
      <c r="P12" s="12">
        <f t="shared" ref="P12:P32" si="7">+L12/12</f>
        <v>7534.3741666666674</v>
      </c>
      <c r="Q12" s="12">
        <f t="shared" ref="Q12:Q32" si="8">+O12/12</f>
        <v>7534.3741666666674</v>
      </c>
    </row>
    <row r="13" spans="1:18" x14ac:dyDescent="0.3">
      <c r="A13" s="1">
        <f t="shared" si="4"/>
        <v>11</v>
      </c>
      <c r="B13" s="2" t="s">
        <v>898</v>
      </c>
      <c r="C13" s="3" t="s">
        <v>3</v>
      </c>
      <c r="D13" s="1" t="s">
        <v>40</v>
      </c>
      <c r="E13" s="1" t="s">
        <v>40</v>
      </c>
      <c r="F13" s="1"/>
      <c r="G13" s="1"/>
      <c r="H13" s="1" t="s">
        <v>40</v>
      </c>
      <c r="I13" s="1" t="s">
        <v>40</v>
      </c>
      <c r="J13" s="1" t="s">
        <v>897</v>
      </c>
      <c r="K13" s="1"/>
      <c r="L13" s="14">
        <v>228837</v>
      </c>
      <c r="M13" s="15">
        <f t="shared" si="3"/>
        <v>15</v>
      </c>
      <c r="N13" s="15">
        <f t="shared" si="6"/>
        <v>0</v>
      </c>
      <c r="O13" s="14">
        <v>228837</v>
      </c>
      <c r="P13" s="12">
        <f t="shared" si="7"/>
        <v>19069.75</v>
      </c>
      <c r="Q13" s="12">
        <f t="shared" si="8"/>
        <v>19069.75</v>
      </c>
    </row>
    <row r="14" spans="1:18" x14ac:dyDescent="0.3">
      <c r="A14" s="1">
        <f t="shared" si="4"/>
        <v>12</v>
      </c>
      <c r="B14" s="2" t="s">
        <v>13</v>
      </c>
      <c r="C14" s="3" t="s">
        <v>3</v>
      </c>
      <c r="D14" s="1" t="s">
        <v>40</v>
      </c>
      <c r="E14" s="1" t="s">
        <v>40</v>
      </c>
      <c r="F14" s="1" t="s">
        <v>40</v>
      </c>
      <c r="G14" s="1"/>
      <c r="H14" s="1"/>
      <c r="I14" s="1"/>
      <c r="J14" s="1"/>
      <c r="K14" s="1"/>
      <c r="L14" s="14">
        <v>44724</v>
      </c>
      <c r="M14" s="15">
        <f t="shared" si="3"/>
        <v>4</v>
      </c>
      <c r="N14" s="15">
        <f t="shared" si="6"/>
        <v>0</v>
      </c>
      <c r="O14" s="14">
        <v>44724</v>
      </c>
      <c r="P14" s="12">
        <f t="shared" si="7"/>
        <v>3727</v>
      </c>
      <c r="Q14" s="12">
        <f t="shared" si="8"/>
        <v>3727</v>
      </c>
    </row>
    <row r="15" spans="1:18" x14ac:dyDescent="0.3">
      <c r="A15" s="1">
        <f t="shared" si="4"/>
        <v>13</v>
      </c>
      <c r="B15" s="5" t="s">
        <v>899</v>
      </c>
      <c r="C15" s="3" t="s">
        <v>3</v>
      </c>
      <c r="D15" s="1" t="s">
        <v>40</v>
      </c>
      <c r="E15" s="1" t="s">
        <v>40</v>
      </c>
      <c r="F15" s="1"/>
      <c r="G15" s="1"/>
      <c r="H15" s="1" t="s">
        <v>40</v>
      </c>
      <c r="I15" s="1" t="s">
        <v>40</v>
      </c>
      <c r="J15" s="1" t="s">
        <v>897</v>
      </c>
      <c r="K15" s="1"/>
      <c r="L15" s="14">
        <v>240000</v>
      </c>
      <c r="M15" s="15">
        <f t="shared" si="3"/>
        <v>15</v>
      </c>
      <c r="N15" s="15">
        <f t="shared" si="6"/>
        <v>0</v>
      </c>
      <c r="O15" s="14">
        <v>240000</v>
      </c>
      <c r="P15" s="12">
        <f t="shared" si="7"/>
        <v>20000</v>
      </c>
      <c r="Q15" s="12">
        <f t="shared" si="8"/>
        <v>20000</v>
      </c>
    </row>
    <row r="16" spans="1:18" x14ac:dyDescent="0.3">
      <c r="A16" s="1">
        <f t="shared" si="4"/>
        <v>14</v>
      </c>
      <c r="B16" s="2" t="s">
        <v>15</v>
      </c>
      <c r="C16" s="3" t="s">
        <v>3</v>
      </c>
      <c r="D16" s="1" t="s">
        <v>40</v>
      </c>
      <c r="E16" s="1" t="s">
        <v>40</v>
      </c>
      <c r="F16" s="1"/>
      <c r="G16" s="1"/>
      <c r="H16" s="1" t="s">
        <v>40</v>
      </c>
      <c r="I16" s="1" t="s">
        <v>40</v>
      </c>
      <c r="J16" s="1"/>
      <c r="K16" s="1"/>
      <c r="L16" s="14">
        <v>128400</v>
      </c>
      <c r="M16" s="15">
        <f t="shared" si="3"/>
        <v>10</v>
      </c>
      <c r="N16" s="15">
        <f t="shared" si="6"/>
        <v>0</v>
      </c>
      <c r="O16" s="14">
        <v>128400</v>
      </c>
      <c r="P16" s="12">
        <f t="shared" si="7"/>
        <v>10700</v>
      </c>
      <c r="Q16" s="12">
        <f t="shared" si="8"/>
        <v>10700</v>
      </c>
    </row>
    <row r="17" spans="1:17" x14ac:dyDescent="0.3">
      <c r="A17" s="1">
        <f t="shared" si="4"/>
        <v>15</v>
      </c>
      <c r="B17" s="4" t="s">
        <v>16</v>
      </c>
      <c r="C17" s="3" t="s">
        <v>3</v>
      </c>
      <c r="D17" s="1" t="s">
        <v>40</v>
      </c>
      <c r="E17" s="1" t="s">
        <v>40</v>
      </c>
      <c r="F17" s="1"/>
      <c r="G17" s="1"/>
      <c r="H17" s="1"/>
      <c r="I17" s="1"/>
      <c r="J17" s="1"/>
      <c r="K17" s="1"/>
      <c r="L17" s="14">
        <v>49000</v>
      </c>
      <c r="M17" s="15">
        <f t="shared" si="3"/>
        <v>2</v>
      </c>
      <c r="N17" s="15">
        <f t="shared" si="6"/>
        <v>0</v>
      </c>
      <c r="O17" s="14">
        <v>49000</v>
      </c>
      <c r="P17" s="12">
        <f t="shared" si="7"/>
        <v>4083.3333333333335</v>
      </c>
      <c r="Q17" s="12">
        <f t="shared" si="8"/>
        <v>4083.3333333333335</v>
      </c>
    </row>
    <row r="18" spans="1:17" x14ac:dyDescent="0.3">
      <c r="A18" s="1">
        <f t="shared" si="4"/>
        <v>16</v>
      </c>
      <c r="B18" s="4" t="s">
        <v>17</v>
      </c>
      <c r="C18" s="3" t="s">
        <v>3</v>
      </c>
      <c r="D18" s="1" t="s">
        <v>40</v>
      </c>
      <c r="E18" s="1" t="s">
        <v>40</v>
      </c>
      <c r="F18" s="1"/>
      <c r="G18" s="1" t="s">
        <v>40</v>
      </c>
      <c r="H18" s="1"/>
      <c r="I18" s="1"/>
      <c r="J18" s="1"/>
      <c r="K18" s="1"/>
      <c r="L18" s="14">
        <v>93720</v>
      </c>
      <c r="M18" s="15">
        <f t="shared" si="3"/>
        <v>4</v>
      </c>
      <c r="N18" s="15">
        <f t="shared" si="6"/>
        <v>0</v>
      </c>
      <c r="O18" s="14">
        <v>93720</v>
      </c>
      <c r="P18" s="12">
        <f t="shared" si="7"/>
        <v>7810</v>
      </c>
      <c r="Q18" s="12">
        <f t="shared" si="8"/>
        <v>7810</v>
      </c>
    </row>
    <row r="19" spans="1:17" x14ac:dyDescent="0.3">
      <c r="A19" s="1">
        <f t="shared" si="4"/>
        <v>17</v>
      </c>
      <c r="B19" s="4" t="s">
        <v>18</v>
      </c>
      <c r="C19" s="3" t="s">
        <v>3</v>
      </c>
      <c r="D19" s="1" t="s">
        <v>40</v>
      </c>
      <c r="E19" s="1" t="s">
        <v>40</v>
      </c>
      <c r="F19" s="1"/>
      <c r="G19" s="1"/>
      <c r="H19" s="1" t="s">
        <v>40</v>
      </c>
      <c r="I19" s="1"/>
      <c r="J19" s="1"/>
      <c r="K19" s="1"/>
      <c r="L19" s="14">
        <v>44000</v>
      </c>
      <c r="M19" s="15">
        <f t="shared" si="3"/>
        <v>5</v>
      </c>
      <c r="N19" s="15">
        <f t="shared" si="6"/>
        <v>0</v>
      </c>
      <c r="O19" s="14">
        <v>44000</v>
      </c>
      <c r="P19" s="12">
        <f t="shared" si="7"/>
        <v>3666.6666666666665</v>
      </c>
      <c r="Q19" s="12">
        <f t="shared" si="8"/>
        <v>3666.6666666666665</v>
      </c>
    </row>
    <row r="20" spans="1:17" x14ac:dyDescent="0.3">
      <c r="A20" s="1">
        <f t="shared" si="4"/>
        <v>18</v>
      </c>
      <c r="B20" s="4" t="s">
        <v>19</v>
      </c>
      <c r="C20" s="3" t="s">
        <v>3</v>
      </c>
      <c r="D20" s="1" t="s">
        <v>40</v>
      </c>
      <c r="E20" s="1" t="s">
        <v>40</v>
      </c>
      <c r="F20" s="1" t="s">
        <v>40</v>
      </c>
      <c r="G20" s="1"/>
      <c r="H20" s="1" t="s">
        <v>40</v>
      </c>
      <c r="I20" s="1" t="s">
        <v>40</v>
      </c>
      <c r="J20" s="1"/>
      <c r="K20" s="1"/>
      <c r="L20" s="14">
        <v>18000</v>
      </c>
      <c r="M20" s="15">
        <f t="shared" si="3"/>
        <v>12</v>
      </c>
      <c r="N20" s="15">
        <f t="shared" si="6"/>
        <v>0</v>
      </c>
      <c r="O20" s="14">
        <v>18000</v>
      </c>
      <c r="P20" s="12">
        <f t="shared" si="7"/>
        <v>1500</v>
      </c>
      <c r="Q20" s="12">
        <f t="shared" si="8"/>
        <v>1500</v>
      </c>
    </row>
    <row r="21" spans="1:17" x14ac:dyDescent="0.3">
      <c r="A21" s="1">
        <f t="shared" si="4"/>
        <v>19</v>
      </c>
      <c r="B21" s="2" t="s">
        <v>20</v>
      </c>
      <c r="C21" s="3" t="s">
        <v>3</v>
      </c>
      <c r="D21" s="1" t="s">
        <v>40</v>
      </c>
      <c r="E21" s="1" t="s">
        <v>40</v>
      </c>
      <c r="F21" s="1"/>
      <c r="G21" s="1"/>
      <c r="H21" s="1"/>
      <c r="I21" s="1"/>
      <c r="J21" s="1"/>
      <c r="K21" s="1"/>
      <c r="L21" s="14">
        <v>36000</v>
      </c>
      <c r="M21" s="15">
        <f t="shared" si="3"/>
        <v>2</v>
      </c>
      <c r="N21" s="15">
        <f t="shared" si="6"/>
        <v>0</v>
      </c>
      <c r="O21" s="14">
        <v>36000</v>
      </c>
      <c r="P21" s="12">
        <f t="shared" si="7"/>
        <v>3000</v>
      </c>
      <c r="Q21" s="12">
        <f t="shared" si="8"/>
        <v>3000</v>
      </c>
    </row>
    <row r="22" spans="1:17" x14ac:dyDescent="0.3">
      <c r="A22" s="1">
        <f t="shared" si="4"/>
        <v>20</v>
      </c>
      <c r="B22" s="2" t="s">
        <v>21</v>
      </c>
      <c r="C22" s="3" t="s">
        <v>3</v>
      </c>
      <c r="D22" s="1" t="s">
        <v>40</v>
      </c>
      <c r="E22" s="1" t="s">
        <v>40</v>
      </c>
      <c r="F22" s="1" t="s">
        <v>40</v>
      </c>
      <c r="G22" s="1" t="s">
        <v>40</v>
      </c>
      <c r="H22" s="1"/>
      <c r="I22" s="1" t="s">
        <v>40</v>
      </c>
      <c r="J22" s="1"/>
      <c r="K22" s="1"/>
      <c r="L22" s="14">
        <v>31000</v>
      </c>
      <c r="M22" s="15">
        <f t="shared" si="3"/>
        <v>11</v>
      </c>
      <c r="N22" s="15">
        <f t="shared" si="6"/>
        <v>0</v>
      </c>
      <c r="O22" s="14">
        <v>31000</v>
      </c>
      <c r="P22" s="12">
        <f t="shared" si="7"/>
        <v>2583.3333333333335</v>
      </c>
      <c r="Q22" s="12">
        <f t="shared" si="8"/>
        <v>2583.3333333333335</v>
      </c>
    </row>
    <row r="23" spans="1:17" x14ac:dyDescent="0.3">
      <c r="A23" s="1">
        <f t="shared" si="4"/>
        <v>21</v>
      </c>
      <c r="B23" s="2" t="s">
        <v>22</v>
      </c>
      <c r="C23" s="3" t="s">
        <v>3</v>
      </c>
      <c r="D23" s="1" t="s">
        <v>40</v>
      </c>
      <c r="E23" s="1" t="s">
        <v>40</v>
      </c>
      <c r="F23" s="1"/>
      <c r="G23" s="1"/>
      <c r="H23" s="1" t="s">
        <v>40</v>
      </c>
      <c r="I23" s="1"/>
      <c r="J23" s="1"/>
      <c r="K23" s="1"/>
      <c r="L23" s="14">
        <v>6000</v>
      </c>
      <c r="M23" s="15">
        <f t="shared" si="3"/>
        <v>5</v>
      </c>
      <c r="N23" s="15">
        <f t="shared" si="6"/>
        <v>0</v>
      </c>
      <c r="O23" s="14">
        <v>6000</v>
      </c>
      <c r="P23" s="12">
        <f t="shared" si="7"/>
        <v>500</v>
      </c>
      <c r="Q23" s="12">
        <f t="shared" si="8"/>
        <v>500</v>
      </c>
    </row>
    <row r="24" spans="1:17" x14ac:dyDescent="0.3">
      <c r="A24" s="1">
        <f t="shared" si="4"/>
        <v>22</v>
      </c>
      <c r="B24" s="2" t="s">
        <v>23</v>
      </c>
      <c r="C24" s="3" t="s">
        <v>3</v>
      </c>
      <c r="D24" s="1" t="s">
        <v>40</v>
      </c>
      <c r="E24" s="1" t="s">
        <v>40</v>
      </c>
      <c r="F24" s="1"/>
      <c r="G24" s="1"/>
      <c r="H24" s="1"/>
      <c r="I24" s="1"/>
      <c r="J24" s="1"/>
      <c r="K24" s="1"/>
      <c r="L24" s="14">
        <v>14400</v>
      </c>
      <c r="M24" s="15">
        <f t="shared" si="3"/>
        <v>2</v>
      </c>
      <c r="N24" s="15">
        <f t="shared" si="6"/>
        <v>0</v>
      </c>
      <c r="O24" s="14">
        <v>14400</v>
      </c>
      <c r="P24" s="12">
        <f t="shared" si="7"/>
        <v>1200</v>
      </c>
      <c r="Q24" s="12">
        <f t="shared" si="8"/>
        <v>1200</v>
      </c>
    </row>
    <row r="25" spans="1:17" x14ac:dyDescent="0.3">
      <c r="A25" s="1">
        <f t="shared" si="4"/>
        <v>23</v>
      </c>
      <c r="B25" s="2" t="s">
        <v>900</v>
      </c>
      <c r="C25" s="3" t="s">
        <v>3</v>
      </c>
      <c r="D25" s="1" t="s">
        <v>40</v>
      </c>
      <c r="E25" s="1" t="s">
        <v>40</v>
      </c>
      <c r="F25" s="1"/>
      <c r="G25" s="1"/>
      <c r="H25" s="1" t="s">
        <v>40</v>
      </c>
      <c r="I25" s="1" t="s">
        <v>40</v>
      </c>
      <c r="J25" s="1" t="s">
        <v>897</v>
      </c>
      <c r="K25" s="1"/>
      <c r="L25" s="14">
        <v>82800</v>
      </c>
      <c r="M25" s="15">
        <f t="shared" si="3"/>
        <v>15</v>
      </c>
      <c r="N25" s="15">
        <f t="shared" si="6"/>
        <v>0</v>
      </c>
      <c r="O25" s="14">
        <v>82800</v>
      </c>
      <c r="P25" s="12">
        <f t="shared" si="7"/>
        <v>6900</v>
      </c>
      <c r="Q25" s="12">
        <f t="shared" si="8"/>
        <v>6900</v>
      </c>
    </row>
    <row r="26" spans="1:17" x14ac:dyDescent="0.3">
      <c r="A26" s="1">
        <f t="shared" si="4"/>
        <v>24</v>
      </c>
      <c r="B26" s="2" t="s">
        <v>25</v>
      </c>
      <c r="C26" s="3" t="s">
        <v>3</v>
      </c>
      <c r="D26" s="1" t="s">
        <v>40</v>
      </c>
      <c r="E26" s="1" t="s">
        <v>40</v>
      </c>
      <c r="F26" s="1"/>
      <c r="G26" s="1"/>
      <c r="H26" s="1"/>
      <c r="I26" s="1"/>
      <c r="J26" s="1"/>
      <c r="K26" s="1"/>
      <c r="L26" s="14">
        <v>12000</v>
      </c>
      <c r="M26" s="15">
        <f t="shared" si="3"/>
        <v>2</v>
      </c>
      <c r="N26" s="15">
        <f t="shared" si="6"/>
        <v>0</v>
      </c>
      <c r="O26" s="14">
        <v>12000</v>
      </c>
      <c r="P26" s="12">
        <f t="shared" si="7"/>
        <v>1000</v>
      </c>
      <c r="Q26" s="12">
        <f t="shared" si="8"/>
        <v>1000</v>
      </c>
    </row>
    <row r="27" spans="1:17" x14ac:dyDescent="0.3">
      <c r="A27" s="1">
        <f t="shared" si="4"/>
        <v>25</v>
      </c>
      <c r="B27" s="2" t="s">
        <v>26</v>
      </c>
      <c r="C27" s="3" t="s">
        <v>3</v>
      </c>
      <c r="D27" s="1" t="s">
        <v>40</v>
      </c>
      <c r="E27" s="1" t="s">
        <v>40</v>
      </c>
      <c r="F27" s="1"/>
      <c r="G27" s="1"/>
      <c r="H27" s="1" t="s">
        <v>40</v>
      </c>
      <c r="I27" s="1" t="s">
        <v>40</v>
      </c>
      <c r="J27" s="1"/>
      <c r="K27" s="1"/>
      <c r="L27" s="14">
        <v>76500</v>
      </c>
      <c r="M27" s="15">
        <f t="shared" si="3"/>
        <v>10</v>
      </c>
      <c r="N27" s="15">
        <f t="shared" si="6"/>
        <v>0</v>
      </c>
      <c r="O27" s="14">
        <v>76500</v>
      </c>
      <c r="P27" s="12">
        <f t="shared" si="7"/>
        <v>6375</v>
      </c>
      <c r="Q27" s="12">
        <f t="shared" si="8"/>
        <v>6375</v>
      </c>
    </row>
    <row r="28" spans="1:17" x14ac:dyDescent="0.3">
      <c r="A28" s="1">
        <f t="shared" si="4"/>
        <v>26</v>
      </c>
      <c r="B28" s="2" t="s">
        <v>27</v>
      </c>
      <c r="C28" s="3" t="s">
        <v>3</v>
      </c>
      <c r="D28" s="1" t="s">
        <v>40</v>
      </c>
      <c r="E28" s="1" t="s">
        <v>40</v>
      </c>
      <c r="F28" s="1" t="s">
        <v>40</v>
      </c>
      <c r="G28" s="1"/>
      <c r="H28" s="1"/>
      <c r="I28" s="1"/>
      <c r="J28" s="1"/>
      <c r="K28" s="1"/>
      <c r="L28" s="14">
        <v>8410.08</v>
      </c>
      <c r="M28" s="15">
        <f t="shared" si="3"/>
        <v>4</v>
      </c>
      <c r="N28" s="15">
        <f t="shared" si="6"/>
        <v>0</v>
      </c>
      <c r="O28" s="14">
        <v>8410.08</v>
      </c>
      <c r="P28" s="12">
        <f t="shared" si="7"/>
        <v>700.84</v>
      </c>
      <c r="Q28" s="12">
        <f t="shared" si="8"/>
        <v>700.84</v>
      </c>
    </row>
    <row r="29" spans="1:17" x14ac:dyDescent="0.3">
      <c r="A29" s="1">
        <f t="shared" si="4"/>
        <v>27</v>
      </c>
      <c r="B29" s="5" t="s">
        <v>28</v>
      </c>
      <c r="C29" s="3" t="s">
        <v>3</v>
      </c>
      <c r="D29" s="1" t="s">
        <v>40</v>
      </c>
      <c r="E29" s="1" t="s">
        <v>40</v>
      </c>
      <c r="F29" s="1" t="s">
        <v>40</v>
      </c>
      <c r="G29" s="1"/>
      <c r="H29" s="1"/>
      <c r="I29" s="1"/>
      <c r="J29" s="1"/>
      <c r="K29" s="1"/>
      <c r="L29" s="14">
        <v>60279.44</v>
      </c>
      <c r="M29" s="15">
        <f t="shared" si="3"/>
        <v>4</v>
      </c>
      <c r="N29" s="15">
        <f t="shared" si="6"/>
        <v>0</v>
      </c>
      <c r="O29" s="14">
        <v>60279.44</v>
      </c>
      <c r="P29" s="12">
        <f t="shared" si="7"/>
        <v>5023.2866666666669</v>
      </c>
      <c r="Q29" s="12">
        <f t="shared" si="8"/>
        <v>5023.2866666666669</v>
      </c>
    </row>
    <row r="30" spans="1:17" x14ac:dyDescent="0.3">
      <c r="A30" s="1">
        <f t="shared" si="4"/>
        <v>28</v>
      </c>
      <c r="B30" s="2" t="s">
        <v>29</v>
      </c>
      <c r="C30" s="3" t="s">
        <v>3</v>
      </c>
      <c r="D30" s="1" t="s">
        <v>40</v>
      </c>
      <c r="E30" s="1" t="s">
        <v>40</v>
      </c>
      <c r="F30" s="1"/>
      <c r="G30" s="1"/>
      <c r="H30" s="1" t="s">
        <v>40</v>
      </c>
      <c r="I30" s="1"/>
      <c r="J30" s="1"/>
      <c r="K30" s="1"/>
      <c r="L30" s="14">
        <v>42000</v>
      </c>
      <c r="M30" s="15">
        <f t="shared" si="3"/>
        <v>5</v>
      </c>
      <c r="N30" s="15">
        <f t="shared" si="6"/>
        <v>0</v>
      </c>
      <c r="O30" s="14">
        <v>42000</v>
      </c>
      <c r="P30" s="12">
        <f t="shared" si="7"/>
        <v>3500</v>
      </c>
      <c r="Q30" s="12">
        <f t="shared" si="8"/>
        <v>3500</v>
      </c>
    </row>
    <row r="31" spans="1:17" x14ac:dyDescent="0.3">
      <c r="A31" s="1">
        <f t="shared" si="4"/>
        <v>29</v>
      </c>
      <c r="B31" s="2" t="s">
        <v>30</v>
      </c>
      <c r="C31" s="3" t="s">
        <v>3</v>
      </c>
      <c r="D31" s="1" t="s">
        <v>40</v>
      </c>
      <c r="E31" s="1" t="s">
        <v>40</v>
      </c>
      <c r="F31" s="1"/>
      <c r="G31" s="1"/>
      <c r="H31" s="1" t="s">
        <v>40</v>
      </c>
      <c r="I31" s="1"/>
      <c r="J31" s="1"/>
      <c r="K31" s="1"/>
      <c r="L31" s="14">
        <v>114407</v>
      </c>
      <c r="M31" s="15">
        <f t="shared" si="3"/>
        <v>5</v>
      </c>
      <c r="N31" s="15">
        <f t="shared" si="6"/>
        <v>0</v>
      </c>
      <c r="O31" s="14">
        <v>114407</v>
      </c>
      <c r="P31" s="12">
        <f t="shared" si="7"/>
        <v>9533.9166666666661</v>
      </c>
      <c r="Q31" s="12">
        <f t="shared" si="8"/>
        <v>9533.9166666666661</v>
      </c>
    </row>
    <row r="32" spans="1:17" x14ac:dyDescent="0.3">
      <c r="A32" s="1">
        <f t="shared" si="4"/>
        <v>30</v>
      </c>
      <c r="B32" s="5" t="s">
        <v>31</v>
      </c>
      <c r="C32" s="3" t="s">
        <v>3</v>
      </c>
      <c r="D32" s="1" t="s">
        <v>40</v>
      </c>
      <c r="E32" s="1" t="s">
        <v>40</v>
      </c>
      <c r="F32" s="1"/>
      <c r="G32" s="1"/>
      <c r="H32" s="1" t="s">
        <v>40</v>
      </c>
      <c r="I32" s="1"/>
      <c r="J32" s="1"/>
      <c r="K32" s="1"/>
      <c r="L32" s="14">
        <v>44400</v>
      </c>
      <c r="M32" s="15">
        <f t="shared" si="3"/>
        <v>5</v>
      </c>
      <c r="N32" s="15">
        <f t="shared" si="6"/>
        <v>0</v>
      </c>
      <c r="O32" s="14">
        <v>44400</v>
      </c>
      <c r="P32" s="12">
        <f t="shared" si="7"/>
        <v>3700</v>
      </c>
      <c r="Q32" s="12">
        <f t="shared" si="8"/>
        <v>3700</v>
      </c>
    </row>
    <row r="33" spans="1:21" x14ac:dyDescent="0.3">
      <c r="D33"/>
      <c r="E33"/>
      <c r="F33"/>
      <c r="G33"/>
      <c r="H33"/>
      <c r="I33"/>
      <c r="J33"/>
      <c r="L33" s="14">
        <f>+AVERAGE(L3:L32)</f>
        <v>102117.17892857143</v>
      </c>
      <c r="M33" s="14">
        <f>+AVERAGE(M3:M32)</f>
        <v>7.3928571428571432</v>
      </c>
      <c r="N33" s="14">
        <f>+SUM(N3:N32)</f>
        <v>0</v>
      </c>
      <c r="O33" s="14">
        <f>+AVERAGE(O3:O32)</f>
        <v>82468.889259259246</v>
      </c>
      <c r="P33" s="14">
        <f>+AVERAGE(P3:P32)</f>
        <v>8509.7649107142861</v>
      </c>
      <c r="Q33" s="14">
        <f>+AVERAGE(Q3:Q32)</f>
        <v>6872.4074382716044</v>
      </c>
    </row>
    <row r="34" spans="1:21" x14ac:dyDescent="0.3">
      <c r="D34"/>
      <c r="E34"/>
      <c r="F34"/>
      <c r="G34"/>
      <c r="H34"/>
      <c r="I34"/>
      <c r="J34"/>
      <c r="L34" s="14">
        <f>+STDEV(L3:L32)</f>
        <v>99923.433887426771</v>
      </c>
      <c r="M34" s="14">
        <f>+STDEV(M3:M32)</f>
        <v>4.7713596611315117</v>
      </c>
      <c r="N34" s="17"/>
      <c r="O34" s="14">
        <f>+STDEV(O3:O32)</f>
        <v>65750.791979321744</v>
      </c>
      <c r="P34" s="14">
        <f>+STDEV(P3:P32)</f>
        <v>8326.9528239522315</v>
      </c>
      <c r="Q34" s="14">
        <f>+STDEV(Q3:Q32)</f>
        <v>5479.2326649434781</v>
      </c>
    </row>
    <row r="35" spans="1:21" x14ac:dyDescent="0.3">
      <c r="D35"/>
      <c r="E35"/>
      <c r="F35"/>
      <c r="G35"/>
      <c r="H35"/>
      <c r="I35" s="15"/>
      <c r="J35" s="15"/>
      <c r="K35" s="11" t="s">
        <v>75</v>
      </c>
      <c r="L35" s="14">
        <f>+COUNTIF(L3:L32,0)</f>
        <v>0</v>
      </c>
      <c r="M35" s="14">
        <f>+COUNT(M3:M32)</f>
        <v>28</v>
      </c>
      <c r="N35" s="17"/>
      <c r="O35" s="17"/>
      <c r="P35" s="14">
        <f>+COUNTIF(P3:P32,0)</f>
        <v>0</v>
      </c>
      <c r="Q35" s="17"/>
    </row>
    <row r="36" spans="1:21" x14ac:dyDescent="0.3">
      <c r="D36"/>
      <c r="E36"/>
      <c r="F36"/>
      <c r="G36"/>
      <c r="H36"/>
      <c r="I36"/>
      <c r="J36"/>
    </row>
    <row r="37" spans="1:21" x14ac:dyDescent="0.3">
      <c r="A37" s="1">
        <v>1</v>
      </c>
      <c r="B37" s="2" t="s">
        <v>46</v>
      </c>
      <c r="C37" s="3" t="s">
        <v>45</v>
      </c>
      <c r="D37" s="1" t="s">
        <v>40</v>
      </c>
      <c r="E37" s="1" t="s">
        <v>40</v>
      </c>
      <c r="F37" s="1"/>
      <c r="G37" s="1"/>
      <c r="H37" s="1" t="s">
        <v>40</v>
      </c>
      <c r="I37" s="1" t="s">
        <v>40</v>
      </c>
      <c r="J37" s="1"/>
      <c r="K37" s="1"/>
      <c r="L37" s="14">
        <v>1897374</v>
      </c>
      <c r="M37" s="15">
        <f>+IF(D37="X",1,0)+IF(E37="X",1,0)+IF(F37="X",2,0)+IF(G37="X",2,0)+IF(H37="X",3,IF(H37="Y",1.5,0))+IF(I37="X",5,IF(I37="Y",2.5,0))+IF(J37="X1",10,IF(J37="X2",5,IF(J37="X3",3,0)))</f>
        <v>10</v>
      </c>
      <c r="N37" s="15">
        <f t="shared" ref="N37:N49" si="9">+IF(K37="X",1,0)</f>
        <v>0</v>
      </c>
      <c r="O37" s="20"/>
      <c r="P37" s="12">
        <f t="shared" ref="P37:P49" si="10">+L37/12</f>
        <v>158114.5</v>
      </c>
      <c r="Q37" s="20"/>
    </row>
    <row r="38" spans="1:21" x14ac:dyDescent="0.3">
      <c r="A38" s="1">
        <f>+A37+1</f>
        <v>2</v>
      </c>
      <c r="B38" s="2" t="s">
        <v>47</v>
      </c>
      <c r="C38" s="3" t="s">
        <v>45</v>
      </c>
      <c r="D38" s="1" t="s">
        <v>40</v>
      </c>
      <c r="E38" s="1" t="s">
        <v>40</v>
      </c>
      <c r="F38" s="1"/>
      <c r="G38" s="1"/>
      <c r="H38" s="1"/>
      <c r="I38" s="1"/>
      <c r="J38" s="1"/>
      <c r="K38" s="1"/>
      <c r="L38" s="12">
        <v>0</v>
      </c>
      <c r="M38" s="15">
        <f t="shared" ref="M38:M66" si="11">+IF(D38="X",1,0)+IF(E38="X",1,0)+IF(F38="X",2,0)+IF(G38="X",2,0)+IF(H38="X",3,IF(H38="Y",1.5,0))+IF(I38="X",5,IF(I38="Y",2.5,0))+IF(J38="X1",10,IF(J38="X2",5,IF(J38="X3",3,0)))</f>
        <v>2</v>
      </c>
      <c r="N38" s="15">
        <f t="shared" si="9"/>
        <v>0</v>
      </c>
      <c r="O38" s="20"/>
      <c r="P38" s="12">
        <f t="shared" si="10"/>
        <v>0</v>
      </c>
      <c r="Q38" s="20"/>
      <c r="S38" t="s">
        <v>76</v>
      </c>
      <c r="T38" t="s">
        <v>151</v>
      </c>
    </row>
    <row r="39" spans="1:21" x14ac:dyDescent="0.3">
      <c r="A39" s="1">
        <f t="shared" ref="A39:A66" si="12">+A38+1</f>
        <v>3</v>
      </c>
      <c r="B39" s="2" t="s">
        <v>48</v>
      </c>
      <c r="C39" s="3" t="s">
        <v>45</v>
      </c>
      <c r="D39" s="1" t="s">
        <v>40</v>
      </c>
      <c r="E39" s="1" t="s">
        <v>40</v>
      </c>
      <c r="F39" s="1"/>
      <c r="G39" s="1"/>
      <c r="H39" s="1"/>
      <c r="I39" s="1"/>
      <c r="J39" s="1"/>
      <c r="K39" s="1"/>
      <c r="L39" s="12">
        <v>237928.72</v>
      </c>
      <c r="M39" s="15">
        <f t="shared" si="11"/>
        <v>2</v>
      </c>
      <c r="N39" s="15">
        <f t="shared" si="9"/>
        <v>0</v>
      </c>
      <c r="O39" s="12">
        <v>237928.72</v>
      </c>
      <c r="P39" s="12">
        <f t="shared" si="10"/>
        <v>19827.393333333333</v>
      </c>
      <c r="Q39" s="12">
        <f t="shared" ref="Q39:Q43" si="13">+O39/12</f>
        <v>19827.393333333333</v>
      </c>
      <c r="R39" t="s">
        <v>501</v>
      </c>
    </row>
    <row r="40" spans="1:21" x14ac:dyDescent="0.3">
      <c r="A40" s="1">
        <f t="shared" si="12"/>
        <v>4</v>
      </c>
      <c r="B40" s="2" t="s">
        <v>49</v>
      </c>
      <c r="C40" s="3" t="s">
        <v>45</v>
      </c>
      <c r="D40" s="1" t="s">
        <v>40</v>
      </c>
      <c r="E40" s="1" t="s">
        <v>40</v>
      </c>
      <c r="F40" s="1"/>
      <c r="G40" s="1"/>
      <c r="H40" s="1" t="s">
        <v>40</v>
      </c>
      <c r="I40" s="1"/>
      <c r="J40" s="1"/>
      <c r="K40" s="1"/>
      <c r="L40" s="12">
        <v>233142</v>
      </c>
      <c r="M40" s="15">
        <f t="shared" si="11"/>
        <v>5</v>
      </c>
      <c r="N40" s="15">
        <f t="shared" si="9"/>
        <v>0</v>
      </c>
      <c r="O40" s="12">
        <v>233142</v>
      </c>
      <c r="P40" s="12">
        <f t="shared" si="10"/>
        <v>19428.5</v>
      </c>
      <c r="Q40" s="12">
        <f t="shared" si="13"/>
        <v>19428.5</v>
      </c>
      <c r="U40" t="s">
        <v>760</v>
      </c>
    </row>
    <row r="41" spans="1:21" x14ac:dyDescent="0.3">
      <c r="A41" s="1">
        <f t="shared" si="12"/>
        <v>5</v>
      </c>
      <c r="B41" s="2" t="s">
        <v>50</v>
      </c>
      <c r="C41" s="3" t="s">
        <v>45</v>
      </c>
      <c r="D41" s="1" t="s">
        <v>40</v>
      </c>
      <c r="E41" s="1" t="s">
        <v>40</v>
      </c>
      <c r="F41" s="1"/>
      <c r="G41" s="1"/>
      <c r="H41" s="1" t="s">
        <v>40</v>
      </c>
      <c r="I41" s="1" t="s">
        <v>40</v>
      </c>
      <c r="J41" s="1" t="s">
        <v>897</v>
      </c>
      <c r="K41" s="1" t="s">
        <v>40</v>
      </c>
      <c r="L41" s="12">
        <v>123028</v>
      </c>
      <c r="M41" s="15">
        <f t="shared" si="11"/>
        <v>15</v>
      </c>
      <c r="N41" s="15">
        <f t="shared" si="9"/>
        <v>1</v>
      </c>
      <c r="O41" s="12">
        <v>123028</v>
      </c>
      <c r="P41" s="12">
        <f t="shared" si="10"/>
        <v>10252.333333333334</v>
      </c>
      <c r="Q41" s="12">
        <f t="shared" si="13"/>
        <v>10252.333333333334</v>
      </c>
      <c r="S41" t="s">
        <v>761</v>
      </c>
      <c r="T41" t="s">
        <v>151</v>
      </c>
    </row>
    <row r="42" spans="1:21" x14ac:dyDescent="0.3">
      <c r="A42" s="1">
        <f t="shared" si="12"/>
        <v>6</v>
      </c>
      <c r="B42" s="2" t="s">
        <v>51</v>
      </c>
      <c r="C42" s="3" t="s">
        <v>45</v>
      </c>
      <c r="D42" s="1" t="s">
        <v>40</v>
      </c>
      <c r="E42" s="1" t="s">
        <v>40</v>
      </c>
      <c r="F42" s="1"/>
      <c r="G42" s="1"/>
      <c r="H42" s="1" t="s">
        <v>40</v>
      </c>
      <c r="I42" s="1"/>
      <c r="J42" s="1"/>
      <c r="K42" s="1"/>
      <c r="L42" s="12">
        <v>187200</v>
      </c>
      <c r="M42" s="15">
        <f t="shared" si="11"/>
        <v>5</v>
      </c>
      <c r="N42" s="15">
        <f t="shared" si="9"/>
        <v>0</v>
      </c>
      <c r="O42" s="12">
        <v>187200</v>
      </c>
      <c r="P42" s="12">
        <f t="shared" si="10"/>
        <v>15600</v>
      </c>
      <c r="Q42" s="12">
        <f t="shared" si="13"/>
        <v>15600</v>
      </c>
      <c r="R42" t="s">
        <v>501</v>
      </c>
    </row>
    <row r="43" spans="1:21" x14ac:dyDescent="0.3">
      <c r="A43" s="1">
        <f t="shared" si="12"/>
        <v>7</v>
      </c>
      <c r="B43" s="2" t="s">
        <v>52</v>
      </c>
      <c r="C43" s="3" t="s">
        <v>45</v>
      </c>
      <c r="D43" s="1" t="s">
        <v>40</v>
      </c>
      <c r="E43" s="1" t="s">
        <v>40</v>
      </c>
      <c r="F43" s="1"/>
      <c r="G43" s="1"/>
      <c r="H43" s="1" t="s">
        <v>40</v>
      </c>
      <c r="I43" s="1"/>
      <c r="J43" s="1"/>
      <c r="K43" s="1" t="s">
        <v>40</v>
      </c>
      <c r="L43" s="12">
        <v>366000</v>
      </c>
      <c r="M43" s="15">
        <f t="shared" si="11"/>
        <v>5</v>
      </c>
      <c r="N43" s="15">
        <f t="shared" si="9"/>
        <v>1</v>
      </c>
      <c r="O43" s="12">
        <v>366000</v>
      </c>
      <c r="P43" s="12">
        <f t="shared" si="10"/>
        <v>30500</v>
      </c>
      <c r="Q43" s="12">
        <f t="shared" si="13"/>
        <v>30500</v>
      </c>
    </row>
    <row r="44" spans="1:21" x14ac:dyDescent="0.3">
      <c r="A44" s="1">
        <f t="shared" si="12"/>
        <v>8</v>
      </c>
      <c r="B44" s="2" t="s">
        <v>53</v>
      </c>
      <c r="C44" s="3" t="s">
        <v>45</v>
      </c>
      <c r="D44" s="1" t="s">
        <v>40</v>
      </c>
      <c r="E44" s="1" t="s">
        <v>40</v>
      </c>
      <c r="F44" s="1"/>
      <c r="G44" s="1"/>
      <c r="H44" s="1" t="s">
        <v>40</v>
      </c>
      <c r="I44" s="1"/>
      <c r="J44" s="1"/>
      <c r="K44" s="1"/>
      <c r="L44" s="12">
        <v>0</v>
      </c>
      <c r="M44" s="15">
        <f t="shared" si="11"/>
        <v>5</v>
      </c>
      <c r="N44" s="15">
        <f t="shared" si="9"/>
        <v>0</v>
      </c>
      <c r="O44" s="20"/>
      <c r="P44" s="12">
        <f t="shared" si="10"/>
        <v>0</v>
      </c>
      <c r="Q44" s="20"/>
    </row>
    <row r="45" spans="1:21" x14ac:dyDescent="0.3">
      <c r="A45" s="1">
        <f t="shared" si="12"/>
        <v>9</v>
      </c>
      <c r="B45" s="2" t="s">
        <v>54</v>
      </c>
      <c r="C45" s="3" t="s">
        <v>45</v>
      </c>
      <c r="D45" s="1" t="s">
        <v>40</v>
      </c>
      <c r="E45" s="1" t="s">
        <v>40</v>
      </c>
      <c r="F45" s="1"/>
      <c r="G45" s="1"/>
      <c r="H45" s="1" t="s">
        <v>40</v>
      </c>
      <c r="I45" s="1" t="s">
        <v>40</v>
      </c>
      <c r="J45" s="1" t="s">
        <v>901</v>
      </c>
      <c r="K45" s="1" t="s">
        <v>40</v>
      </c>
      <c r="L45" s="12">
        <v>155267.66</v>
      </c>
      <c r="M45" s="15">
        <f t="shared" si="11"/>
        <v>13</v>
      </c>
      <c r="N45" s="15">
        <f t="shared" si="9"/>
        <v>1</v>
      </c>
      <c r="O45" s="12">
        <v>155267.66</v>
      </c>
      <c r="P45" s="12">
        <f t="shared" si="10"/>
        <v>12938.971666666666</v>
      </c>
      <c r="Q45" s="12">
        <f t="shared" ref="Q45:Q49" si="14">+O45/12</f>
        <v>12938.971666666666</v>
      </c>
    </row>
    <row r="46" spans="1:21" x14ac:dyDescent="0.3">
      <c r="A46" s="1">
        <f t="shared" si="12"/>
        <v>10</v>
      </c>
      <c r="B46" s="2" t="s">
        <v>55</v>
      </c>
      <c r="C46" s="3" t="s">
        <v>45</v>
      </c>
      <c r="D46" s="1" t="s">
        <v>40</v>
      </c>
      <c r="E46" s="1" t="s">
        <v>40</v>
      </c>
      <c r="F46" s="1"/>
      <c r="G46" s="1"/>
      <c r="H46" s="1"/>
      <c r="I46" s="1"/>
      <c r="J46" s="1"/>
      <c r="K46" s="1"/>
      <c r="L46" s="12">
        <v>240000</v>
      </c>
      <c r="M46" s="15">
        <f t="shared" si="11"/>
        <v>2</v>
      </c>
      <c r="N46" s="15">
        <f t="shared" si="9"/>
        <v>0</v>
      </c>
      <c r="O46" s="12">
        <v>240000</v>
      </c>
      <c r="P46" s="12">
        <f t="shared" si="10"/>
        <v>20000</v>
      </c>
      <c r="Q46" s="12">
        <f t="shared" si="14"/>
        <v>20000</v>
      </c>
    </row>
    <row r="47" spans="1:21" x14ac:dyDescent="0.3">
      <c r="A47" s="1">
        <f t="shared" si="12"/>
        <v>11</v>
      </c>
      <c r="B47" s="2" t="s">
        <v>56</v>
      </c>
      <c r="C47" s="3" t="s">
        <v>45</v>
      </c>
      <c r="D47" s="1" t="s">
        <v>40</v>
      </c>
      <c r="E47" s="1" t="s">
        <v>40</v>
      </c>
      <c r="F47" s="1"/>
      <c r="G47" s="1"/>
      <c r="H47" s="1" t="s">
        <v>40</v>
      </c>
      <c r="I47" s="1"/>
      <c r="J47" s="1"/>
      <c r="K47" s="1"/>
      <c r="L47" s="12">
        <v>150000</v>
      </c>
      <c r="M47" s="15">
        <f t="shared" si="11"/>
        <v>5</v>
      </c>
      <c r="N47" s="15">
        <f t="shared" si="9"/>
        <v>0</v>
      </c>
      <c r="O47" s="12">
        <v>150000</v>
      </c>
      <c r="P47" s="12">
        <f t="shared" si="10"/>
        <v>12500</v>
      </c>
      <c r="Q47" s="12">
        <f t="shared" si="14"/>
        <v>12500</v>
      </c>
    </row>
    <row r="48" spans="1:21" x14ac:dyDescent="0.3">
      <c r="A48" s="1">
        <f t="shared" si="12"/>
        <v>12</v>
      </c>
      <c r="B48" s="2" t="s">
        <v>57</v>
      </c>
      <c r="C48" s="3" t="s">
        <v>45</v>
      </c>
      <c r="D48" s="1" t="s">
        <v>40</v>
      </c>
      <c r="E48" s="1" t="s">
        <v>40</v>
      </c>
      <c r="F48" s="1" t="s">
        <v>40</v>
      </c>
      <c r="G48" s="1"/>
      <c r="H48" s="1" t="s">
        <v>40</v>
      </c>
      <c r="I48" s="1"/>
      <c r="J48" s="1"/>
      <c r="K48" s="1"/>
      <c r="L48" s="14">
        <v>7105.6</v>
      </c>
      <c r="M48" s="15">
        <f t="shared" si="11"/>
        <v>7</v>
      </c>
      <c r="N48" s="15">
        <f t="shared" si="9"/>
        <v>0</v>
      </c>
      <c r="O48" s="14">
        <v>7105.6</v>
      </c>
      <c r="P48" s="12">
        <f t="shared" si="10"/>
        <v>592.13333333333333</v>
      </c>
      <c r="Q48" s="12">
        <f t="shared" si="14"/>
        <v>592.13333333333333</v>
      </c>
    </row>
    <row r="49" spans="1:17" x14ac:dyDescent="0.3">
      <c r="A49" s="1">
        <f t="shared" si="12"/>
        <v>13</v>
      </c>
      <c r="B49" s="2" t="s">
        <v>58</v>
      </c>
      <c r="C49" s="3" t="s">
        <v>45</v>
      </c>
      <c r="D49" s="1" t="s">
        <v>40</v>
      </c>
      <c r="E49" s="1" t="s">
        <v>40</v>
      </c>
      <c r="F49" s="1" t="s">
        <v>40</v>
      </c>
      <c r="G49" s="1"/>
      <c r="H49" s="1"/>
      <c r="I49" s="1"/>
      <c r="J49" s="1"/>
      <c r="K49" s="1"/>
      <c r="L49" s="14">
        <v>125000</v>
      </c>
      <c r="M49" s="15">
        <f t="shared" si="11"/>
        <v>4</v>
      </c>
      <c r="N49" s="15">
        <f t="shared" si="9"/>
        <v>0</v>
      </c>
      <c r="O49" s="14">
        <v>125000</v>
      </c>
      <c r="P49" s="12">
        <f t="shared" si="10"/>
        <v>10416.666666666666</v>
      </c>
      <c r="Q49" s="12">
        <f t="shared" si="14"/>
        <v>10416.666666666666</v>
      </c>
    </row>
    <row r="50" spans="1:17" x14ac:dyDescent="0.3">
      <c r="A50" s="1">
        <f t="shared" si="12"/>
        <v>14</v>
      </c>
      <c r="B50" s="10"/>
      <c r="C50" s="9"/>
      <c r="D50" s="7"/>
      <c r="E50" s="7"/>
      <c r="F50" s="7"/>
      <c r="G50" s="7"/>
      <c r="H50" s="7"/>
      <c r="I50" s="7"/>
      <c r="J50" s="7"/>
      <c r="K50" s="7"/>
      <c r="L50" s="13"/>
      <c r="M50" s="13"/>
      <c r="N50" s="16"/>
      <c r="O50" s="13"/>
      <c r="P50" s="13"/>
      <c r="Q50" s="13"/>
    </row>
    <row r="51" spans="1:17" x14ac:dyDescent="0.3">
      <c r="A51" s="1">
        <f t="shared" si="12"/>
        <v>15</v>
      </c>
      <c r="B51" s="2" t="s">
        <v>59</v>
      </c>
      <c r="C51" s="3" t="s">
        <v>45</v>
      </c>
      <c r="D51" s="1" t="s">
        <v>40</v>
      </c>
      <c r="E51" s="1" t="s">
        <v>40</v>
      </c>
      <c r="F51" s="1"/>
      <c r="G51" s="1"/>
      <c r="H51" s="1"/>
      <c r="I51" s="1"/>
      <c r="J51" s="1"/>
      <c r="K51" s="1"/>
      <c r="L51" s="14">
        <v>215013</v>
      </c>
      <c r="M51" s="15">
        <f t="shared" si="11"/>
        <v>2</v>
      </c>
      <c r="N51" s="15">
        <f t="shared" ref="N51:N66" si="15">+IF(K51="X",1,0)</f>
        <v>0</v>
      </c>
      <c r="O51" s="14">
        <v>215013</v>
      </c>
      <c r="P51" s="12">
        <f t="shared" ref="P51:P66" si="16">+L51/12</f>
        <v>17917.75</v>
      </c>
      <c r="Q51" s="12">
        <f t="shared" ref="Q51:Q53" si="17">+O51/12</f>
        <v>17917.75</v>
      </c>
    </row>
    <row r="52" spans="1:17" x14ac:dyDescent="0.3">
      <c r="A52" s="1">
        <f t="shared" si="12"/>
        <v>16</v>
      </c>
      <c r="B52" s="2" t="s">
        <v>60</v>
      </c>
      <c r="C52" s="3" t="s">
        <v>45</v>
      </c>
      <c r="D52" s="1" t="s">
        <v>40</v>
      </c>
      <c r="E52" s="1" t="s">
        <v>40</v>
      </c>
      <c r="F52" s="1" t="s">
        <v>40</v>
      </c>
      <c r="G52" s="1"/>
      <c r="H52" s="1" t="s">
        <v>40</v>
      </c>
      <c r="I52" s="1"/>
      <c r="J52" s="1"/>
      <c r="K52" s="1"/>
      <c r="L52" s="14">
        <v>80000</v>
      </c>
      <c r="M52" s="15">
        <f t="shared" si="11"/>
        <v>7</v>
      </c>
      <c r="N52" s="15">
        <f t="shared" si="15"/>
        <v>0</v>
      </c>
      <c r="O52" s="14">
        <v>80000</v>
      </c>
      <c r="P52" s="12">
        <f t="shared" si="16"/>
        <v>6666.666666666667</v>
      </c>
      <c r="Q52" s="12">
        <f t="shared" si="17"/>
        <v>6666.666666666667</v>
      </c>
    </row>
    <row r="53" spans="1:17" x14ac:dyDescent="0.3">
      <c r="A53" s="1">
        <f t="shared" si="12"/>
        <v>17</v>
      </c>
      <c r="B53" s="2" t="s">
        <v>61</v>
      </c>
      <c r="C53" s="3" t="s">
        <v>45</v>
      </c>
      <c r="D53" s="1" t="s">
        <v>40</v>
      </c>
      <c r="E53" s="1" t="s">
        <v>40</v>
      </c>
      <c r="F53" s="1" t="s">
        <v>40</v>
      </c>
      <c r="G53" s="1"/>
      <c r="H53" s="1"/>
      <c r="I53" s="1"/>
      <c r="J53" s="1"/>
      <c r="K53" s="1" t="s">
        <v>40</v>
      </c>
      <c r="L53" s="14">
        <v>142571</v>
      </c>
      <c r="M53" s="15">
        <f t="shared" si="11"/>
        <v>4</v>
      </c>
      <c r="N53" s="15">
        <f t="shared" si="15"/>
        <v>1</v>
      </c>
      <c r="O53" s="14">
        <v>142571</v>
      </c>
      <c r="P53" s="12">
        <f t="shared" si="16"/>
        <v>11880.916666666666</v>
      </c>
      <c r="Q53" s="12">
        <f t="shared" si="17"/>
        <v>11880.916666666666</v>
      </c>
    </row>
    <row r="54" spans="1:17" x14ac:dyDescent="0.3">
      <c r="A54" s="1">
        <f t="shared" si="12"/>
        <v>18</v>
      </c>
      <c r="B54" s="2" t="s">
        <v>62</v>
      </c>
      <c r="C54" s="3" t="s">
        <v>45</v>
      </c>
      <c r="D54" s="1" t="s">
        <v>40</v>
      </c>
      <c r="E54" s="1" t="s">
        <v>40</v>
      </c>
      <c r="F54" s="1"/>
      <c r="G54" s="1"/>
      <c r="H54" s="1" t="s">
        <v>40</v>
      </c>
      <c r="I54" s="1"/>
      <c r="J54" s="1"/>
      <c r="K54" s="1"/>
      <c r="L54" s="14">
        <v>0</v>
      </c>
      <c r="M54" s="15">
        <f t="shared" si="11"/>
        <v>5</v>
      </c>
      <c r="N54" s="15">
        <f t="shared" si="15"/>
        <v>0</v>
      </c>
      <c r="O54" s="20"/>
      <c r="P54" s="12">
        <f t="shared" si="16"/>
        <v>0</v>
      </c>
      <c r="Q54" s="20"/>
    </row>
    <row r="55" spans="1:17" x14ac:dyDescent="0.3">
      <c r="A55" s="1">
        <f t="shared" si="12"/>
        <v>19</v>
      </c>
      <c r="B55" s="2" t="s">
        <v>63</v>
      </c>
      <c r="C55" s="3" t="s">
        <v>45</v>
      </c>
      <c r="D55" s="1" t="s">
        <v>40</v>
      </c>
      <c r="E55" s="1" t="s">
        <v>40</v>
      </c>
      <c r="F55" s="1" t="s">
        <v>40</v>
      </c>
      <c r="G55" s="1"/>
      <c r="H55" s="1"/>
      <c r="I55" s="1"/>
      <c r="J55" s="1"/>
      <c r="K55" s="1"/>
      <c r="L55" s="14">
        <v>64200</v>
      </c>
      <c r="M55" s="15">
        <f t="shared" si="11"/>
        <v>4</v>
      </c>
      <c r="N55" s="15">
        <f t="shared" si="15"/>
        <v>0</v>
      </c>
      <c r="O55" s="14">
        <v>64200</v>
      </c>
      <c r="P55" s="12">
        <f t="shared" si="16"/>
        <v>5350</v>
      </c>
      <c r="Q55" s="12">
        <f t="shared" ref="Q55:Q56" si="18">+O55/12</f>
        <v>5350</v>
      </c>
    </row>
    <row r="56" spans="1:17" x14ac:dyDescent="0.3">
      <c r="A56" s="1">
        <f t="shared" si="12"/>
        <v>20</v>
      </c>
      <c r="B56" s="2" t="s">
        <v>64</v>
      </c>
      <c r="C56" s="3" t="s">
        <v>45</v>
      </c>
      <c r="D56" s="1" t="s">
        <v>40</v>
      </c>
      <c r="E56" s="1" t="s">
        <v>40</v>
      </c>
      <c r="F56" s="1"/>
      <c r="G56" s="1" t="s">
        <v>40</v>
      </c>
      <c r="H56" s="1" t="s">
        <v>40</v>
      </c>
      <c r="I56" s="1" t="s">
        <v>40</v>
      </c>
      <c r="J56" s="1"/>
      <c r="K56" s="1"/>
      <c r="L56" s="14">
        <v>474293.53</v>
      </c>
      <c r="M56" s="15">
        <f t="shared" si="11"/>
        <v>12</v>
      </c>
      <c r="N56" s="15">
        <f t="shared" si="15"/>
        <v>0</v>
      </c>
      <c r="O56" s="14">
        <v>474293.53</v>
      </c>
      <c r="P56" s="12">
        <f t="shared" si="16"/>
        <v>39524.460833333338</v>
      </c>
      <c r="Q56" s="12">
        <f t="shared" si="18"/>
        <v>39524.460833333338</v>
      </c>
    </row>
    <row r="57" spans="1:17" x14ac:dyDescent="0.3">
      <c r="A57" s="1">
        <f t="shared" si="12"/>
        <v>21</v>
      </c>
      <c r="B57" s="2" t="s">
        <v>65</v>
      </c>
      <c r="C57" s="3" t="s">
        <v>45</v>
      </c>
      <c r="D57" s="1" t="s">
        <v>40</v>
      </c>
      <c r="E57" s="1" t="s">
        <v>40</v>
      </c>
      <c r="F57" s="1"/>
      <c r="G57" s="1"/>
      <c r="H57" s="1" t="s">
        <v>40</v>
      </c>
      <c r="I57" s="1" t="s">
        <v>40</v>
      </c>
      <c r="J57" s="1"/>
      <c r="K57" s="1"/>
      <c r="L57" s="14">
        <v>0</v>
      </c>
      <c r="M57" s="15">
        <f t="shared" si="11"/>
        <v>10</v>
      </c>
      <c r="N57" s="15">
        <f t="shared" si="15"/>
        <v>0</v>
      </c>
      <c r="O57" s="20"/>
      <c r="P57" s="12">
        <f t="shared" si="16"/>
        <v>0</v>
      </c>
      <c r="Q57" s="20"/>
    </row>
    <row r="58" spans="1:17" x14ac:dyDescent="0.3">
      <c r="A58" s="1">
        <f t="shared" si="12"/>
        <v>22</v>
      </c>
      <c r="B58" s="2" t="s">
        <v>66</v>
      </c>
      <c r="C58" s="3" t="s">
        <v>45</v>
      </c>
      <c r="D58" s="1" t="s">
        <v>40</v>
      </c>
      <c r="E58" s="1" t="s">
        <v>40</v>
      </c>
      <c r="F58" s="1"/>
      <c r="G58" s="1"/>
      <c r="H58" s="1"/>
      <c r="I58" s="1"/>
      <c r="J58" s="1"/>
      <c r="K58" s="1"/>
      <c r="L58" s="14">
        <v>0</v>
      </c>
      <c r="M58" s="15">
        <f t="shared" si="11"/>
        <v>2</v>
      </c>
      <c r="N58" s="15">
        <f t="shared" si="15"/>
        <v>0</v>
      </c>
      <c r="O58" s="20"/>
      <c r="P58" s="12">
        <f t="shared" si="16"/>
        <v>0</v>
      </c>
      <c r="Q58" s="20"/>
    </row>
    <row r="59" spans="1:17" x14ac:dyDescent="0.3">
      <c r="A59" s="1">
        <f t="shared" si="12"/>
        <v>23</v>
      </c>
      <c r="B59" s="2" t="s">
        <v>67</v>
      </c>
      <c r="C59" s="3" t="s">
        <v>45</v>
      </c>
      <c r="D59" s="1" t="s">
        <v>40</v>
      </c>
      <c r="E59" s="1" t="s">
        <v>40</v>
      </c>
      <c r="F59" s="1"/>
      <c r="G59" s="1"/>
      <c r="H59" s="1" t="s">
        <v>40</v>
      </c>
      <c r="I59" s="1" t="s">
        <v>40</v>
      </c>
      <c r="J59" s="1"/>
      <c r="K59" s="1"/>
      <c r="L59" s="14">
        <v>390142.24</v>
      </c>
      <c r="M59" s="15">
        <f t="shared" si="11"/>
        <v>10</v>
      </c>
      <c r="N59" s="15">
        <f t="shared" si="15"/>
        <v>0</v>
      </c>
      <c r="O59" s="14">
        <v>390142.24</v>
      </c>
      <c r="P59" s="12">
        <f t="shared" si="16"/>
        <v>32511.853333333333</v>
      </c>
      <c r="Q59" s="12">
        <f t="shared" ref="Q59" si="19">+O59/12</f>
        <v>32511.853333333333</v>
      </c>
    </row>
    <row r="60" spans="1:17" x14ac:dyDescent="0.3">
      <c r="A60" s="1">
        <f t="shared" si="12"/>
        <v>24</v>
      </c>
      <c r="B60" s="2" t="s">
        <v>68</v>
      </c>
      <c r="C60" s="3" t="s">
        <v>45</v>
      </c>
      <c r="D60" s="1" t="s">
        <v>40</v>
      </c>
      <c r="E60" s="1" t="s">
        <v>40</v>
      </c>
      <c r="F60" s="1"/>
      <c r="G60" s="1"/>
      <c r="H60" s="1"/>
      <c r="I60" s="1"/>
      <c r="J60" s="1"/>
      <c r="K60" s="1"/>
      <c r="L60" s="14">
        <v>0</v>
      </c>
      <c r="M60" s="15">
        <f t="shared" si="11"/>
        <v>2</v>
      </c>
      <c r="N60" s="15">
        <f t="shared" si="15"/>
        <v>0</v>
      </c>
      <c r="O60" s="20"/>
      <c r="P60" s="12">
        <f t="shared" si="16"/>
        <v>0</v>
      </c>
      <c r="Q60" s="20"/>
    </row>
    <row r="61" spans="1:17" x14ac:dyDescent="0.3">
      <c r="A61" s="1">
        <f t="shared" si="12"/>
        <v>25</v>
      </c>
      <c r="B61" s="2" t="s">
        <v>69</v>
      </c>
      <c r="C61" s="3" t="s">
        <v>45</v>
      </c>
      <c r="D61" s="1" t="s">
        <v>40</v>
      </c>
      <c r="E61" s="1" t="s">
        <v>40</v>
      </c>
      <c r="F61" s="1" t="s">
        <v>40</v>
      </c>
      <c r="G61" s="1"/>
      <c r="H61" s="1" t="s">
        <v>40</v>
      </c>
      <c r="I61" s="1"/>
      <c r="J61" s="1"/>
      <c r="K61" s="1"/>
      <c r="L61" s="14">
        <v>52500</v>
      </c>
      <c r="M61" s="15">
        <f t="shared" si="11"/>
        <v>7</v>
      </c>
      <c r="N61" s="15">
        <f t="shared" si="15"/>
        <v>0</v>
      </c>
      <c r="O61" s="14">
        <v>52500</v>
      </c>
      <c r="P61" s="12">
        <f t="shared" si="16"/>
        <v>4375</v>
      </c>
      <c r="Q61" s="12">
        <f t="shared" ref="Q61" si="20">+O61/12</f>
        <v>4375</v>
      </c>
    </row>
    <row r="62" spans="1:17" x14ac:dyDescent="0.3">
      <c r="A62" s="1">
        <f t="shared" si="12"/>
        <v>26</v>
      </c>
      <c r="B62" s="2" t="s">
        <v>70</v>
      </c>
      <c r="C62" s="3" t="s">
        <v>45</v>
      </c>
      <c r="D62" s="1" t="s">
        <v>40</v>
      </c>
      <c r="E62" s="1" t="s">
        <v>40</v>
      </c>
      <c r="F62" s="1"/>
      <c r="G62" s="1"/>
      <c r="H62" s="1"/>
      <c r="I62" s="1"/>
      <c r="J62" s="1"/>
      <c r="K62" s="1"/>
      <c r="L62" s="14">
        <v>0</v>
      </c>
      <c r="M62" s="15">
        <f t="shared" si="11"/>
        <v>2</v>
      </c>
      <c r="N62" s="15">
        <f t="shared" si="15"/>
        <v>0</v>
      </c>
      <c r="O62" s="20"/>
      <c r="P62" s="12">
        <f t="shared" si="16"/>
        <v>0</v>
      </c>
      <c r="Q62" s="20"/>
    </row>
    <row r="63" spans="1:17" x14ac:dyDescent="0.3">
      <c r="A63" s="1">
        <f t="shared" si="12"/>
        <v>27</v>
      </c>
      <c r="B63" s="2" t="s">
        <v>71</v>
      </c>
      <c r="C63" s="3" t="s">
        <v>45</v>
      </c>
      <c r="D63" s="1" t="s">
        <v>40</v>
      </c>
      <c r="E63" s="1" t="s">
        <v>40</v>
      </c>
      <c r="F63" s="1"/>
      <c r="G63" s="1"/>
      <c r="H63" s="1"/>
      <c r="I63" s="1"/>
      <c r="J63" s="1"/>
      <c r="K63" s="1" t="s">
        <v>40</v>
      </c>
      <c r="L63" s="14">
        <v>1208</v>
      </c>
      <c r="M63" s="15">
        <f t="shared" si="11"/>
        <v>2</v>
      </c>
      <c r="N63" s="15">
        <f t="shared" si="15"/>
        <v>1</v>
      </c>
      <c r="O63" s="14">
        <v>1208</v>
      </c>
      <c r="P63" s="12">
        <f t="shared" si="16"/>
        <v>100.66666666666667</v>
      </c>
      <c r="Q63" s="12">
        <f t="shared" ref="Q63:Q66" si="21">+O63/12</f>
        <v>100.66666666666667</v>
      </c>
    </row>
    <row r="64" spans="1:17" x14ac:dyDescent="0.3">
      <c r="A64" s="1">
        <f t="shared" si="12"/>
        <v>28</v>
      </c>
      <c r="B64" s="2" t="s">
        <v>72</v>
      </c>
      <c r="C64" s="3" t="s">
        <v>45</v>
      </c>
      <c r="D64" s="1" t="s">
        <v>40</v>
      </c>
      <c r="E64" s="1" t="s">
        <v>40</v>
      </c>
      <c r="F64" s="1" t="s">
        <v>40</v>
      </c>
      <c r="G64" s="1" t="s">
        <v>40</v>
      </c>
      <c r="H64" s="1"/>
      <c r="I64" s="1"/>
      <c r="J64" s="1"/>
      <c r="K64" s="1"/>
      <c r="L64" s="14">
        <v>55200</v>
      </c>
      <c r="M64" s="15">
        <f t="shared" si="11"/>
        <v>6</v>
      </c>
      <c r="N64" s="15">
        <f t="shared" si="15"/>
        <v>0</v>
      </c>
      <c r="O64" s="14">
        <v>55200</v>
      </c>
      <c r="P64" s="12">
        <f t="shared" si="16"/>
        <v>4600</v>
      </c>
      <c r="Q64" s="12">
        <f t="shared" si="21"/>
        <v>4600</v>
      </c>
    </row>
    <row r="65" spans="1:17" x14ac:dyDescent="0.3">
      <c r="A65" s="1">
        <f t="shared" si="12"/>
        <v>29</v>
      </c>
      <c r="B65" s="2" t="s">
        <v>73</v>
      </c>
      <c r="C65" s="3" t="s">
        <v>45</v>
      </c>
      <c r="D65" s="1" t="s">
        <v>40</v>
      </c>
      <c r="E65" s="1" t="s">
        <v>40</v>
      </c>
      <c r="F65" s="1"/>
      <c r="G65" s="1"/>
      <c r="H65" s="1" t="s">
        <v>40</v>
      </c>
      <c r="I65" s="1" t="s">
        <v>40</v>
      </c>
      <c r="J65" s="1"/>
      <c r="K65" s="1"/>
      <c r="L65" s="14">
        <v>107000</v>
      </c>
      <c r="M65" s="15">
        <f t="shared" si="11"/>
        <v>10</v>
      </c>
      <c r="N65" s="15">
        <f t="shared" si="15"/>
        <v>0</v>
      </c>
      <c r="O65" s="14">
        <v>107000</v>
      </c>
      <c r="P65" s="12">
        <f t="shared" si="16"/>
        <v>8916.6666666666661</v>
      </c>
      <c r="Q65" s="12">
        <f t="shared" si="21"/>
        <v>8916.6666666666661</v>
      </c>
    </row>
    <row r="66" spans="1:17" x14ac:dyDescent="0.3">
      <c r="A66" s="1">
        <f t="shared" si="12"/>
        <v>30</v>
      </c>
      <c r="B66" s="2" t="s">
        <v>74</v>
      </c>
      <c r="C66" s="3" t="s">
        <v>45</v>
      </c>
      <c r="D66" s="1" t="s">
        <v>40</v>
      </c>
      <c r="E66" s="1" t="s">
        <v>40</v>
      </c>
      <c r="F66" s="1" t="s">
        <v>40</v>
      </c>
      <c r="G66" s="1"/>
      <c r="H66" s="1"/>
      <c r="I66" s="1"/>
      <c r="J66" s="1"/>
      <c r="K66" s="1"/>
      <c r="L66" s="14">
        <v>24000</v>
      </c>
      <c r="M66" s="15">
        <f t="shared" si="11"/>
        <v>4</v>
      </c>
      <c r="N66" s="15">
        <f t="shared" si="15"/>
        <v>0</v>
      </c>
      <c r="O66" s="14">
        <v>24000</v>
      </c>
      <c r="P66" s="12">
        <f t="shared" si="16"/>
        <v>2000</v>
      </c>
      <c r="Q66" s="12">
        <f t="shared" si="21"/>
        <v>2000</v>
      </c>
    </row>
    <row r="67" spans="1:17" x14ac:dyDescent="0.3">
      <c r="D67"/>
      <c r="E67"/>
      <c r="F67"/>
      <c r="G67"/>
      <c r="H67"/>
      <c r="I67"/>
      <c r="J67"/>
      <c r="L67" s="14">
        <f>+AVERAGE(L37:L66)</f>
        <v>183730.12931034487</v>
      </c>
      <c r="M67" s="14">
        <f>+AVERAGE(M37:M66)</f>
        <v>5.8275862068965516</v>
      </c>
      <c r="N67" s="14">
        <f>+SUM(N37:N66)</f>
        <v>5</v>
      </c>
      <c r="O67" s="14">
        <f>+AVERAGE(O37:O66)</f>
        <v>163371.41666666666</v>
      </c>
      <c r="P67" s="14">
        <f>+AVERAGE(P37:P66)</f>
        <v>15310.844109195406</v>
      </c>
      <c r="Q67" s="14">
        <f>+AVERAGE(Q37:Q66)</f>
        <v>13614.284722222223</v>
      </c>
    </row>
    <row r="68" spans="1:17" x14ac:dyDescent="0.3">
      <c r="D68"/>
      <c r="E68"/>
      <c r="F68"/>
      <c r="G68"/>
      <c r="H68"/>
      <c r="I68"/>
      <c r="J68"/>
      <c r="L68" s="14">
        <f>+STDEV(L37:L66)</f>
        <v>353964.30236923345</v>
      </c>
      <c r="M68" s="14">
        <f>+STDEV(M37:M66)</f>
        <v>3.6942906289613338</v>
      </c>
      <c r="N68" s="17"/>
      <c r="O68" s="14">
        <f>+STDEV(O37:O66)</f>
        <v>127781.78794159336</v>
      </c>
      <c r="P68" s="14">
        <f>+STDEV(P37:P66)</f>
        <v>29497.025197436116</v>
      </c>
      <c r="Q68" s="14">
        <f>+STDEV(Q37:Q66)</f>
        <v>10648.482328466114</v>
      </c>
    </row>
    <row r="69" spans="1:17" x14ac:dyDescent="0.3">
      <c r="D69"/>
      <c r="E69"/>
      <c r="F69"/>
      <c r="G69"/>
      <c r="H69"/>
      <c r="I69" s="15"/>
      <c r="J69" s="15"/>
      <c r="K69" s="11" t="s">
        <v>75</v>
      </c>
      <c r="L69" s="14">
        <f>+COUNTIF(L37:L66,0)</f>
        <v>7</v>
      </c>
      <c r="M69" s="14">
        <f>+COUNT(M37:M66)</f>
        <v>29</v>
      </c>
      <c r="P69" s="14">
        <f>+COUNTIF(P37:P66,0)</f>
        <v>7</v>
      </c>
    </row>
    <row r="70" spans="1:17" x14ac:dyDescent="0.3">
      <c r="D70"/>
      <c r="E70"/>
      <c r="F70"/>
      <c r="G70"/>
      <c r="H70"/>
      <c r="I70"/>
      <c r="J70"/>
    </row>
    <row r="71" spans="1:17" x14ac:dyDescent="0.3">
      <c r="A71" s="1">
        <v>1</v>
      </c>
      <c r="B71" s="2" t="s">
        <v>77</v>
      </c>
      <c r="C71" s="3" t="s">
        <v>76</v>
      </c>
      <c r="D71" s="1" t="s">
        <v>40</v>
      </c>
      <c r="E71" s="1" t="s">
        <v>40</v>
      </c>
      <c r="F71" s="1"/>
      <c r="G71" s="1"/>
      <c r="H71" s="1" t="s">
        <v>40</v>
      </c>
      <c r="I71" s="1" t="s">
        <v>40</v>
      </c>
      <c r="J71" s="1"/>
      <c r="K71" s="1"/>
      <c r="L71" s="14">
        <v>613593.87</v>
      </c>
      <c r="M71" s="15">
        <f>+IF(D71="X",1,0)+IF(E71="X",1,0)+IF(F71="X",2,0)+IF(G71="X",2,0)+IF(H71="X",3,IF(H71="Y",1.5,0))+IF(I71="X",5,IF(I71="Y",2.5,0))+IF(J71="X1",10,IF(J71="X2",5,IF(J71="X3",3,0)))</f>
        <v>10</v>
      </c>
      <c r="N71" s="15">
        <f t="shared" ref="N71:N100" si="22">+IF(K71="X",1,0)</f>
        <v>0</v>
      </c>
      <c r="O71" s="12">
        <v>336950</v>
      </c>
      <c r="P71" s="12">
        <f t="shared" ref="P71:P100" si="23">+L71/12</f>
        <v>51132.822500000002</v>
      </c>
      <c r="Q71" s="12">
        <f t="shared" ref="Q71:Q83" si="24">+O71/12</f>
        <v>28079.166666666668</v>
      </c>
    </row>
    <row r="72" spans="1:17" x14ac:dyDescent="0.3">
      <c r="A72" s="1">
        <f>+A71+1</f>
        <v>2</v>
      </c>
      <c r="B72" s="2" t="s">
        <v>78</v>
      </c>
      <c r="C72" s="3" t="s">
        <v>76</v>
      </c>
      <c r="D72" s="1" t="s">
        <v>40</v>
      </c>
      <c r="E72" s="1" t="s">
        <v>40</v>
      </c>
      <c r="F72" s="1"/>
      <c r="G72" s="1"/>
      <c r="H72" s="1" t="s">
        <v>40</v>
      </c>
      <c r="I72" s="1"/>
      <c r="J72" s="1"/>
      <c r="K72" s="1"/>
      <c r="L72" s="12">
        <v>336950</v>
      </c>
      <c r="M72" s="15">
        <f t="shared" ref="M72:M100" si="25">+IF(D72="X",1,0)+IF(E72="X",1,0)+IF(F72="X",2,0)+IF(G72="X",2,0)+IF(H72="X",3,IF(H72="Y",1.5,0))+IF(I72="X",5,IF(I72="Y",2.5,0))+IF(J72="X1",10,IF(J72="X2",5,IF(J72="X3",3,0)))</f>
        <v>5</v>
      </c>
      <c r="N72" s="15">
        <f t="shared" si="22"/>
        <v>0</v>
      </c>
      <c r="O72" s="12">
        <v>336950</v>
      </c>
      <c r="P72" s="12">
        <f t="shared" si="23"/>
        <v>28079.166666666668</v>
      </c>
      <c r="Q72" s="12">
        <f t="shared" si="24"/>
        <v>28079.166666666668</v>
      </c>
    </row>
    <row r="73" spans="1:17" ht="14.4" customHeight="1" x14ac:dyDescent="0.3">
      <c r="A73" s="1">
        <f t="shared" ref="A73:A100" si="26">+A72+1</f>
        <v>3</v>
      </c>
      <c r="B73" s="18" t="s">
        <v>79</v>
      </c>
      <c r="C73" s="3" t="s">
        <v>76</v>
      </c>
      <c r="D73" s="1" t="s">
        <v>40</v>
      </c>
      <c r="E73" s="1" t="s">
        <v>40</v>
      </c>
      <c r="F73" s="1"/>
      <c r="G73" s="1"/>
      <c r="H73" s="1" t="s">
        <v>40</v>
      </c>
      <c r="I73" s="1"/>
      <c r="J73" s="1"/>
      <c r="K73" s="1"/>
      <c r="L73" s="12">
        <v>387825</v>
      </c>
      <c r="M73" s="15">
        <f t="shared" si="25"/>
        <v>5</v>
      </c>
      <c r="N73" s="15">
        <f t="shared" si="22"/>
        <v>0</v>
      </c>
      <c r="O73" s="12">
        <v>387825</v>
      </c>
      <c r="P73" s="12">
        <f t="shared" si="23"/>
        <v>32318.75</v>
      </c>
      <c r="Q73" s="12">
        <f t="shared" si="24"/>
        <v>32318.75</v>
      </c>
    </row>
    <row r="74" spans="1:17" x14ac:dyDescent="0.3">
      <c r="A74" s="1">
        <f t="shared" si="26"/>
        <v>4</v>
      </c>
      <c r="B74" s="2" t="s">
        <v>80</v>
      </c>
      <c r="C74" s="3" t="s">
        <v>76</v>
      </c>
      <c r="D74" s="1" t="s">
        <v>40</v>
      </c>
      <c r="E74" s="1" t="s">
        <v>40</v>
      </c>
      <c r="F74" s="1"/>
      <c r="G74" s="1"/>
      <c r="H74" s="1" t="s">
        <v>40</v>
      </c>
      <c r="I74" s="1"/>
      <c r="J74" s="1"/>
      <c r="K74" s="1"/>
      <c r="L74" s="12">
        <v>256708</v>
      </c>
      <c r="M74" s="15">
        <f t="shared" si="25"/>
        <v>5</v>
      </c>
      <c r="N74" s="15">
        <f t="shared" si="22"/>
        <v>0</v>
      </c>
      <c r="O74" s="12">
        <v>256708</v>
      </c>
      <c r="P74" s="12">
        <f t="shared" si="23"/>
        <v>21392.333333333332</v>
      </c>
      <c r="Q74" s="12">
        <f t="shared" si="24"/>
        <v>21392.333333333332</v>
      </c>
    </row>
    <row r="75" spans="1:17" x14ac:dyDescent="0.3">
      <c r="A75" s="1">
        <f t="shared" si="26"/>
        <v>5</v>
      </c>
      <c r="B75" s="2" t="s">
        <v>81</v>
      </c>
      <c r="C75" s="3" t="s">
        <v>76</v>
      </c>
      <c r="D75" s="1" t="s">
        <v>40</v>
      </c>
      <c r="E75" s="1" t="s">
        <v>40</v>
      </c>
      <c r="F75" s="1"/>
      <c r="G75" s="1"/>
      <c r="H75" s="1" t="s">
        <v>40</v>
      </c>
      <c r="I75" s="1" t="s">
        <v>40</v>
      </c>
      <c r="J75" s="1" t="s">
        <v>897</v>
      </c>
      <c r="K75" s="1"/>
      <c r="L75" s="12">
        <v>174626</v>
      </c>
      <c r="M75" s="15">
        <f t="shared" si="25"/>
        <v>15</v>
      </c>
      <c r="N75" s="15">
        <f t="shared" si="22"/>
        <v>0</v>
      </c>
      <c r="O75" s="12">
        <v>174626</v>
      </c>
      <c r="P75" s="12">
        <f t="shared" si="23"/>
        <v>14552.166666666666</v>
      </c>
      <c r="Q75" s="12">
        <f t="shared" si="24"/>
        <v>14552.166666666666</v>
      </c>
    </row>
    <row r="76" spans="1:17" x14ac:dyDescent="0.3">
      <c r="A76" s="1">
        <f t="shared" si="26"/>
        <v>6</v>
      </c>
      <c r="B76" s="2" t="s">
        <v>82</v>
      </c>
      <c r="C76" s="3" t="s">
        <v>76</v>
      </c>
      <c r="D76" s="1" t="s">
        <v>40</v>
      </c>
      <c r="E76" s="1" t="s">
        <v>40</v>
      </c>
      <c r="F76" s="1"/>
      <c r="G76" s="1"/>
      <c r="H76" s="1" t="s">
        <v>40</v>
      </c>
      <c r="I76" s="1"/>
      <c r="J76" s="1"/>
      <c r="K76" s="1"/>
      <c r="L76" s="12">
        <v>220688</v>
      </c>
      <c r="M76" s="15">
        <f t="shared" si="25"/>
        <v>5</v>
      </c>
      <c r="N76" s="15">
        <f t="shared" si="22"/>
        <v>0</v>
      </c>
      <c r="O76" s="12">
        <v>220688</v>
      </c>
      <c r="P76" s="12">
        <f t="shared" si="23"/>
        <v>18390.666666666668</v>
      </c>
      <c r="Q76" s="12">
        <f t="shared" si="24"/>
        <v>18390.666666666668</v>
      </c>
    </row>
    <row r="77" spans="1:17" x14ac:dyDescent="0.3">
      <c r="A77" s="1">
        <f t="shared" si="26"/>
        <v>7</v>
      </c>
      <c r="B77" s="2" t="s">
        <v>83</v>
      </c>
      <c r="C77" s="3" t="s">
        <v>76</v>
      </c>
      <c r="D77" s="1" t="s">
        <v>40</v>
      </c>
      <c r="E77" s="1" t="s">
        <v>40</v>
      </c>
      <c r="F77" s="1"/>
      <c r="G77" s="1"/>
      <c r="H77" s="1" t="s">
        <v>40</v>
      </c>
      <c r="I77" s="1"/>
      <c r="J77" s="1"/>
      <c r="K77" s="1"/>
      <c r="L77" s="12">
        <v>291205</v>
      </c>
      <c r="M77" s="15">
        <f t="shared" si="25"/>
        <v>5</v>
      </c>
      <c r="N77" s="15">
        <f t="shared" si="22"/>
        <v>0</v>
      </c>
      <c r="O77" s="12">
        <v>291205</v>
      </c>
      <c r="P77" s="12">
        <f t="shared" si="23"/>
        <v>24267.083333333332</v>
      </c>
      <c r="Q77" s="12">
        <f t="shared" si="24"/>
        <v>24267.083333333332</v>
      </c>
    </row>
    <row r="78" spans="1:17" x14ac:dyDescent="0.3">
      <c r="A78" s="1">
        <f t="shared" si="26"/>
        <v>8</v>
      </c>
      <c r="B78" s="2" t="s">
        <v>84</v>
      </c>
      <c r="C78" s="3" t="s">
        <v>76</v>
      </c>
      <c r="D78" s="1" t="s">
        <v>40</v>
      </c>
      <c r="E78" s="1" t="s">
        <v>40</v>
      </c>
      <c r="F78" s="1"/>
      <c r="G78" s="1"/>
      <c r="H78" s="1" t="s">
        <v>40</v>
      </c>
      <c r="I78" s="1"/>
      <c r="J78" s="1"/>
      <c r="K78" s="1"/>
      <c r="L78" s="12">
        <v>309287.19</v>
      </c>
      <c r="M78" s="15">
        <f t="shared" si="25"/>
        <v>5</v>
      </c>
      <c r="N78" s="15">
        <f t="shared" si="22"/>
        <v>0</v>
      </c>
      <c r="O78" s="12">
        <v>309287.19</v>
      </c>
      <c r="P78" s="12">
        <f t="shared" si="23"/>
        <v>25773.932499999999</v>
      </c>
      <c r="Q78" s="12">
        <f t="shared" si="24"/>
        <v>25773.932499999999</v>
      </c>
    </row>
    <row r="79" spans="1:17" x14ac:dyDescent="0.3">
      <c r="A79" s="1">
        <f t="shared" si="26"/>
        <v>9</v>
      </c>
      <c r="B79" s="18" t="s">
        <v>85</v>
      </c>
      <c r="C79" s="3" t="s">
        <v>76</v>
      </c>
      <c r="D79" s="1" t="s">
        <v>40</v>
      </c>
      <c r="E79" s="1" t="s">
        <v>40</v>
      </c>
      <c r="F79" s="1"/>
      <c r="G79" s="1"/>
      <c r="H79" s="1" t="s">
        <v>40</v>
      </c>
      <c r="I79" s="1" t="s">
        <v>40</v>
      </c>
      <c r="J79" s="1" t="s">
        <v>897</v>
      </c>
      <c r="K79" s="1" t="s">
        <v>40</v>
      </c>
      <c r="L79" s="12">
        <v>647829.76000000001</v>
      </c>
      <c r="M79" s="15">
        <f t="shared" si="25"/>
        <v>15</v>
      </c>
      <c r="N79" s="15">
        <f t="shared" si="22"/>
        <v>1</v>
      </c>
      <c r="O79" s="20"/>
      <c r="P79" s="12">
        <f t="shared" si="23"/>
        <v>53985.813333333332</v>
      </c>
      <c r="Q79" s="20"/>
    </row>
    <row r="80" spans="1:17" x14ac:dyDescent="0.3">
      <c r="A80" s="1">
        <f t="shared" si="26"/>
        <v>10</v>
      </c>
      <c r="B80" s="2" t="s">
        <v>86</v>
      </c>
      <c r="C80" s="3" t="s">
        <v>76</v>
      </c>
      <c r="D80" s="1" t="s">
        <v>40</v>
      </c>
      <c r="E80" s="1" t="s">
        <v>40</v>
      </c>
      <c r="F80" s="1"/>
      <c r="G80" s="1"/>
      <c r="H80" s="1" t="s">
        <v>40</v>
      </c>
      <c r="I80" s="1"/>
      <c r="J80" s="1"/>
      <c r="K80" s="1"/>
      <c r="L80" s="12">
        <v>96000</v>
      </c>
      <c r="M80" s="15">
        <f t="shared" si="25"/>
        <v>5</v>
      </c>
      <c r="N80" s="15">
        <f t="shared" si="22"/>
        <v>0</v>
      </c>
      <c r="O80" s="12">
        <v>96000</v>
      </c>
      <c r="P80" s="12">
        <f t="shared" si="23"/>
        <v>8000</v>
      </c>
      <c r="Q80" s="12">
        <f t="shared" si="24"/>
        <v>8000</v>
      </c>
    </row>
    <row r="81" spans="1:17" x14ac:dyDescent="0.3">
      <c r="A81" s="1">
        <f t="shared" si="26"/>
        <v>11</v>
      </c>
      <c r="B81" s="2" t="s">
        <v>87</v>
      </c>
      <c r="C81" s="3" t="s">
        <v>76</v>
      </c>
      <c r="D81" s="1" t="s">
        <v>40</v>
      </c>
      <c r="E81" s="1" t="s">
        <v>40</v>
      </c>
      <c r="F81" s="1"/>
      <c r="G81" s="1"/>
      <c r="H81" s="1" t="s">
        <v>40</v>
      </c>
      <c r="I81" s="1" t="s">
        <v>40</v>
      </c>
      <c r="J81" s="1"/>
      <c r="K81" s="1"/>
      <c r="L81" s="12">
        <v>30000</v>
      </c>
      <c r="M81" s="15">
        <f t="shared" si="25"/>
        <v>10</v>
      </c>
      <c r="N81" s="15">
        <f t="shared" si="22"/>
        <v>0</v>
      </c>
      <c r="O81" s="12">
        <v>30000</v>
      </c>
      <c r="P81" s="12">
        <f t="shared" si="23"/>
        <v>2500</v>
      </c>
      <c r="Q81" s="12">
        <f t="shared" si="24"/>
        <v>2500</v>
      </c>
    </row>
    <row r="82" spans="1:17" x14ac:dyDescent="0.3">
      <c r="A82" s="1">
        <f t="shared" si="26"/>
        <v>12</v>
      </c>
      <c r="B82" s="2" t="s">
        <v>88</v>
      </c>
      <c r="C82" s="3" t="s">
        <v>76</v>
      </c>
      <c r="D82" s="1" t="s">
        <v>40</v>
      </c>
      <c r="E82" s="1" t="s">
        <v>40</v>
      </c>
      <c r="F82" s="1"/>
      <c r="G82" s="1"/>
      <c r="H82" s="1" t="s">
        <v>40</v>
      </c>
      <c r="I82" s="1"/>
      <c r="J82" s="1"/>
      <c r="K82" s="1"/>
      <c r="L82" s="14">
        <v>49656</v>
      </c>
      <c r="M82" s="15">
        <f t="shared" si="25"/>
        <v>5</v>
      </c>
      <c r="N82" s="15">
        <f t="shared" si="22"/>
        <v>0</v>
      </c>
      <c r="O82" s="14">
        <v>49656</v>
      </c>
      <c r="P82" s="12">
        <f t="shared" si="23"/>
        <v>4138</v>
      </c>
      <c r="Q82" s="12">
        <f t="shared" si="24"/>
        <v>4138</v>
      </c>
    </row>
    <row r="83" spans="1:17" x14ac:dyDescent="0.3">
      <c r="A83" s="1">
        <f t="shared" si="26"/>
        <v>13</v>
      </c>
      <c r="B83" s="2" t="s">
        <v>89</v>
      </c>
      <c r="C83" s="3" t="s">
        <v>76</v>
      </c>
      <c r="D83" s="1" t="s">
        <v>40</v>
      </c>
      <c r="E83" s="1" t="s">
        <v>40</v>
      </c>
      <c r="F83" s="1"/>
      <c r="G83" s="1"/>
      <c r="H83" s="1" t="s">
        <v>40</v>
      </c>
      <c r="I83" s="1" t="s">
        <v>40</v>
      </c>
      <c r="J83" s="1"/>
      <c r="K83" s="1"/>
      <c r="L83" s="14">
        <v>93864</v>
      </c>
      <c r="M83" s="15">
        <f t="shared" si="25"/>
        <v>10</v>
      </c>
      <c r="N83" s="15">
        <f t="shared" si="22"/>
        <v>0</v>
      </c>
      <c r="O83" s="14">
        <v>93864</v>
      </c>
      <c r="P83" s="12">
        <f t="shared" si="23"/>
        <v>7822</v>
      </c>
      <c r="Q83" s="12">
        <f t="shared" si="24"/>
        <v>7822</v>
      </c>
    </row>
    <row r="84" spans="1:17" x14ac:dyDescent="0.3">
      <c r="A84" s="1">
        <f t="shared" si="26"/>
        <v>14</v>
      </c>
      <c r="B84" s="2" t="s">
        <v>90</v>
      </c>
      <c r="C84" s="3" t="s">
        <v>76</v>
      </c>
      <c r="D84" s="1" t="s">
        <v>40</v>
      </c>
      <c r="E84" s="1" t="s">
        <v>40</v>
      </c>
      <c r="F84" s="1"/>
      <c r="G84" s="1" t="s">
        <v>40</v>
      </c>
      <c r="H84" s="1" t="s">
        <v>40</v>
      </c>
      <c r="I84" s="1"/>
      <c r="J84" s="1"/>
      <c r="K84" s="1" t="s">
        <v>40</v>
      </c>
      <c r="L84" s="14">
        <v>1</v>
      </c>
      <c r="M84" s="15">
        <f t="shared" si="25"/>
        <v>7</v>
      </c>
      <c r="N84" s="15">
        <f t="shared" si="22"/>
        <v>1</v>
      </c>
      <c r="O84" s="20"/>
      <c r="P84" s="12">
        <f t="shared" si="23"/>
        <v>8.3333333333333329E-2</v>
      </c>
      <c r="Q84" s="20"/>
    </row>
    <row r="85" spans="1:17" x14ac:dyDescent="0.3">
      <c r="A85" s="1">
        <f t="shared" si="26"/>
        <v>15</v>
      </c>
      <c r="B85" s="2" t="s">
        <v>91</v>
      </c>
      <c r="C85" s="3" t="s">
        <v>76</v>
      </c>
      <c r="D85" s="1" t="s">
        <v>40</v>
      </c>
      <c r="E85" s="1" t="s">
        <v>40</v>
      </c>
      <c r="F85" s="1"/>
      <c r="G85" s="1"/>
      <c r="H85" s="1" t="s">
        <v>40</v>
      </c>
      <c r="I85" s="1"/>
      <c r="J85" s="1"/>
      <c r="K85" s="1"/>
      <c r="L85" s="14">
        <v>158400</v>
      </c>
      <c r="M85" s="15">
        <f t="shared" si="25"/>
        <v>5</v>
      </c>
      <c r="N85" s="15">
        <f t="shared" si="22"/>
        <v>0</v>
      </c>
      <c r="O85" s="14">
        <v>158400</v>
      </c>
      <c r="P85" s="12">
        <f t="shared" si="23"/>
        <v>13200</v>
      </c>
      <c r="Q85" s="12">
        <f t="shared" ref="Q85:Q99" si="27">+O85/12</f>
        <v>13200</v>
      </c>
    </row>
    <row r="86" spans="1:17" x14ac:dyDescent="0.3">
      <c r="A86" s="1">
        <f t="shared" si="26"/>
        <v>16</v>
      </c>
      <c r="B86" s="2" t="s">
        <v>92</v>
      </c>
      <c r="C86" s="3" t="s">
        <v>76</v>
      </c>
      <c r="D86" s="1" t="s">
        <v>40</v>
      </c>
      <c r="E86" s="1" t="s">
        <v>40</v>
      </c>
      <c r="F86" s="1"/>
      <c r="G86" s="1"/>
      <c r="H86" s="1"/>
      <c r="I86" s="1"/>
      <c r="J86" s="1"/>
      <c r="K86" s="1"/>
      <c r="L86" s="14">
        <v>450476.5</v>
      </c>
      <c r="M86" s="15">
        <f t="shared" si="25"/>
        <v>2</v>
      </c>
      <c r="N86" s="15">
        <f t="shared" si="22"/>
        <v>0</v>
      </c>
      <c r="O86" s="14">
        <v>450476.5</v>
      </c>
      <c r="P86" s="12">
        <f t="shared" si="23"/>
        <v>37539.708333333336</v>
      </c>
      <c r="Q86" s="12">
        <f t="shared" si="27"/>
        <v>37539.708333333336</v>
      </c>
    </row>
    <row r="87" spans="1:17" x14ac:dyDescent="0.3">
      <c r="A87" s="1">
        <f t="shared" si="26"/>
        <v>17</v>
      </c>
      <c r="B87" s="2" t="s">
        <v>93</v>
      </c>
      <c r="C87" s="3" t="s">
        <v>76</v>
      </c>
      <c r="D87" s="1" t="s">
        <v>40</v>
      </c>
      <c r="E87" s="1" t="s">
        <v>40</v>
      </c>
      <c r="F87" s="1"/>
      <c r="G87" s="1"/>
      <c r="H87" s="1" t="s">
        <v>40</v>
      </c>
      <c r="I87" s="1" t="s">
        <v>40</v>
      </c>
      <c r="J87" s="1"/>
      <c r="K87" s="1" t="s">
        <v>40</v>
      </c>
      <c r="L87" s="14">
        <v>417122.56</v>
      </c>
      <c r="M87" s="15">
        <f t="shared" si="25"/>
        <v>10</v>
      </c>
      <c r="N87" s="15">
        <f t="shared" si="22"/>
        <v>1</v>
      </c>
      <c r="O87" s="14">
        <v>417122.56</v>
      </c>
      <c r="P87" s="12">
        <f t="shared" si="23"/>
        <v>34760.213333333333</v>
      </c>
      <c r="Q87" s="12">
        <f t="shared" si="27"/>
        <v>34760.213333333333</v>
      </c>
    </row>
    <row r="88" spans="1:17" x14ac:dyDescent="0.3">
      <c r="A88" s="1">
        <f t="shared" si="26"/>
        <v>18</v>
      </c>
      <c r="B88" s="2" t="s">
        <v>94</v>
      </c>
      <c r="C88" s="3" t="s">
        <v>76</v>
      </c>
      <c r="D88" s="1" t="s">
        <v>40</v>
      </c>
      <c r="E88" s="1" t="s">
        <v>40</v>
      </c>
      <c r="F88" s="1"/>
      <c r="G88" s="1"/>
      <c r="H88" s="1"/>
      <c r="I88" s="1"/>
      <c r="J88" s="1"/>
      <c r="K88" s="1"/>
      <c r="L88" s="14">
        <v>15000</v>
      </c>
      <c r="M88" s="15">
        <f t="shared" si="25"/>
        <v>2</v>
      </c>
      <c r="N88" s="15">
        <f t="shared" si="22"/>
        <v>0</v>
      </c>
      <c r="O88" s="14">
        <v>15000</v>
      </c>
      <c r="P88" s="12">
        <f t="shared" si="23"/>
        <v>1250</v>
      </c>
      <c r="Q88" s="12">
        <f t="shared" si="27"/>
        <v>1250</v>
      </c>
    </row>
    <row r="89" spans="1:17" x14ac:dyDescent="0.3">
      <c r="A89" s="1">
        <f t="shared" si="26"/>
        <v>19</v>
      </c>
      <c r="B89" s="2" t="s">
        <v>95</v>
      </c>
      <c r="C89" s="3" t="s">
        <v>76</v>
      </c>
      <c r="D89" s="1" t="s">
        <v>40</v>
      </c>
      <c r="E89" s="1" t="s">
        <v>40</v>
      </c>
      <c r="F89" s="1"/>
      <c r="G89" s="1"/>
      <c r="H89" s="1" t="s">
        <v>40</v>
      </c>
      <c r="I89" s="1" t="s">
        <v>40</v>
      </c>
      <c r="J89" s="1" t="s">
        <v>897</v>
      </c>
      <c r="K89" s="1" t="s">
        <v>40</v>
      </c>
      <c r="L89" s="14">
        <v>226000</v>
      </c>
      <c r="M89" s="15">
        <f t="shared" si="25"/>
        <v>15</v>
      </c>
      <c r="N89" s="15">
        <f t="shared" si="22"/>
        <v>1</v>
      </c>
      <c r="O89" s="14">
        <v>226000</v>
      </c>
      <c r="P89" s="12">
        <f t="shared" si="23"/>
        <v>18833.333333333332</v>
      </c>
      <c r="Q89" s="12">
        <f t="shared" si="27"/>
        <v>18833.333333333332</v>
      </c>
    </row>
    <row r="90" spans="1:17" x14ac:dyDescent="0.3">
      <c r="A90" s="1">
        <f t="shared" si="26"/>
        <v>20</v>
      </c>
      <c r="B90" s="2" t="s">
        <v>96</v>
      </c>
      <c r="C90" s="3" t="s">
        <v>76</v>
      </c>
      <c r="D90" s="1" t="s">
        <v>40</v>
      </c>
      <c r="E90" s="1" t="s">
        <v>40</v>
      </c>
      <c r="F90" s="1" t="s">
        <v>40</v>
      </c>
      <c r="G90" s="1"/>
      <c r="H90" s="1"/>
      <c r="I90" s="1"/>
      <c r="J90" s="1"/>
      <c r="K90" s="1"/>
      <c r="L90" s="14">
        <v>98392</v>
      </c>
      <c r="M90" s="15">
        <f t="shared" si="25"/>
        <v>4</v>
      </c>
      <c r="N90" s="15">
        <f t="shared" si="22"/>
        <v>0</v>
      </c>
      <c r="O90" s="14">
        <v>98392</v>
      </c>
      <c r="P90" s="12">
        <f t="shared" si="23"/>
        <v>8199.3333333333339</v>
      </c>
      <c r="Q90" s="12">
        <f t="shared" si="27"/>
        <v>8199.3333333333339</v>
      </c>
    </row>
    <row r="91" spans="1:17" x14ac:dyDescent="0.3">
      <c r="A91" s="1">
        <f t="shared" si="26"/>
        <v>21</v>
      </c>
      <c r="B91" s="2" t="s">
        <v>97</v>
      </c>
      <c r="C91" s="3" t="s">
        <v>76</v>
      </c>
      <c r="D91" s="1" t="s">
        <v>40</v>
      </c>
      <c r="E91" s="1" t="s">
        <v>40</v>
      </c>
      <c r="F91" s="1"/>
      <c r="G91" s="1"/>
      <c r="H91" s="1" t="s">
        <v>40</v>
      </c>
      <c r="I91" s="1"/>
      <c r="J91" s="1"/>
      <c r="K91" s="1"/>
      <c r="L91" s="14">
        <v>51470</v>
      </c>
      <c r="M91" s="15">
        <f t="shared" si="25"/>
        <v>5</v>
      </c>
      <c r="N91" s="15">
        <f t="shared" si="22"/>
        <v>0</v>
      </c>
      <c r="O91" s="14">
        <v>51470</v>
      </c>
      <c r="P91" s="12">
        <f t="shared" si="23"/>
        <v>4289.166666666667</v>
      </c>
      <c r="Q91" s="12">
        <f t="shared" si="27"/>
        <v>4289.166666666667</v>
      </c>
    </row>
    <row r="92" spans="1:17" x14ac:dyDescent="0.3">
      <c r="A92" s="1">
        <f t="shared" si="26"/>
        <v>22</v>
      </c>
      <c r="B92" s="2" t="s">
        <v>98</v>
      </c>
      <c r="C92" s="3" t="s">
        <v>76</v>
      </c>
      <c r="D92" s="1" t="s">
        <v>40</v>
      </c>
      <c r="E92" s="1" t="s">
        <v>40</v>
      </c>
      <c r="F92" s="1" t="s">
        <v>40</v>
      </c>
      <c r="G92" s="1"/>
      <c r="H92" s="1" t="s">
        <v>40</v>
      </c>
      <c r="I92" s="1"/>
      <c r="J92" s="1"/>
      <c r="K92" s="1"/>
      <c r="L92" s="14">
        <v>93600</v>
      </c>
      <c r="M92" s="15">
        <f t="shared" si="25"/>
        <v>7</v>
      </c>
      <c r="N92" s="15">
        <f t="shared" si="22"/>
        <v>0</v>
      </c>
      <c r="O92" s="14">
        <v>93600</v>
      </c>
      <c r="P92" s="12">
        <f t="shared" si="23"/>
        <v>7800</v>
      </c>
      <c r="Q92" s="12">
        <f t="shared" si="27"/>
        <v>7800</v>
      </c>
    </row>
    <row r="93" spans="1:17" x14ac:dyDescent="0.3">
      <c r="A93" s="1">
        <f t="shared" si="26"/>
        <v>23</v>
      </c>
      <c r="B93" s="2" t="s">
        <v>99</v>
      </c>
      <c r="C93" s="3" t="s">
        <v>76</v>
      </c>
      <c r="D93" s="1" t="s">
        <v>40</v>
      </c>
      <c r="E93" s="1" t="s">
        <v>40</v>
      </c>
      <c r="F93" s="1"/>
      <c r="G93" s="1"/>
      <c r="H93" s="1" t="s">
        <v>40</v>
      </c>
      <c r="I93" s="1"/>
      <c r="J93" s="1"/>
      <c r="K93" s="1" t="s">
        <v>40</v>
      </c>
      <c r="L93" s="14">
        <v>145442.03</v>
      </c>
      <c r="M93" s="15">
        <f t="shared" si="25"/>
        <v>5</v>
      </c>
      <c r="N93" s="15">
        <f t="shared" si="22"/>
        <v>1</v>
      </c>
      <c r="O93" s="14">
        <v>145442.03</v>
      </c>
      <c r="P93" s="12">
        <f t="shared" si="23"/>
        <v>12120.169166666667</v>
      </c>
      <c r="Q93" s="12">
        <f t="shared" si="27"/>
        <v>12120.169166666667</v>
      </c>
    </row>
    <row r="94" spans="1:17" x14ac:dyDescent="0.3">
      <c r="A94" s="1">
        <f t="shared" si="26"/>
        <v>24</v>
      </c>
      <c r="B94" s="2" t="s">
        <v>100</v>
      </c>
      <c r="C94" s="3" t="s">
        <v>76</v>
      </c>
      <c r="D94" s="1" t="s">
        <v>40</v>
      </c>
      <c r="E94" s="1" t="s">
        <v>40</v>
      </c>
      <c r="F94" s="1"/>
      <c r="G94" s="1"/>
      <c r="H94" s="1" t="s">
        <v>40</v>
      </c>
      <c r="I94" s="1" t="s">
        <v>40</v>
      </c>
      <c r="J94" s="1"/>
      <c r="K94" s="1" t="s">
        <v>40</v>
      </c>
      <c r="L94" s="14">
        <v>72600</v>
      </c>
      <c r="M94" s="15">
        <f t="shared" si="25"/>
        <v>10</v>
      </c>
      <c r="N94" s="15">
        <f t="shared" si="22"/>
        <v>1</v>
      </c>
      <c r="O94" s="14">
        <v>72600</v>
      </c>
      <c r="P94" s="12">
        <f t="shared" si="23"/>
        <v>6050</v>
      </c>
      <c r="Q94" s="12">
        <f t="shared" si="27"/>
        <v>6050</v>
      </c>
    </row>
    <row r="95" spans="1:17" x14ac:dyDescent="0.3">
      <c r="A95" s="1">
        <f t="shared" si="26"/>
        <v>25</v>
      </c>
      <c r="B95" s="2" t="s">
        <v>101</v>
      </c>
      <c r="C95" s="3" t="s">
        <v>76</v>
      </c>
      <c r="D95" s="1" t="s">
        <v>40</v>
      </c>
      <c r="E95" s="1" t="s">
        <v>40</v>
      </c>
      <c r="F95" s="1"/>
      <c r="G95" s="1"/>
      <c r="H95" s="1" t="s">
        <v>40</v>
      </c>
      <c r="I95" s="1" t="s">
        <v>40</v>
      </c>
      <c r="J95" s="1"/>
      <c r="K95" s="1"/>
      <c r="L95" s="14">
        <v>157000</v>
      </c>
      <c r="M95" s="15">
        <f t="shared" si="25"/>
        <v>10</v>
      </c>
      <c r="N95" s="15">
        <f t="shared" si="22"/>
        <v>0</v>
      </c>
      <c r="O95" s="14">
        <v>157000</v>
      </c>
      <c r="P95" s="12">
        <f t="shared" si="23"/>
        <v>13083.333333333334</v>
      </c>
      <c r="Q95" s="12">
        <f t="shared" si="27"/>
        <v>13083.333333333334</v>
      </c>
    </row>
    <row r="96" spans="1:17" x14ac:dyDescent="0.3">
      <c r="A96" s="1">
        <f t="shared" si="26"/>
        <v>26</v>
      </c>
      <c r="B96" s="2" t="s">
        <v>102</v>
      </c>
      <c r="C96" s="3" t="s">
        <v>76</v>
      </c>
      <c r="D96" s="1" t="s">
        <v>40</v>
      </c>
      <c r="E96" s="1" t="s">
        <v>40</v>
      </c>
      <c r="F96" s="1"/>
      <c r="G96" s="1"/>
      <c r="H96" s="1"/>
      <c r="I96" s="1"/>
      <c r="J96" s="1"/>
      <c r="K96" s="1"/>
      <c r="L96" s="14">
        <v>9360</v>
      </c>
      <c r="M96" s="15">
        <f t="shared" si="25"/>
        <v>2</v>
      </c>
      <c r="N96" s="15">
        <f t="shared" si="22"/>
        <v>0</v>
      </c>
      <c r="O96" s="14">
        <v>9360</v>
      </c>
      <c r="P96" s="12">
        <f t="shared" si="23"/>
        <v>780</v>
      </c>
      <c r="Q96" s="12">
        <f t="shared" si="27"/>
        <v>780</v>
      </c>
    </row>
    <row r="97" spans="1:17" x14ac:dyDescent="0.3">
      <c r="A97" s="1">
        <f t="shared" si="26"/>
        <v>27</v>
      </c>
      <c r="B97" s="2" t="s">
        <v>103</v>
      </c>
      <c r="C97" s="3" t="s">
        <v>76</v>
      </c>
      <c r="D97" s="1" t="s">
        <v>40</v>
      </c>
      <c r="E97" s="1" t="s">
        <v>40</v>
      </c>
      <c r="F97" s="1"/>
      <c r="G97" s="1"/>
      <c r="H97" s="1" t="s">
        <v>40</v>
      </c>
      <c r="I97" s="1"/>
      <c r="J97" s="1"/>
      <c r="K97" s="1"/>
      <c r="L97" s="14">
        <v>102330</v>
      </c>
      <c r="M97" s="15">
        <f t="shared" si="25"/>
        <v>5</v>
      </c>
      <c r="N97" s="15">
        <f t="shared" si="22"/>
        <v>0</v>
      </c>
      <c r="O97" s="14">
        <v>102330</v>
      </c>
      <c r="P97" s="12">
        <f t="shared" si="23"/>
        <v>8527.5</v>
      </c>
      <c r="Q97" s="12">
        <f t="shared" si="27"/>
        <v>8527.5</v>
      </c>
    </row>
    <row r="98" spans="1:17" x14ac:dyDescent="0.3">
      <c r="A98" s="1">
        <f t="shared" si="26"/>
        <v>28</v>
      </c>
      <c r="B98" s="2" t="s">
        <v>104</v>
      </c>
      <c r="C98" s="3" t="s">
        <v>76</v>
      </c>
      <c r="D98" s="1" t="s">
        <v>40</v>
      </c>
      <c r="E98" s="1" t="s">
        <v>40</v>
      </c>
      <c r="F98" s="1" t="s">
        <v>40</v>
      </c>
      <c r="G98" s="1" t="s">
        <v>40</v>
      </c>
      <c r="H98" s="1" t="s">
        <v>40</v>
      </c>
      <c r="I98" s="1"/>
      <c r="J98" s="1"/>
      <c r="K98" s="1"/>
      <c r="L98" s="14">
        <v>121194</v>
      </c>
      <c r="M98" s="15">
        <f t="shared" si="25"/>
        <v>9</v>
      </c>
      <c r="N98" s="15">
        <f t="shared" si="22"/>
        <v>0</v>
      </c>
      <c r="O98" s="14">
        <v>121194</v>
      </c>
      <c r="P98" s="12">
        <f t="shared" si="23"/>
        <v>10099.5</v>
      </c>
      <c r="Q98" s="12">
        <f t="shared" si="27"/>
        <v>10099.5</v>
      </c>
    </row>
    <row r="99" spans="1:17" x14ac:dyDescent="0.3">
      <c r="A99" s="1">
        <f t="shared" si="26"/>
        <v>29</v>
      </c>
      <c r="B99" s="2" t="s">
        <v>105</v>
      </c>
      <c r="C99" s="3" t="s">
        <v>76</v>
      </c>
      <c r="D99" s="1" t="s">
        <v>40</v>
      </c>
      <c r="E99" s="1" t="s">
        <v>40</v>
      </c>
      <c r="F99" s="1"/>
      <c r="G99" s="1"/>
      <c r="H99" s="1" t="s">
        <v>40</v>
      </c>
      <c r="I99" s="1"/>
      <c r="J99" s="1"/>
      <c r="K99" s="1"/>
      <c r="L99" s="14">
        <v>203837.6</v>
      </c>
      <c r="M99" s="15">
        <f t="shared" si="25"/>
        <v>5</v>
      </c>
      <c r="N99" s="15">
        <f t="shared" si="22"/>
        <v>0</v>
      </c>
      <c r="O99" s="14">
        <v>203837.6</v>
      </c>
      <c r="P99" s="12">
        <f t="shared" si="23"/>
        <v>16986.466666666667</v>
      </c>
      <c r="Q99" s="12">
        <f t="shared" si="27"/>
        <v>16986.466666666667</v>
      </c>
    </row>
    <row r="100" spans="1:17" x14ac:dyDescent="0.3">
      <c r="A100" s="1">
        <f t="shared" si="26"/>
        <v>30</v>
      </c>
      <c r="B100" s="2" t="s">
        <v>106</v>
      </c>
      <c r="C100" s="3" t="s">
        <v>76</v>
      </c>
      <c r="D100" s="1" t="s">
        <v>40</v>
      </c>
      <c r="E100" s="1" t="s">
        <v>40</v>
      </c>
      <c r="F100" s="1"/>
      <c r="G100" s="1"/>
      <c r="H100" s="1"/>
      <c r="I100" s="1"/>
      <c r="J100" s="1"/>
      <c r="K100" s="1"/>
      <c r="L100" s="14">
        <v>0</v>
      </c>
      <c r="M100" s="15">
        <f t="shared" si="25"/>
        <v>2</v>
      </c>
      <c r="N100" s="15">
        <f t="shared" si="22"/>
        <v>0</v>
      </c>
      <c r="O100" s="20"/>
      <c r="P100" s="12">
        <f t="shared" si="23"/>
        <v>0</v>
      </c>
      <c r="Q100" s="20"/>
    </row>
    <row r="101" spans="1:17" x14ac:dyDescent="0.3">
      <c r="D101"/>
      <c r="E101"/>
      <c r="F101"/>
      <c r="G101"/>
      <c r="H101"/>
      <c r="I101"/>
      <c r="J101"/>
      <c r="L101" s="14">
        <f>+AVERAGE(L71:L100)</f>
        <v>194348.617</v>
      </c>
      <c r="M101" s="14">
        <f>+AVERAGE(M71:M100)</f>
        <v>6.833333333333333</v>
      </c>
      <c r="N101" s="14">
        <f>+SUM(N71:N100)</f>
        <v>6</v>
      </c>
      <c r="O101" s="14">
        <f>+AVERAGE(O71:O100)</f>
        <v>181703.10666666666</v>
      </c>
      <c r="P101" s="14">
        <f>+AVERAGE(P71:P100)</f>
        <v>16195.718083333331</v>
      </c>
      <c r="Q101" s="14">
        <f>+AVERAGE(Q71:Q100)</f>
        <v>15141.925555555556</v>
      </c>
    </row>
    <row r="102" spans="1:17" x14ac:dyDescent="0.3">
      <c r="D102"/>
      <c r="E102"/>
      <c r="F102"/>
      <c r="G102"/>
      <c r="H102"/>
      <c r="I102"/>
      <c r="J102"/>
      <c r="L102" s="14">
        <f>+STDEV(L71:L100)</f>
        <v>172826.72673972248</v>
      </c>
      <c r="M102" s="14">
        <f>+STDEV(M71:M100)</f>
        <v>3.7608081792241865</v>
      </c>
      <c r="N102" s="17"/>
      <c r="O102" s="14">
        <f>+STDEV(O71:O100)</f>
        <v>127892.19463898758</v>
      </c>
      <c r="P102" s="14">
        <f>+STDEV(P71:P100)</f>
        <v>14402.227228310208</v>
      </c>
      <c r="Q102" s="14">
        <f>+STDEV(Q71:Q100)</f>
        <v>10657.682886582295</v>
      </c>
    </row>
    <row r="103" spans="1:17" x14ac:dyDescent="0.3">
      <c r="D103"/>
      <c r="E103"/>
      <c r="F103"/>
      <c r="G103"/>
      <c r="H103"/>
      <c r="I103" s="15"/>
      <c r="J103" s="15"/>
      <c r="K103" s="11" t="s">
        <v>75</v>
      </c>
      <c r="L103" s="14">
        <f>+COUNTIF(L71:L100,0)</f>
        <v>1</v>
      </c>
      <c r="M103" s="14">
        <f>+COUNT(M71:M100)</f>
        <v>30</v>
      </c>
      <c r="P103" s="14">
        <f>+COUNTIF(P71:P100,0)</f>
        <v>1</v>
      </c>
    </row>
    <row r="104" spans="1:17" x14ac:dyDescent="0.3">
      <c r="D104"/>
      <c r="E104"/>
      <c r="F104"/>
      <c r="G104"/>
      <c r="H104"/>
      <c r="I104"/>
      <c r="J104"/>
    </row>
    <row r="105" spans="1:17" x14ac:dyDescent="0.3">
      <c r="A105" s="1">
        <v>1</v>
      </c>
      <c r="B105" s="2" t="s">
        <v>108</v>
      </c>
      <c r="C105" s="3" t="s">
        <v>107</v>
      </c>
      <c r="D105" s="1" t="s">
        <v>40</v>
      </c>
      <c r="E105" s="1" t="s">
        <v>40</v>
      </c>
      <c r="F105" s="1"/>
      <c r="G105" s="1"/>
      <c r="H105" s="1" t="s">
        <v>40</v>
      </c>
      <c r="I105" s="1" t="s">
        <v>40</v>
      </c>
      <c r="J105" s="1" t="s">
        <v>896</v>
      </c>
      <c r="K105" s="1" t="s">
        <v>40</v>
      </c>
      <c r="L105" s="14">
        <v>9836766</v>
      </c>
      <c r="M105" s="15">
        <f>+IF(D105="X",1,0)+IF(E105="X",1,0)+IF(F105="X",2,0)+IF(G105="X",2,0)+IF(H105="X",3,IF(H105="Y",1.5,0))+IF(I105="X",5,IF(I105="Y",2.5,0))+IF(J105="X1",10,IF(J105="X2",5,IF(J105="X3",3,0)))</f>
        <v>20</v>
      </c>
      <c r="N105" s="15">
        <f t="shared" ref="N105:N117" si="28">+IF(K105="X",1,0)</f>
        <v>1</v>
      </c>
      <c r="O105" s="20"/>
      <c r="P105" s="12">
        <f t="shared" ref="P105:P117" si="29">+L105/12</f>
        <v>819730.5</v>
      </c>
      <c r="Q105" s="20"/>
    </row>
    <row r="106" spans="1:17" x14ac:dyDescent="0.3">
      <c r="A106" s="1">
        <f>+A105+1</f>
        <v>2</v>
      </c>
      <c r="B106" s="2" t="s">
        <v>109</v>
      </c>
      <c r="C106" s="3" t="s">
        <v>107</v>
      </c>
      <c r="D106" s="1" t="s">
        <v>40</v>
      </c>
      <c r="E106" s="1" t="s">
        <v>40</v>
      </c>
      <c r="F106" s="1"/>
      <c r="G106" s="1"/>
      <c r="H106" s="1" t="s">
        <v>40</v>
      </c>
      <c r="I106" s="1" t="s">
        <v>40</v>
      </c>
      <c r="J106" s="1"/>
      <c r="K106" s="1"/>
      <c r="L106" s="12">
        <v>285335.53999999998</v>
      </c>
      <c r="M106" s="15">
        <f t="shared" ref="M106:M134" si="30">+IF(D106="X",1,0)+IF(E106="X",1,0)+IF(F106="X",2,0)+IF(G106="X",2,0)+IF(H106="X",3,IF(H106="Y",1.5,0))+IF(I106="X",5,IF(I106="Y",2.5,0))+IF(J106="X1",10,IF(J106="X2",5,IF(J106="X3",3,0)))</f>
        <v>10</v>
      </c>
      <c r="N106" s="15">
        <f t="shared" si="28"/>
        <v>0</v>
      </c>
      <c r="O106" s="12">
        <v>285335.53999999998</v>
      </c>
      <c r="P106" s="12">
        <f t="shared" si="29"/>
        <v>23777.961666666666</v>
      </c>
      <c r="Q106" s="12">
        <f t="shared" ref="Q106:Q110" si="31">+O106/12</f>
        <v>23777.961666666666</v>
      </c>
    </row>
    <row r="107" spans="1:17" x14ac:dyDescent="0.3">
      <c r="A107" s="1">
        <f t="shared" ref="A107:A134" si="32">+A106+1</f>
        <v>3</v>
      </c>
      <c r="B107" s="18" t="s">
        <v>110</v>
      </c>
      <c r="C107" s="3" t="s">
        <v>107</v>
      </c>
      <c r="D107" s="1" t="s">
        <v>40</v>
      </c>
      <c r="E107" s="1" t="s">
        <v>40</v>
      </c>
      <c r="F107" s="1"/>
      <c r="G107" s="1"/>
      <c r="H107" s="1" t="s">
        <v>40</v>
      </c>
      <c r="I107" s="1" t="s">
        <v>40</v>
      </c>
      <c r="J107" s="1"/>
      <c r="K107" s="1"/>
      <c r="L107" s="12">
        <v>438000</v>
      </c>
      <c r="M107" s="15">
        <f t="shared" si="30"/>
        <v>10</v>
      </c>
      <c r="N107" s="15">
        <f t="shared" si="28"/>
        <v>0</v>
      </c>
      <c r="O107" s="12">
        <v>438000</v>
      </c>
      <c r="P107" s="12">
        <f t="shared" si="29"/>
        <v>36500</v>
      </c>
      <c r="Q107" s="12">
        <f t="shared" si="31"/>
        <v>36500</v>
      </c>
    </row>
    <row r="108" spans="1:17" x14ac:dyDescent="0.3">
      <c r="A108" s="1">
        <f t="shared" si="32"/>
        <v>4</v>
      </c>
      <c r="B108" s="2" t="s">
        <v>111</v>
      </c>
      <c r="C108" s="3" t="s">
        <v>107</v>
      </c>
      <c r="D108" s="1" t="s">
        <v>40</v>
      </c>
      <c r="E108" s="1" t="s">
        <v>40</v>
      </c>
      <c r="F108" s="1"/>
      <c r="G108" s="1"/>
      <c r="H108" s="1" t="s">
        <v>40</v>
      </c>
      <c r="I108" s="1"/>
      <c r="J108" s="1"/>
      <c r="K108" s="1"/>
      <c r="L108" s="12">
        <v>425280</v>
      </c>
      <c r="M108" s="15">
        <f t="shared" si="30"/>
        <v>5</v>
      </c>
      <c r="N108" s="15">
        <f t="shared" si="28"/>
        <v>0</v>
      </c>
      <c r="O108" s="12">
        <v>425280</v>
      </c>
      <c r="P108" s="12">
        <f t="shared" si="29"/>
        <v>35440</v>
      </c>
      <c r="Q108" s="12">
        <f t="shared" si="31"/>
        <v>35440</v>
      </c>
    </row>
    <row r="109" spans="1:17" x14ac:dyDescent="0.3">
      <c r="A109" s="1">
        <f t="shared" si="32"/>
        <v>5</v>
      </c>
      <c r="B109" s="2" t="s">
        <v>112</v>
      </c>
      <c r="C109" s="3" t="s">
        <v>107</v>
      </c>
      <c r="D109" s="1" t="s">
        <v>40</v>
      </c>
      <c r="E109" s="1" t="s">
        <v>40</v>
      </c>
      <c r="F109" s="1"/>
      <c r="G109" s="1"/>
      <c r="H109" s="1" t="s">
        <v>40</v>
      </c>
      <c r="I109" s="1" t="s">
        <v>40</v>
      </c>
      <c r="J109" s="1"/>
      <c r="K109" s="1"/>
      <c r="L109" s="12">
        <v>301051.39</v>
      </c>
      <c r="M109" s="15">
        <f t="shared" si="30"/>
        <v>10</v>
      </c>
      <c r="N109" s="15">
        <f t="shared" si="28"/>
        <v>0</v>
      </c>
      <c r="O109" s="12">
        <v>301051.39</v>
      </c>
      <c r="P109" s="12">
        <f t="shared" si="29"/>
        <v>25087.615833333333</v>
      </c>
      <c r="Q109" s="12">
        <f t="shared" si="31"/>
        <v>25087.615833333333</v>
      </c>
    </row>
    <row r="110" spans="1:17" x14ac:dyDescent="0.3">
      <c r="A110" s="1">
        <f t="shared" si="32"/>
        <v>6</v>
      </c>
      <c r="B110" s="2" t="s">
        <v>113</v>
      </c>
      <c r="C110" s="3" t="s">
        <v>107</v>
      </c>
      <c r="D110" s="1" t="s">
        <v>40</v>
      </c>
      <c r="E110" s="1" t="s">
        <v>40</v>
      </c>
      <c r="F110" s="1"/>
      <c r="G110" s="1"/>
      <c r="H110" s="1" t="s">
        <v>40</v>
      </c>
      <c r="I110" s="1" t="s">
        <v>40</v>
      </c>
      <c r="J110" s="1" t="s">
        <v>901</v>
      </c>
      <c r="K110" s="1"/>
      <c r="L110" s="12">
        <v>284758</v>
      </c>
      <c r="M110" s="15">
        <f t="shared" si="30"/>
        <v>13</v>
      </c>
      <c r="N110" s="15">
        <f t="shared" si="28"/>
        <v>0</v>
      </c>
      <c r="O110" s="12">
        <v>284758</v>
      </c>
      <c r="P110" s="12">
        <f t="shared" si="29"/>
        <v>23729.833333333332</v>
      </c>
      <c r="Q110" s="12">
        <f t="shared" si="31"/>
        <v>23729.833333333332</v>
      </c>
    </row>
    <row r="111" spans="1:17" x14ac:dyDescent="0.3">
      <c r="A111" s="1">
        <f t="shared" si="32"/>
        <v>7</v>
      </c>
      <c r="B111" s="2" t="s">
        <v>114</v>
      </c>
      <c r="C111" s="3" t="s">
        <v>107</v>
      </c>
      <c r="D111" s="1" t="s">
        <v>40</v>
      </c>
      <c r="E111" s="1" t="s">
        <v>40</v>
      </c>
      <c r="F111" s="1"/>
      <c r="G111" s="1"/>
      <c r="H111" s="1"/>
      <c r="I111" s="1"/>
      <c r="J111" s="1"/>
      <c r="K111" s="1"/>
      <c r="L111" s="12">
        <v>0</v>
      </c>
      <c r="M111" s="15">
        <f t="shared" si="30"/>
        <v>2</v>
      </c>
      <c r="N111" s="15">
        <f t="shared" si="28"/>
        <v>0</v>
      </c>
      <c r="O111" s="20"/>
      <c r="P111" s="12">
        <f t="shared" si="29"/>
        <v>0</v>
      </c>
      <c r="Q111" s="20"/>
    </row>
    <row r="112" spans="1:17" x14ac:dyDescent="0.3">
      <c r="A112" s="1">
        <f t="shared" si="32"/>
        <v>8</v>
      </c>
      <c r="B112" s="2" t="s">
        <v>115</v>
      </c>
      <c r="C112" s="3" t="s">
        <v>107</v>
      </c>
      <c r="D112" s="1" t="s">
        <v>40</v>
      </c>
      <c r="E112" s="1" t="s">
        <v>40</v>
      </c>
      <c r="F112" s="1"/>
      <c r="G112" s="1"/>
      <c r="H112" s="1" t="s">
        <v>40</v>
      </c>
      <c r="I112" s="1" t="s">
        <v>40</v>
      </c>
      <c r="J112" s="1"/>
      <c r="K112" s="1"/>
      <c r="L112" s="12">
        <v>410705</v>
      </c>
      <c r="M112" s="15">
        <f t="shared" si="30"/>
        <v>10</v>
      </c>
      <c r="N112" s="15">
        <f t="shared" si="28"/>
        <v>0</v>
      </c>
      <c r="O112" s="12">
        <v>410705</v>
      </c>
      <c r="P112" s="12">
        <f t="shared" si="29"/>
        <v>34225.416666666664</v>
      </c>
      <c r="Q112" s="12">
        <f t="shared" ref="Q112:Q113" si="33">+O112/12</f>
        <v>34225.416666666664</v>
      </c>
    </row>
    <row r="113" spans="1:17" x14ac:dyDescent="0.3">
      <c r="A113" s="1">
        <f t="shared" si="32"/>
        <v>9</v>
      </c>
      <c r="B113" s="18" t="s">
        <v>116</v>
      </c>
      <c r="C113" s="3" t="s">
        <v>107</v>
      </c>
      <c r="D113" s="1" t="s">
        <v>40</v>
      </c>
      <c r="E113" s="1" t="s">
        <v>40</v>
      </c>
      <c r="F113" s="1"/>
      <c r="G113" s="1"/>
      <c r="H113" s="1"/>
      <c r="I113" s="1"/>
      <c r="J113" s="1"/>
      <c r="K113" s="1" t="s">
        <v>40</v>
      </c>
      <c r="L113" s="12">
        <v>170489</v>
      </c>
      <c r="M113" s="15">
        <f t="shared" si="30"/>
        <v>2</v>
      </c>
      <c r="N113" s="15">
        <f t="shared" si="28"/>
        <v>1</v>
      </c>
      <c r="O113" s="12">
        <v>170489</v>
      </c>
      <c r="P113" s="12">
        <f t="shared" si="29"/>
        <v>14207.416666666666</v>
      </c>
      <c r="Q113" s="12">
        <f t="shared" si="33"/>
        <v>14207.416666666666</v>
      </c>
    </row>
    <row r="114" spans="1:17" x14ac:dyDescent="0.3">
      <c r="A114" s="1">
        <f t="shared" si="32"/>
        <v>10</v>
      </c>
      <c r="B114" s="2" t="s">
        <v>117</v>
      </c>
      <c r="C114" s="3" t="s">
        <v>107</v>
      </c>
      <c r="D114" s="1" t="s">
        <v>40</v>
      </c>
      <c r="E114" s="1" t="s">
        <v>40</v>
      </c>
      <c r="F114" s="1"/>
      <c r="G114" s="1"/>
      <c r="H114" s="1" t="s">
        <v>40</v>
      </c>
      <c r="I114" s="1"/>
      <c r="J114" s="1"/>
      <c r="K114" s="1"/>
      <c r="L114" s="12">
        <v>0</v>
      </c>
      <c r="M114" s="15">
        <f t="shared" si="30"/>
        <v>5</v>
      </c>
      <c r="N114" s="15">
        <f t="shared" si="28"/>
        <v>0</v>
      </c>
      <c r="O114" s="20"/>
      <c r="P114" s="12">
        <f t="shared" si="29"/>
        <v>0</v>
      </c>
      <c r="Q114" s="20"/>
    </row>
    <row r="115" spans="1:17" x14ac:dyDescent="0.3">
      <c r="A115" s="1">
        <f t="shared" si="32"/>
        <v>11</v>
      </c>
      <c r="B115" s="2" t="s">
        <v>118</v>
      </c>
      <c r="C115" s="3" t="s">
        <v>107</v>
      </c>
      <c r="D115" s="1" t="s">
        <v>40</v>
      </c>
      <c r="E115" s="1" t="s">
        <v>40</v>
      </c>
      <c r="F115" s="1"/>
      <c r="G115" s="1"/>
      <c r="H115" s="1" t="s">
        <v>40</v>
      </c>
      <c r="I115" s="1" t="s">
        <v>40</v>
      </c>
      <c r="J115" s="1" t="s">
        <v>901</v>
      </c>
      <c r="K115" s="1" t="s">
        <v>40</v>
      </c>
      <c r="L115" s="12">
        <v>411649.6</v>
      </c>
      <c r="M115" s="15">
        <f t="shared" si="30"/>
        <v>13</v>
      </c>
      <c r="N115" s="15">
        <f t="shared" si="28"/>
        <v>1</v>
      </c>
      <c r="O115" s="12">
        <v>411649.6</v>
      </c>
      <c r="P115" s="12">
        <f t="shared" si="29"/>
        <v>34304.133333333331</v>
      </c>
      <c r="Q115" s="12">
        <f t="shared" ref="Q115:Q117" si="34">+O115/12</f>
        <v>34304.133333333331</v>
      </c>
    </row>
    <row r="116" spans="1:17" x14ac:dyDescent="0.3">
      <c r="A116" s="1">
        <f t="shared" si="32"/>
        <v>12</v>
      </c>
      <c r="B116" s="2" t="s">
        <v>119</v>
      </c>
      <c r="C116" s="3" t="s">
        <v>107</v>
      </c>
      <c r="D116" s="1" t="s">
        <v>40</v>
      </c>
      <c r="E116" s="1" t="s">
        <v>40</v>
      </c>
      <c r="F116" s="1" t="s">
        <v>40</v>
      </c>
      <c r="G116" s="1" t="s">
        <v>40</v>
      </c>
      <c r="H116" s="1" t="s">
        <v>40</v>
      </c>
      <c r="I116" s="1" t="s">
        <v>40</v>
      </c>
      <c r="J116" s="1" t="s">
        <v>897</v>
      </c>
      <c r="K116" s="1"/>
      <c r="L116" s="14">
        <v>211302</v>
      </c>
      <c r="M116" s="15">
        <f t="shared" si="30"/>
        <v>19</v>
      </c>
      <c r="N116" s="15">
        <f t="shared" si="28"/>
        <v>0</v>
      </c>
      <c r="O116" s="14">
        <v>211302</v>
      </c>
      <c r="P116" s="12">
        <f t="shared" si="29"/>
        <v>17608.5</v>
      </c>
      <c r="Q116" s="12">
        <f t="shared" si="34"/>
        <v>17608.5</v>
      </c>
    </row>
    <row r="117" spans="1:17" x14ac:dyDescent="0.3">
      <c r="A117" s="1">
        <f t="shared" si="32"/>
        <v>13</v>
      </c>
      <c r="B117" s="2" t="s">
        <v>120</v>
      </c>
      <c r="C117" s="3" t="s">
        <v>107</v>
      </c>
      <c r="D117" s="1" t="s">
        <v>40</v>
      </c>
      <c r="E117" s="1" t="s">
        <v>40</v>
      </c>
      <c r="F117" s="1"/>
      <c r="G117" s="1"/>
      <c r="H117" s="1" t="s">
        <v>40</v>
      </c>
      <c r="I117" s="1" t="s">
        <v>40</v>
      </c>
      <c r="J117" s="1"/>
      <c r="K117" s="1" t="s">
        <v>40</v>
      </c>
      <c r="L117" s="14">
        <v>411650</v>
      </c>
      <c r="M117" s="15">
        <f t="shared" si="30"/>
        <v>10</v>
      </c>
      <c r="N117" s="15">
        <f t="shared" si="28"/>
        <v>1</v>
      </c>
      <c r="O117" s="14">
        <v>411650</v>
      </c>
      <c r="P117" s="12">
        <f t="shared" si="29"/>
        <v>34304.166666666664</v>
      </c>
      <c r="Q117" s="12">
        <f t="shared" si="34"/>
        <v>34304.166666666664</v>
      </c>
    </row>
    <row r="118" spans="1:17" x14ac:dyDescent="0.3">
      <c r="A118" s="1">
        <f t="shared" si="32"/>
        <v>14</v>
      </c>
      <c r="B118" s="19"/>
      <c r="C118" s="9"/>
      <c r="D118" s="7"/>
      <c r="E118" s="7"/>
      <c r="F118" s="7"/>
      <c r="G118" s="7"/>
      <c r="H118" s="7"/>
      <c r="I118" s="7"/>
      <c r="J118" s="7"/>
      <c r="K118" s="7"/>
      <c r="L118" s="13"/>
      <c r="M118" s="13"/>
      <c r="N118" s="16"/>
      <c r="O118" s="13"/>
      <c r="P118" s="13"/>
      <c r="Q118" s="13"/>
    </row>
    <row r="119" spans="1:17" x14ac:dyDescent="0.3">
      <c r="A119" s="1">
        <f t="shared" si="32"/>
        <v>15</v>
      </c>
      <c r="B119" s="18" t="s">
        <v>121</v>
      </c>
      <c r="C119" s="3" t="s">
        <v>107</v>
      </c>
      <c r="D119" s="1" t="s">
        <v>40</v>
      </c>
      <c r="E119" s="1" t="s">
        <v>40</v>
      </c>
      <c r="F119" s="1" t="s">
        <v>40</v>
      </c>
      <c r="G119" s="1"/>
      <c r="H119" s="1" t="s">
        <v>40</v>
      </c>
      <c r="I119" s="1" t="s">
        <v>40</v>
      </c>
      <c r="J119" s="1" t="s">
        <v>897</v>
      </c>
      <c r="K119" s="1"/>
      <c r="L119" s="14">
        <v>27400</v>
      </c>
      <c r="M119" s="15">
        <f t="shared" si="30"/>
        <v>17</v>
      </c>
      <c r="N119" s="15">
        <f t="shared" ref="N119:N134" si="35">+IF(K119="X",1,0)</f>
        <v>0</v>
      </c>
      <c r="O119" s="14">
        <v>27400</v>
      </c>
      <c r="P119" s="12">
        <f t="shared" ref="P119:P134" si="36">+L119/12</f>
        <v>2283.3333333333335</v>
      </c>
      <c r="Q119" s="12">
        <f t="shared" ref="Q119:Q125" si="37">+O119/12</f>
        <v>2283.3333333333335</v>
      </c>
    </row>
    <row r="120" spans="1:17" x14ac:dyDescent="0.3">
      <c r="A120" s="1">
        <f t="shared" si="32"/>
        <v>16</v>
      </c>
      <c r="B120" s="2" t="s">
        <v>122</v>
      </c>
      <c r="C120" s="3" t="s">
        <v>107</v>
      </c>
      <c r="D120" s="1" t="s">
        <v>40</v>
      </c>
      <c r="E120" s="1" t="s">
        <v>40</v>
      </c>
      <c r="F120" s="1" t="s">
        <v>40</v>
      </c>
      <c r="G120" s="1"/>
      <c r="H120" s="1" t="s">
        <v>40</v>
      </c>
      <c r="I120" s="1"/>
      <c r="J120" s="1"/>
      <c r="K120" s="1"/>
      <c r="L120" s="14">
        <v>99820</v>
      </c>
      <c r="M120" s="15">
        <f t="shared" si="30"/>
        <v>7</v>
      </c>
      <c r="N120" s="15">
        <f t="shared" si="35"/>
        <v>0</v>
      </c>
      <c r="O120" s="14">
        <v>99820</v>
      </c>
      <c r="P120" s="12">
        <f t="shared" si="36"/>
        <v>8318.3333333333339</v>
      </c>
      <c r="Q120" s="12">
        <f t="shared" si="37"/>
        <v>8318.3333333333339</v>
      </c>
    </row>
    <row r="121" spans="1:17" x14ac:dyDescent="0.3">
      <c r="A121" s="1">
        <f t="shared" si="32"/>
        <v>17</v>
      </c>
      <c r="B121" s="2" t="s">
        <v>123</v>
      </c>
      <c r="C121" s="3" t="s">
        <v>107</v>
      </c>
      <c r="D121" s="1" t="s">
        <v>40</v>
      </c>
      <c r="E121" s="1" t="s">
        <v>40</v>
      </c>
      <c r="F121" s="1"/>
      <c r="G121" s="1"/>
      <c r="H121" s="1" t="s">
        <v>40</v>
      </c>
      <c r="I121" s="1"/>
      <c r="J121" s="1"/>
      <c r="K121" s="1" t="s">
        <v>40</v>
      </c>
      <c r="L121" s="14">
        <v>67970</v>
      </c>
      <c r="M121" s="15">
        <f t="shared" si="30"/>
        <v>5</v>
      </c>
      <c r="N121" s="15">
        <f t="shared" si="35"/>
        <v>1</v>
      </c>
      <c r="O121" s="14">
        <v>67970</v>
      </c>
      <c r="P121" s="12">
        <f t="shared" si="36"/>
        <v>5664.166666666667</v>
      </c>
      <c r="Q121" s="12">
        <f t="shared" si="37"/>
        <v>5664.166666666667</v>
      </c>
    </row>
    <row r="122" spans="1:17" x14ac:dyDescent="0.3">
      <c r="A122" s="1">
        <f t="shared" si="32"/>
        <v>18</v>
      </c>
      <c r="B122" s="2" t="s">
        <v>124</v>
      </c>
      <c r="C122" s="3" t="s">
        <v>107</v>
      </c>
      <c r="D122" s="1" t="s">
        <v>40</v>
      </c>
      <c r="E122" s="1" t="s">
        <v>40</v>
      </c>
      <c r="F122" s="1" t="s">
        <v>40</v>
      </c>
      <c r="G122" s="1"/>
      <c r="H122" s="1" t="s">
        <v>40</v>
      </c>
      <c r="I122" s="1"/>
      <c r="J122" s="1"/>
      <c r="K122" s="1"/>
      <c r="L122" s="14">
        <v>46370</v>
      </c>
      <c r="M122" s="15">
        <f t="shared" si="30"/>
        <v>7</v>
      </c>
      <c r="N122" s="15">
        <f t="shared" si="35"/>
        <v>0</v>
      </c>
      <c r="O122" s="14">
        <v>46370</v>
      </c>
      <c r="P122" s="12">
        <f t="shared" si="36"/>
        <v>3864.1666666666665</v>
      </c>
      <c r="Q122" s="12">
        <f t="shared" si="37"/>
        <v>3864.1666666666665</v>
      </c>
    </row>
    <row r="123" spans="1:17" x14ac:dyDescent="0.3">
      <c r="A123" s="1">
        <f t="shared" si="32"/>
        <v>19</v>
      </c>
      <c r="B123" s="2" t="s">
        <v>125</v>
      </c>
      <c r="C123" s="3" t="s">
        <v>107</v>
      </c>
      <c r="D123" s="1" t="s">
        <v>40</v>
      </c>
      <c r="E123" s="1" t="s">
        <v>40</v>
      </c>
      <c r="F123" s="1"/>
      <c r="G123" s="1"/>
      <c r="H123" s="1" t="s">
        <v>40</v>
      </c>
      <c r="I123" s="1" t="s">
        <v>40</v>
      </c>
      <c r="J123" s="1"/>
      <c r="K123" s="1"/>
      <c r="L123" s="14">
        <v>259452</v>
      </c>
      <c r="M123" s="15">
        <f t="shared" si="30"/>
        <v>10</v>
      </c>
      <c r="N123" s="15">
        <f t="shared" si="35"/>
        <v>0</v>
      </c>
      <c r="O123" s="14">
        <v>259452</v>
      </c>
      <c r="P123" s="12">
        <f t="shared" si="36"/>
        <v>21621</v>
      </c>
      <c r="Q123" s="12">
        <f t="shared" si="37"/>
        <v>21621</v>
      </c>
    </row>
    <row r="124" spans="1:17" x14ac:dyDescent="0.3">
      <c r="A124" s="1">
        <f t="shared" si="32"/>
        <v>20</v>
      </c>
      <c r="B124" s="2" t="s">
        <v>126</v>
      </c>
      <c r="C124" s="3" t="s">
        <v>107</v>
      </c>
      <c r="D124" s="1" t="s">
        <v>40</v>
      </c>
      <c r="E124" s="1" t="s">
        <v>40</v>
      </c>
      <c r="F124" s="1"/>
      <c r="G124" s="1"/>
      <c r="H124" s="1" t="s">
        <v>40</v>
      </c>
      <c r="I124" s="1"/>
      <c r="J124" s="1"/>
      <c r="K124" s="1"/>
      <c r="L124" s="14">
        <v>52768</v>
      </c>
      <c r="M124" s="15">
        <f t="shared" si="30"/>
        <v>5</v>
      </c>
      <c r="N124" s="15">
        <f t="shared" si="35"/>
        <v>0</v>
      </c>
      <c r="O124" s="14">
        <v>52768</v>
      </c>
      <c r="P124" s="12">
        <f t="shared" si="36"/>
        <v>4397.333333333333</v>
      </c>
      <c r="Q124" s="12">
        <f t="shared" si="37"/>
        <v>4397.333333333333</v>
      </c>
    </row>
    <row r="125" spans="1:17" x14ac:dyDescent="0.3">
      <c r="A125" s="1">
        <f t="shared" si="32"/>
        <v>21</v>
      </c>
      <c r="B125" s="2" t="s">
        <v>127</v>
      </c>
      <c r="C125" s="3" t="s">
        <v>107</v>
      </c>
      <c r="D125" s="1" t="s">
        <v>40</v>
      </c>
      <c r="E125" s="1" t="s">
        <v>40</v>
      </c>
      <c r="F125" s="1" t="s">
        <v>40</v>
      </c>
      <c r="G125" s="1"/>
      <c r="H125" s="1"/>
      <c r="I125" s="1"/>
      <c r="J125" s="1"/>
      <c r="K125" s="1"/>
      <c r="L125" s="14">
        <v>337076.1</v>
      </c>
      <c r="M125" s="15">
        <f t="shared" si="30"/>
        <v>4</v>
      </c>
      <c r="N125" s="15">
        <f t="shared" si="35"/>
        <v>0</v>
      </c>
      <c r="O125" s="14">
        <v>337076.1</v>
      </c>
      <c r="P125" s="12">
        <f t="shared" si="36"/>
        <v>28089.674999999999</v>
      </c>
      <c r="Q125" s="12">
        <f t="shared" si="37"/>
        <v>28089.674999999999</v>
      </c>
    </row>
    <row r="126" spans="1:17" x14ac:dyDescent="0.3">
      <c r="A126" s="1">
        <f t="shared" si="32"/>
        <v>22</v>
      </c>
      <c r="B126" s="2" t="s">
        <v>128</v>
      </c>
      <c r="C126" s="3" t="s">
        <v>107</v>
      </c>
      <c r="D126" s="1" t="s">
        <v>40</v>
      </c>
      <c r="E126" s="1" t="s">
        <v>40</v>
      </c>
      <c r="F126" s="1"/>
      <c r="G126" s="1"/>
      <c r="H126" s="1" t="s">
        <v>40</v>
      </c>
      <c r="I126" s="1"/>
      <c r="J126" s="1"/>
      <c r="K126" s="1"/>
      <c r="L126" s="14">
        <v>0</v>
      </c>
      <c r="M126" s="15">
        <f t="shared" si="30"/>
        <v>5</v>
      </c>
      <c r="N126" s="15">
        <f t="shared" si="35"/>
        <v>0</v>
      </c>
      <c r="O126" s="20"/>
      <c r="P126" s="12">
        <f t="shared" si="36"/>
        <v>0</v>
      </c>
      <c r="Q126" s="20"/>
    </row>
    <row r="127" spans="1:17" x14ac:dyDescent="0.3">
      <c r="A127" s="1">
        <f t="shared" si="32"/>
        <v>23</v>
      </c>
      <c r="B127" s="2" t="s">
        <v>129</v>
      </c>
      <c r="C127" s="3" t="s">
        <v>107</v>
      </c>
      <c r="D127" s="1" t="s">
        <v>40</v>
      </c>
      <c r="E127" s="1" t="s">
        <v>40</v>
      </c>
      <c r="F127" s="1"/>
      <c r="G127" s="1"/>
      <c r="H127" s="1" t="s">
        <v>40</v>
      </c>
      <c r="I127" s="1"/>
      <c r="J127" s="1"/>
      <c r="K127" s="1" t="s">
        <v>40</v>
      </c>
      <c r="L127" s="14">
        <v>85132</v>
      </c>
      <c r="M127" s="15">
        <f t="shared" si="30"/>
        <v>5</v>
      </c>
      <c r="N127" s="15">
        <f t="shared" si="35"/>
        <v>1</v>
      </c>
      <c r="O127" s="14">
        <v>85132</v>
      </c>
      <c r="P127" s="12">
        <f t="shared" si="36"/>
        <v>7094.333333333333</v>
      </c>
      <c r="Q127" s="12">
        <f t="shared" ref="Q127:Q134" si="38">+O127/12</f>
        <v>7094.333333333333</v>
      </c>
    </row>
    <row r="128" spans="1:17" x14ac:dyDescent="0.3">
      <c r="A128" s="1">
        <f t="shared" si="32"/>
        <v>24</v>
      </c>
      <c r="B128" s="2" t="s">
        <v>130</v>
      </c>
      <c r="C128" s="3" t="s">
        <v>107</v>
      </c>
      <c r="D128" s="1" t="s">
        <v>40</v>
      </c>
      <c r="E128" s="1" t="s">
        <v>40</v>
      </c>
      <c r="F128" s="1"/>
      <c r="G128" s="1"/>
      <c r="H128" s="1"/>
      <c r="I128" s="1"/>
      <c r="J128" s="1"/>
      <c r="K128" s="1"/>
      <c r="L128" s="14">
        <v>11520</v>
      </c>
      <c r="M128" s="15">
        <f t="shared" si="30"/>
        <v>2</v>
      </c>
      <c r="N128" s="15">
        <f t="shared" si="35"/>
        <v>0</v>
      </c>
      <c r="O128" s="14">
        <v>11520</v>
      </c>
      <c r="P128" s="12">
        <f t="shared" si="36"/>
        <v>960</v>
      </c>
      <c r="Q128" s="12">
        <f t="shared" si="38"/>
        <v>960</v>
      </c>
    </row>
    <row r="129" spans="1:20" x14ac:dyDescent="0.3">
      <c r="A129" s="1">
        <f t="shared" si="32"/>
        <v>25</v>
      </c>
      <c r="B129" s="2" t="s">
        <v>131</v>
      </c>
      <c r="C129" s="3" t="s">
        <v>107</v>
      </c>
      <c r="D129" s="1" t="s">
        <v>40</v>
      </c>
      <c r="E129" s="1" t="s">
        <v>40</v>
      </c>
      <c r="F129" s="1" t="s">
        <v>40</v>
      </c>
      <c r="G129" s="1"/>
      <c r="H129" s="1"/>
      <c r="I129" s="1"/>
      <c r="J129" s="1"/>
      <c r="K129" s="1"/>
      <c r="L129" s="14">
        <v>34237</v>
      </c>
      <c r="M129" s="15">
        <f t="shared" si="30"/>
        <v>4</v>
      </c>
      <c r="N129" s="15">
        <f t="shared" si="35"/>
        <v>0</v>
      </c>
      <c r="O129" s="14">
        <v>34237</v>
      </c>
      <c r="P129" s="12">
        <f t="shared" si="36"/>
        <v>2853.0833333333335</v>
      </c>
      <c r="Q129" s="12">
        <f t="shared" si="38"/>
        <v>2853.0833333333335</v>
      </c>
    </row>
    <row r="130" spans="1:20" x14ac:dyDescent="0.3">
      <c r="A130" s="1">
        <f t="shared" si="32"/>
        <v>26</v>
      </c>
      <c r="B130" s="2" t="s">
        <v>132</v>
      </c>
      <c r="C130" s="3" t="s">
        <v>107</v>
      </c>
      <c r="D130" s="1" t="s">
        <v>40</v>
      </c>
      <c r="E130" s="1" t="s">
        <v>40</v>
      </c>
      <c r="F130" s="1"/>
      <c r="G130" s="1"/>
      <c r="H130" s="1" t="s">
        <v>40</v>
      </c>
      <c r="I130" s="1" t="s">
        <v>40</v>
      </c>
      <c r="J130" s="1" t="s">
        <v>901</v>
      </c>
      <c r="K130" s="1"/>
      <c r="L130" s="14">
        <v>88775</v>
      </c>
      <c r="M130" s="15">
        <f t="shared" si="30"/>
        <v>13</v>
      </c>
      <c r="N130" s="15">
        <f t="shared" si="35"/>
        <v>0</v>
      </c>
      <c r="O130" s="14">
        <v>88775</v>
      </c>
      <c r="P130" s="12">
        <f t="shared" si="36"/>
        <v>7397.916666666667</v>
      </c>
      <c r="Q130" s="12">
        <f t="shared" si="38"/>
        <v>7397.916666666667</v>
      </c>
    </row>
    <row r="131" spans="1:20" x14ac:dyDescent="0.3">
      <c r="A131" s="1">
        <f t="shared" si="32"/>
        <v>27</v>
      </c>
      <c r="B131" s="2" t="s">
        <v>133</v>
      </c>
      <c r="C131" s="3" t="s">
        <v>107</v>
      </c>
      <c r="D131" s="1" t="s">
        <v>40</v>
      </c>
      <c r="E131" s="1" t="s">
        <v>40</v>
      </c>
      <c r="F131" s="1"/>
      <c r="G131" s="1"/>
      <c r="H131" s="1" t="s">
        <v>40</v>
      </c>
      <c r="I131" s="1" t="s">
        <v>40</v>
      </c>
      <c r="J131" s="1" t="s">
        <v>901</v>
      </c>
      <c r="K131" s="1" t="s">
        <v>40</v>
      </c>
      <c r="L131" s="14">
        <v>33320</v>
      </c>
      <c r="M131" s="15">
        <f t="shared" si="30"/>
        <v>13</v>
      </c>
      <c r="N131" s="15">
        <f t="shared" si="35"/>
        <v>1</v>
      </c>
      <c r="O131" s="14">
        <v>33320</v>
      </c>
      <c r="P131" s="12">
        <f t="shared" si="36"/>
        <v>2776.6666666666665</v>
      </c>
      <c r="Q131" s="12">
        <f t="shared" si="38"/>
        <v>2776.6666666666665</v>
      </c>
    </row>
    <row r="132" spans="1:20" x14ac:dyDescent="0.3">
      <c r="A132" s="1">
        <f t="shared" si="32"/>
        <v>28</v>
      </c>
      <c r="B132" s="2" t="s">
        <v>134</v>
      </c>
      <c r="C132" s="3" t="s">
        <v>107</v>
      </c>
      <c r="D132" s="1" t="s">
        <v>40</v>
      </c>
      <c r="E132" s="1" t="s">
        <v>40</v>
      </c>
      <c r="F132" s="1"/>
      <c r="G132" s="1" t="s">
        <v>40</v>
      </c>
      <c r="H132" s="1"/>
      <c r="I132" s="1"/>
      <c r="J132" s="1"/>
      <c r="K132" s="1"/>
      <c r="L132" s="14">
        <v>24000</v>
      </c>
      <c r="M132" s="15">
        <f t="shared" si="30"/>
        <v>4</v>
      </c>
      <c r="N132" s="15">
        <f t="shared" si="35"/>
        <v>0</v>
      </c>
      <c r="O132" s="14">
        <v>24000</v>
      </c>
      <c r="P132" s="12">
        <f t="shared" si="36"/>
        <v>2000</v>
      </c>
      <c r="Q132" s="12">
        <f t="shared" si="38"/>
        <v>2000</v>
      </c>
    </row>
    <row r="133" spans="1:20" x14ac:dyDescent="0.3">
      <c r="A133" s="1">
        <f t="shared" si="32"/>
        <v>29</v>
      </c>
      <c r="B133" s="2" t="s">
        <v>135</v>
      </c>
      <c r="C133" s="3" t="s">
        <v>107</v>
      </c>
      <c r="D133" s="1" t="s">
        <v>40</v>
      </c>
      <c r="E133" s="1" t="s">
        <v>40</v>
      </c>
      <c r="F133" s="1"/>
      <c r="G133" s="1" t="s">
        <v>40</v>
      </c>
      <c r="H133" s="1" t="s">
        <v>40</v>
      </c>
      <c r="I133" s="1"/>
      <c r="J133" s="1"/>
      <c r="K133" s="1"/>
      <c r="L133" s="14">
        <v>259571</v>
      </c>
      <c r="M133" s="15">
        <f t="shared" si="30"/>
        <v>7</v>
      </c>
      <c r="N133" s="15">
        <f t="shared" si="35"/>
        <v>0</v>
      </c>
      <c r="O133" s="14">
        <v>259571</v>
      </c>
      <c r="P133" s="12">
        <f t="shared" si="36"/>
        <v>21630.916666666668</v>
      </c>
      <c r="Q133" s="12">
        <f t="shared" si="38"/>
        <v>21630.916666666668</v>
      </c>
    </row>
    <row r="134" spans="1:20" x14ac:dyDescent="0.3">
      <c r="A134" s="1">
        <f t="shared" si="32"/>
        <v>30</v>
      </c>
      <c r="B134" s="2" t="s">
        <v>136</v>
      </c>
      <c r="C134" s="3" t="s">
        <v>107</v>
      </c>
      <c r="D134" s="1" t="s">
        <v>40</v>
      </c>
      <c r="E134" s="1" t="s">
        <v>40</v>
      </c>
      <c r="F134" s="1" t="s">
        <v>40</v>
      </c>
      <c r="G134" s="1"/>
      <c r="H134" s="1" t="s">
        <v>40</v>
      </c>
      <c r="I134" s="1"/>
      <c r="J134" s="1"/>
      <c r="K134" s="1"/>
      <c r="L134" s="14">
        <v>140478.67000000001</v>
      </c>
      <c r="M134" s="15">
        <f t="shared" si="30"/>
        <v>7</v>
      </c>
      <c r="N134" s="15">
        <f t="shared" si="35"/>
        <v>0</v>
      </c>
      <c r="O134" s="14">
        <v>140478.67000000001</v>
      </c>
      <c r="P134" s="12">
        <f t="shared" si="36"/>
        <v>11706.555833333334</v>
      </c>
      <c r="Q134" s="12">
        <f t="shared" si="38"/>
        <v>11706.555833333334</v>
      </c>
    </row>
    <row r="135" spans="1:20" x14ac:dyDescent="0.3">
      <c r="D135"/>
      <c r="E135"/>
      <c r="F135"/>
      <c r="G135"/>
      <c r="H135"/>
      <c r="I135"/>
      <c r="J135"/>
      <c r="L135" s="14">
        <f>+AVERAGE(L105:L134)</f>
        <v>508788.83793103445</v>
      </c>
      <c r="M135" s="14">
        <f>+AVERAGE(M105:M134)</f>
        <v>8.4137931034482758</v>
      </c>
      <c r="N135" s="14">
        <f>+SUM(N105:N134)</f>
        <v>7</v>
      </c>
      <c r="O135" s="14">
        <f>+AVERAGE(O105:O134)</f>
        <v>196724.41199999998</v>
      </c>
      <c r="P135" s="14">
        <f>+AVERAGE(P105:P134)</f>
        <v>42399.069827586209</v>
      </c>
      <c r="Q135" s="14">
        <f>+AVERAGE(Q105:Q134)</f>
        <v>16393.700999999997</v>
      </c>
      <c r="R135" s="25"/>
    </row>
    <row r="136" spans="1:20" x14ac:dyDescent="0.3">
      <c r="D136"/>
      <c r="E136"/>
      <c r="F136"/>
      <c r="G136"/>
      <c r="H136"/>
      <c r="I136"/>
      <c r="J136"/>
      <c r="L136" s="14">
        <f>+STDEV(L105:L134)</f>
        <v>1800480.413462793</v>
      </c>
      <c r="M136" s="14">
        <f>+STDEV(M105:M134)</f>
        <v>4.9245539419417055</v>
      </c>
      <c r="N136" s="17"/>
      <c r="O136" s="14">
        <f>+STDEV(O105:O134)</f>
        <v>150840.81153469914</v>
      </c>
      <c r="P136" s="14">
        <f>+STDEV(P105:P134)</f>
        <v>150040.03445523279</v>
      </c>
      <c r="Q136" s="14">
        <f>+STDEV(Q105:Q134)</f>
        <v>12570.0676278916</v>
      </c>
    </row>
    <row r="137" spans="1:20" x14ac:dyDescent="0.3">
      <c r="D137"/>
      <c r="E137"/>
      <c r="F137"/>
      <c r="G137"/>
      <c r="H137"/>
      <c r="I137" s="15"/>
      <c r="J137" s="15"/>
      <c r="K137" s="11" t="s">
        <v>75</v>
      </c>
      <c r="L137" s="14">
        <f>+COUNTIF(L105:L134,0)</f>
        <v>3</v>
      </c>
      <c r="M137" s="14">
        <f>+COUNT(M105:M134)</f>
        <v>29</v>
      </c>
      <c r="P137" s="14">
        <f>+COUNTIF(P105:P134,0)</f>
        <v>3</v>
      </c>
    </row>
    <row r="138" spans="1:20" x14ac:dyDescent="0.3">
      <c r="D138"/>
      <c r="E138"/>
      <c r="F138"/>
      <c r="G138"/>
      <c r="H138"/>
      <c r="I138"/>
      <c r="J138"/>
    </row>
    <row r="139" spans="1:20" x14ac:dyDescent="0.3">
      <c r="A139" s="1">
        <v>1</v>
      </c>
      <c r="B139" s="2" t="s">
        <v>137</v>
      </c>
      <c r="C139" s="3" t="s">
        <v>138</v>
      </c>
      <c r="D139" s="1" t="s">
        <v>40</v>
      </c>
      <c r="E139" s="1" t="s">
        <v>40</v>
      </c>
      <c r="F139" s="1"/>
      <c r="G139" s="1"/>
      <c r="H139" s="1"/>
      <c r="I139" s="1"/>
      <c r="J139" s="1"/>
      <c r="K139" s="1"/>
      <c r="L139" s="14">
        <v>27000</v>
      </c>
      <c r="M139" s="15">
        <f>+IF(D139="X",1,0)+IF(E139="X",1,0)+IF(F139="X",2,0)+IF(G139="X",2,0)+IF(H139="X",3,IF(H139="Y",1.5,0))+IF(I139="X",5,IF(I139="Y",2.5,0))+IF(J139="X1",10,IF(J139="X2",5,IF(J139="X3",3,0)))</f>
        <v>2</v>
      </c>
      <c r="N139" s="15">
        <f t="shared" ref="N139:N168" si="39">+IF(K139="X",1,0)</f>
        <v>0</v>
      </c>
      <c r="O139" s="14">
        <v>27000</v>
      </c>
      <c r="P139" s="12">
        <f t="shared" ref="P139:P168" si="40">+L139/12</f>
        <v>2250</v>
      </c>
      <c r="Q139" s="12">
        <f t="shared" ref="Q139:Q168" si="41">+O139/12</f>
        <v>2250</v>
      </c>
    </row>
    <row r="140" spans="1:20" x14ac:dyDescent="0.3">
      <c r="A140" s="1">
        <f>+A139+1</f>
        <v>2</v>
      </c>
      <c r="B140" s="2" t="s">
        <v>139</v>
      </c>
      <c r="C140" s="3" t="s">
        <v>138</v>
      </c>
      <c r="D140" s="1" t="s">
        <v>40</v>
      </c>
      <c r="E140" s="1" t="s">
        <v>40</v>
      </c>
      <c r="F140" s="1" t="s">
        <v>40</v>
      </c>
      <c r="G140" s="1"/>
      <c r="H140" s="1" t="s">
        <v>40</v>
      </c>
      <c r="I140" s="1" t="s">
        <v>40</v>
      </c>
      <c r="J140" s="1"/>
      <c r="K140" s="1"/>
      <c r="L140" s="12">
        <v>437413.31</v>
      </c>
      <c r="M140" s="15">
        <f t="shared" ref="M140:M168" si="42">+IF(D140="X",1,0)+IF(E140="X",1,0)+IF(F140="X",2,0)+IF(G140="X",2,0)+IF(H140="X",3,IF(H140="Y",1.5,0))+IF(I140="X",5,IF(I140="Y",2.5,0))+IF(J140="X1",10,IF(J140="X2",5,IF(J140="X3",3,0)))</f>
        <v>12</v>
      </c>
      <c r="N140" s="15">
        <f t="shared" si="39"/>
        <v>0</v>
      </c>
      <c r="O140" s="12">
        <v>437413.31</v>
      </c>
      <c r="P140" s="12">
        <f t="shared" si="40"/>
        <v>36451.109166666669</v>
      </c>
      <c r="Q140" s="12">
        <f t="shared" si="41"/>
        <v>36451.109166666669</v>
      </c>
      <c r="R140" t="s">
        <v>140</v>
      </c>
    </row>
    <row r="141" spans="1:20" x14ac:dyDescent="0.3">
      <c r="A141" s="1">
        <f t="shared" ref="A141:A168" si="43">+A140+1</f>
        <v>3</v>
      </c>
      <c r="B141" s="2">
        <v>21487528</v>
      </c>
      <c r="C141" s="3" t="s">
        <v>138</v>
      </c>
      <c r="D141" s="1" t="s">
        <v>40</v>
      </c>
      <c r="E141" s="1" t="s">
        <v>40</v>
      </c>
      <c r="F141" s="1"/>
      <c r="G141" s="1"/>
      <c r="H141" s="1" t="s">
        <v>40</v>
      </c>
      <c r="I141" s="1"/>
      <c r="J141" s="1"/>
      <c r="K141" s="1"/>
      <c r="L141" s="12">
        <v>18000</v>
      </c>
      <c r="M141" s="15">
        <f t="shared" si="42"/>
        <v>5</v>
      </c>
      <c r="N141" s="15">
        <f t="shared" si="39"/>
        <v>0</v>
      </c>
      <c r="O141" s="12">
        <v>18000</v>
      </c>
      <c r="P141" s="12">
        <f t="shared" si="40"/>
        <v>1500</v>
      </c>
      <c r="Q141" s="12">
        <f t="shared" si="41"/>
        <v>1500</v>
      </c>
    </row>
    <row r="142" spans="1:20" x14ac:dyDescent="0.3">
      <c r="A142" s="1">
        <f t="shared" si="43"/>
        <v>4</v>
      </c>
      <c r="B142" s="2" t="s">
        <v>141</v>
      </c>
      <c r="C142" s="3" t="s">
        <v>138</v>
      </c>
      <c r="D142" s="1" t="s">
        <v>40</v>
      </c>
      <c r="E142" s="1" t="s">
        <v>40</v>
      </c>
      <c r="F142" s="1"/>
      <c r="G142" s="1"/>
      <c r="H142" s="1" t="s">
        <v>40</v>
      </c>
      <c r="I142" s="1" t="s">
        <v>40</v>
      </c>
      <c r="J142" s="1" t="s">
        <v>896</v>
      </c>
      <c r="K142" s="1"/>
      <c r="L142" s="12">
        <v>37892</v>
      </c>
      <c r="M142" s="15">
        <f t="shared" si="42"/>
        <v>20</v>
      </c>
      <c r="N142" s="15">
        <f t="shared" si="39"/>
        <v>0</v>
      </c>
      <c r="O142" s="12">
        <v>37892</v>
      </c>
      <c r="P142" s="12">
        <f t="shared" si="40"/>
        <v>3157.6666666666665</v>
      </c>
      <c r="Q142" s="12">
        <f t="shared" si="41"/>
        <v>3157.6666666666665</v>
      </c>
      <c r="S142" t="s">
        <v>140</v>
      </c>
      <c r="T142" t="s">
        <v>142</v>
      </c>
    </row>
    <row r="143" spans="1:20" x14ac:dyDescent="0.3">
      <c r="A143" s="1">
        <f t="shared" si="43"/>
        <v>5</v>
      </c>
      <c r="B143" s="2" t="s">
        <v>143</v>
      </c>
      <c r="C143" s="3" t="s">
        <v>138</v>
      </c>
      <c r="D143" s="1" t="s">
        <v>40</v>
      </c>
      <c r="E143" s="1" t="s">
        <v>40</v>
      </c>
      <c r="F143" s="1"/>
      <c r="G143" s="1"/>
      <c r="H143" s="1" t="s">
        <v>40</v>
      </c>
      <c r="I143" s="1"/>
      <c r="J143" s="1"/>
      <c r="K143" s="1"/>
      <c r="L143" s="12">
        <v>24000</v>
      </c>
      <c r="M143" s="15">
        <f t="shared" si="42"/>
        <v>5</v>
      </c>
      <c r="N143" s="15">
        <f t="shared" si="39"/>
        <v>0</v>
      </c>
      <c r="O143" s="12">
        <v>24000</v>
      </c>
      <c r="P143" s="12">
        <f t="shared" si="40"/>
        <v>2000</v>
      </c>
      <c r="Q143" s="12">
        <f t="shared" si="41"/>
        <v>2000</v>
      </c>
    </row>
    <row r="144" spans="1:20" x14ac:dyDescent="0.3">
      <c r="A144" s="1">
        <f t="shared" si="43"/>
        <v>6</v>
      </c>
      <c r="B144" s="2" t="s">
        <v>144</v>
      </c>
      <c r="C144" s="3" t="s">
        <v>138</v>
      </c>
      <c r="D144" s="1" t="s">
        <v>40</v>
      </c>
      <c r="E144" s="1" t="s">
        <v>40</v>
      </c>
      <c r="F144" s="1"/>
      <c r="G144" s="1"/>
      <c r="H144" s="1" t="s">
        <v>40</v>
      </c>
      <c r="I144" s="1"/>
      <c r="J144" s="1"/>
      <c r="K144" s="1"/>
      <c r="L144" s="12">
        <v>36000</v>
      </c>
      <c r="M144" s="15">
        <f t="shared" si="42"/>
        <v>5</v>
      </c>
      <c r="N144" s="15">
        <f t="shared" si="39"/>
        <v>0</v>
      </c>
      <c r="O144" s="12">
        <v>36000</v>
      </c>
      <c r="P144" s="12">
        <f t="shared" si="40"/>
        <v>3000</v>
      </c>
      <c r="Q144" s="12">
        <f t="shared" si="41"/>
        <v>3000</v>
      </c>
    </row>
    <row r="145" spans="1:21" x14ac:dyDescent="0.3">
      <c r="A145" s="1">
        <f t="shared" si="43"/>
        <v>7</v>
      </c>
      <c r="B145" s="2" t="s">
        <v>145</v>
      </c>
      <c r="C145" s="3" t="s">
        <v>138</v>
      </c>
      <c r="D145" s="1" t="s">
        <v>40</v>
      </c>
      <c r="E145" s="1" t="s">
        <v>40</v>
      </c>
      <c r="F145" s="1"/>
      <c r="G145" s="1"/>
      <c r="H145" s="1" t="s">
        <v>40</v>
      </c>
      <c r="I145" s="1"/>
      <c r="J145" s="1"/>
      <c r="K145" s="1"/>
      <c r="L145" s="12">
        <v>427206.27</v>
      </c>
      <c r="M145" s="15">
        <f t="shared" si="42"/>
        <v>5</v>
      </c>
      <c r="N145" s="15">
        <f t="shared" si="39"/>
        <v>0</v>
      </c>
      <c r="O145" s="12">
        <v>427206.27</v>
      </c>
      <c r="P145" s="12">
        <f t="shared" si="40"/>
        <v>35600.522499999999</v>
      </c>
      <c r="Q145" s="12">
        <f t="shared" si="41"/>
        <v>35600.522499999999</v>
      </c>
      <c r="R145" t="s">
        <v>140</v>
      </c>
    </row>
    <row r="146" spans="1:21" x14ac:dyDescent="0.3">
      <c r="A146" s="1">
        <f t="shared" si="43"/>
        <v>8</v>
      </c>
      <c r="B146" s="2" t="s">
        <v>146</v>
      </c>
      <c r="C146" s="3" t="s">
        <v>138</v>
      </c>
      <c r="D146" s="1" t="s">
        <v>40</v>
      </c>
      <c r="E146" s="1" t="s">
        <v>40</v>
      </c>
      <c r="F146" s="1"/>
      <c r="G146" s="1"/>
      <c r="H146" s="1" t="s">
        <v>40</v>
      </c>
      <c r="I146" s="1"/>
      <c r="J146" s="1"/>
      <c r="K146" s="1"/>
      <c r="L146" s="12">
        <v>949312</v>
      </c>
      <c r="M146" s="15">
        <f t="shared" si="42"/>
        <v>5</v>
      </c>
      <c r="N146" s="15">
        <f t="shared" si="39"/>
        <v>0</v>
      </c>
      <c r="O146" s="20"/>
      <c r="P146" s="12">
        <f t="shared" si="40"/>
        <v>79109.333333333328</v>
      </c>
      <c r="Q146" s="20"/>
      <c r="R146" t="s">
        <v>140</v>
      </c>
    </row>
    <row r="147" spans="1:21" x14ac:dyDescent="0.3">
      <c r="A147" s="1">
        <f t="shared" si="43"/>
        <v>9</v>
      </c>
      <c r="B147" s="2" t="s">
        <v>147</v>
      </c>
      <c r="C147" s="3" t="s">
        <v>138</v>
      </c>
      <c r="D147" s="1" t="s">
        <v>40</v>
      </c>
      <c r="E147" s="1" t="s">
        <v>40</v>
      </c>
      <c r="F147" s="1"/>
      <c r="G147" s="1"/>
      <c r="H147" s="1" t="s">
        <v>40</v>
      </c>
      <c r="I147" s="1" t="s">
        <v>40</v>
      </c>
      <c r="J147" s="1"/>
      <c r="K147" s="1"/>
      <c r="L147" s="12">
        <v>100000</v>
      </c>
      <c r="M147" s="15">
        <f t="shared" si="42"/>
        <v>10</v>
      </c>
      <c r="N147" s="15">
        <f t="shared" si="39"/>
        <v>0</v>
      </c>
      <c r="O147" s="12">
        <v>100000</v>
      </c>
      <c r="P147" s="12">
        <f t="shared" si="40"/>
        <v>8333.3333333333339</v>
      </c>
      <c r="Q147" s="12">
        <f t="shared" si="41"/>
        <v>8333.3333333333339</v>
      </c>
    </row>
    <row r="148" spans="1:21" x14ac:dyDescent="0.3">
      <c r="A148" s="1">
        <f t="shared" si="43"/>
        <v>10</v>
      </c>
      <c r="B148" s="2" t="s">
        <v>148</v>
      </c>
      <c r="C148" s="3" t="s">
        <v>138</v>
      </c>
      <c r="D148" s="1" t="s">
        <v>40</v>
      </c>
      <c r="E148" s="1" t="s">
        <v>40</v>
      </c>
      <c r="F148" s="1" t="s">
        <v>40</v>
      </c>
      <c r="G148" s="1" t="s">
        <v>40</v>
      </c>
      <c r="H148" s="1"/>
      <c r="I148" s="1"/>
      <c r="J148" s="1"/>
      <c r="K148" s="1"/>
      <c r="L148" s="12">
        <v>0</v>
      </c>
      <c r="M148" s="15">
        <f t="shared" si="42"/>
        <v>6</v>
      </c>
      <c r="N148" s="15">
        <f t="shared" si="39"/>
        <v>0</v>
      </c>
      <c r="O148" s="20"/>
      <c r="P148" s="12">
        <f t="shared" si="40"/>
        <v>0</v>
      </c>
      <c r="Q148" s="20"/>
    </row>
    <row r="149" spans="1:21" x14ac:dyDescent="0.3">
      <c r="A149" s="1">
        <f t="shared" si="43"/>
        <v>11</v>
      </c>
      <c r="B149" s="2" t="s">
        <v>149</v>
      </c>
      <c r="C149" s="3" t="s">
        <v>138</v>
      </c>
      <c r="D149" s="1" t="s">
        <v>40</v>
      </c>
      <c r="E149" s="1" t="s">
        <v>40</v>
      </c>
      <c r="F149" s="1"/>
      <c r="G149" s="1"/>
      <c r="H149" s="1" t="s">
        <v>40</v>
      </c>
      <c r="I149" s="1"/>
      <c r="J149" s="1"/>
      <c r="K149" s="1"/>
      <c r="L149" s="12">
        <v>140000</v>
      </c>
      <c r="M149" s="15">
        <f t="shared" si="42"/>
        <v>5</v>
      </c>
      <c r="N149" s="15">
        <f t="shared" si="39"/>
        <v>0</v>
      </c>
      <c r="O149" s="12">
        <v>140000</v>
      </c>
      <c r="P149" s="12">
        <f t="shared" si="40"/>
        <v>11666.666666666666</v>
      </c>
      <c r="Q149" s="12">
        <f t="shared" si="41"/>
        <v>11666.666666666666</v>
      </c>
      <c r="S149" t="s">
        <v>150</v>
      </c>
      <c r="T149" t="s">
        <v>151</v>
      </c>
    </row>
    <row r="150" spans="1:21" x14ac:dyDescent="0.3">
      <c r="A150" s="1">
        <f t="shared" si="43"/>
        <v>12</v>
      </c>
      <c r="B150" s="2" t="s">
        <v>152</v>
      </c>
      <c r="C150" s="3" t="s">
        <v>138</v>
      </c>
      <c r="D150" s="1" t="s">
        <v>40</v>
      </c>
      <c r="E150" s="1" t="s">
        <v>40</v>
      </c>
      <c r="F150" s="1"/>
      <c r="G150" s="1"/>
      <c r="H150" s="1"/>
      <c r="I150" s="1"/>
      <c r="J150" s="1"/>
      <c r="K150" s="1"/>
      <c r="L150" s="14">
        <v>19200</v>
      </c>
      <c r="M150" s="15">
        <f t="shared" si="42"/>
        <v>2</v>
      </c>
      <c r="N150" s="15">
        <f t="shared" si="39"/>
        <v>0</v>
      </c>
      <c r="O150" s="14">
        <v>19200</v>
      </c>
      <c r="P150" s="12">
        <f t="shared" si="40"/>
        <v>1600</v>
      </c>
      <c r="Q150" s="12">
        <f t="shared" si="41"/>
        <v>1600</v>
      </c>
    </row>
    <row r="151" spans="1:21" x14ac:dyDescent="0.3">
      <c r="A151" s="1">
        <f t="shared" si="43"/>
        <v>13</v>
      </c>
      <c r="B151" s="2" t="s">
        <v>153</v>
      </c>
      <c r="C151" s="3" t="s">
        <v>138</v>
      </c>
      <c r="D151" s="1" t="s">
        <v>40</v>
      </c>
      <c r="E151" s="1" t="s">
        <v>40</v>
      </c>
      <c r="F151" s="1"/>
      <c r="G151" s="1"/>
      <c r="H151" s="1" t="s">
        <v>40</v>
      </c>
      <c r="I151" s="1"/>
      <c r="J151" s="1"/>
      <c r="K151" s="1"/>
      <c r="L151" s="14">
        <v>0</v>
      </c>
      <c r="M151" s="15">
        <f t="shared" si="42"/>
        <v>5</v>
      </c>
      <c r="N151" s="15">
        <f t="shared" si="39"/>
        <v>0</v>
      </c>
      <c r="O151" s="20"/>
      <c r="P151" s="12">
        <f t="shared" si="40"/>
        <v>0</v>
      </c>
      <c r="Q151" s="20"/>
    </row>
    <row r="152" spans="1:21" x14ac:dyDescent="0.3">
      <c r="A152" s="1">
        <f t="shared" si="43"/>
        <v>14</v>
      </c>
      <c r="B152" s="2" t="s">
        <v>154</v>
      </c>
      <c r="C152" s="3" t="s">
        <v>138</v>
      </c>
      <c r="D152" s="1" t="s">
        <v>40</v>
      </c>
      <c r="E152" s="1" t="s">
        <v>40</v>
      </c>
      <c r="F152" s="1"/>
      <c r="G152" s="1"/>
      <c r="H152" s="1"/>
      <c r="I152" s="1"/>
      <c r="J152" s="1"/>
      <c r="K152" s="1"/>
      <c r="L152" s="14">
        <v>0</v>
      </c>
      <c r="M152" s="15">
        <f t="shared" si="42"/>
        <v>2</v>
      </c>
      <c r="N152" s="15">
        <f t="shared" si="39"/>
        <v>0</v>
      </c>
      <c r="O152" s="20"/>
      <c r="P152" s="12">
        <f t="shared" si="40"/>
        <v>0</v>
      </c>
      <c r="Q152" s="20"/>
    </row>
    <row r="153" spans="1:21" x14ac:dyDescent="0.3">
      <c r="A153" s="1">
        <f t="shared" si="43"/>
        <v>15</v>
      </c>
      <c r="B153" s="2" t="s">
        <v>155</v>
      </c>
      <c r="C153" s="3" t="s">
        <v>138</v>
      </c>
      <c r="D153" s="1" t="s">
        <v>40</v>
      </c>
      <c r="E153" s="1" t="s">
        <v>40</v>
      </c>
      <c r="F153" s="1"/>
      <c r="G153" s="1"/>
      <c r="H153" s="1" t="s">
        <v>40</v>
      </c>
      <c r="I153" s="1"/>
      <c r="J153" s="1"/>
      <c r="K153" s="1"/>
      <c r="L153" s="14">
        <v>218400</v>
      </c>
      <c r="M153" s="15">
        <f t="shared" si="42"/>
        <v>5</v>
      </c>
      <c r="N153" s="15">
        <f t="shared" si="39"/>
        <v>0</v>
      </c>
      <c r="O153" s="14">
        <v>218400</v>
      </c>
      <c r="P153" s="12">
        <f t="shared" si="40"/>
        <v>18200</v>
      </c>
      <c r="Q153" s="12">
        <f t="shared" si="41"/>
        <v>18200</v>
      </c>
      <c r="R153" t="s">
        <v>140</v>
      </c>
    </row>
    <row r="154" spans="1:21" x14ac:dyDescent="0.3">
      <c r="A154" s="1">
        <f t="shared" si="43"/>
        <v>16</v>
      </c>
      <c r="B154" s="2" t="s">
        <v>156</v>
      </c>
      <c r="C154" s="3" t="s">
        <v>138</v>
      </c>
      <c r="D154" s="1" t="s">
        <v>40</v>
      </c>
      <c r="E154" s="1" t="s">
        <v>40</v>
      </c>
      <c r="F154" s="1"/>
      <c r="G154" s="1"/>
      <c r="H154" s="1"/>
      <c r="I154" s="1"/>
      <c r="J154" s="1"/>
      <c r="K154" s="1"/>
      <c r="L154" s="14">
        <v>0</v>
      </c>
      <c r="M154" s="15">
        <f t="shared" si="42"/>
        <v>2</v>
      </c>
      <c r="N154" s="15">
        <f t="shared" si="39"/>
        <v>0</v>
      </c>
      <c r="O154" s="20"/>
      <c r="P154" s="12">
        <f t="shared" si="40"/>
        <v>0</v>
      </c>
      <c r="Q154" s="20"/>
    </row>
    <row r="155" spans="1:21" x14ac:dyDescent="0.3">
      <c r="A155" s="1">
        <f t="shared" si="43"/>
        <v>17</v>
      </c>
      <c r="B155" s="2" t="s">
        <v>157</v>
      </c>
      <c r="C155" s="3" t="s">
        <v>138</v>
      </c>
      <c r="D155" s="1" t="s">
        <v>40</v>
      </c>
      <c r="E155" s="1" t="s">
        <v>40</v>
      </c>
      <c r="F155" s="1"/>
      <c r="G155" s="1"/>
      <c r="H155" s="1"/>
      <c r="I155" s="1"/>
      <c r="J155" s="1"/>
      <c r="K155" s="1" t="s">
        <v>40</v>
      </c>
      <c r="L155" s="14">
        <v>18000</v>
      </c>
      <c r="M155" s="15">
        <f t="shared" si="42"/>
        <v>2</v>
      </c>
      <c r="N155" s="15">
        <f t="shared" si="39"/>
        <v>1</v>
      </c>
      <c r="O155" s="14">
        <v>18000</v>
      </c>
      <c r="P155" s="12">
        <f t="shared" si="40"/>
        <v>1500</v>
      </c>
      <c r="Q155" s="12">
        <f t="shared" si="41"/>
        <v>1500</v>
      </c>
      <c r="U155" t="s">
        <v>158</v>
      </c>
    </row>
    <row r="156" spans="1:21" x14ac:dyDescent="0.3">
      <c r="A156" s="1">
        <f t="shared" si="43"/>
        <v>18</v>
      </c>
      <c r="B156" s="2" t="s">
        <v>159</v>
      </c>
      <c r="C156" s="3" t="s">
        <v>138</v>
      </c>
      <c r="D156" s="1" t="s">
        <v>40</v>
      </c>
      <c r="E156" s="1" t="s">
        <v>40</v>
      </c>
      <c r="F156" s="1"/>
      <c r="G156" s="1"/>
      <c r="H156" s="1"/>
      <c r="I156" s="1"/>
      <c r="J156" s="1"/>
      <c r="K156" s="1"/>
      <c r="L156" s="14">
        <v>0</v>
      </c>
      <c r="M156" s="15">
        <f t="shared" si="42"/>
        <v>2</v>
      </c>
      <c r="N156" s="15">
        <f t="shared" si="39"/>
        <v>0</v>
      </c>
      <c r="O156" s="20"/>
      <c r="P156" s="12">
        <f t="shared" si="40"/>
        <v>0</v>
      </c>
      <c r="Q156" s="20"/>
    </row>
    <row r="157" spans="1:21" x14ac:dyDescent="0.3">
      <c r="A157" s="1">
        <f t="shared" si="43"/>
        <v>19</v>
      </c>
      <c r="B157" s="2" t="s">
        <v>160</v>
      </c>
      <c r="C157" s="3" t="s">
        <v>138</v>
      </c>
      <c r="D157" s="1" t="s">
        <v>40</v>
      </c>
      <c r="E157" s="1" t="s">
        <v>40</v>
      </c>
      <c r="F157" s="1"/>
      <c r="G157" s="1"/>
      <c r="H157" s="1"/>
      <c r="I157" s="1"/>
      <c r="J157" s="1"/>
      <c r="K157" s="1" t="s">
        <v>40</v>
      </c>
      <c r="L157" s="14">
        <v>238954.94</v>
      </c>
      <c r="M157" s="15">
        <f t="shared" si="42"/>
        <v>2</v>
      </c>
      <c r="N157" s="15">
        <f t="shared" si="39"/>
        <v>1</v>
      </c>
      <c r="O157" s="14">
        <v>238954.94</v>
      </c>
      <c r="P157" s="12">
        <f t="shared" si="40"/>
        <v>19912.911666666667</v>
      </c>
      <c r="Q157" s="12">
        <f t="shared" si="41"/>
        <v>19912.911666666667</v>
      </c>
    </row>
    <row r="158" spans="1:21" x14ac:dyDescent="0.3">
      <c r="A158" s="1">
        <f t="shared" si="43"/>
        <v>20</v>
      </c>
      <c r="B158" s="2" t="s">
        <v>161</v>
      </c>
      <c r="C158" s="3" t="s">
        <v>138</v>
      </c>
      <c r="D158" s="1" t="s">
        <v>40</v>
      </c>
      <c r="E158" s="1" t="s">
        <v>40</v>
      </c>
      <c r="F158" s="1"/>
      <c r="G158" s="1"/>
      <c r="H158" s="1"/>
      <c r="I158" s="1"/>
      <c r="J158" s="1"/>
      <c r="K158" s="1"/>
      <c r="L158" s="14">
        <v>18000</v>
      </c>
      <c r="M158" s="15">
        <f t="shared" si="42"/>
        <v>2</v>
      </c>
      <c r="N158" s="15">
        <f t="shared" si="39"/>
        <v>0</v>
      </c>
      <c r="O158" s="14">
        <v>18000</v>
      </c>
      <c r="P158" s="12">
        <f t="shared" si="40"/>
        <v>1500</v>
      </c>
      <c r="Q158" s="12">
        <f t="shared" si="41"/>
        <v>1500</v>
      </c>
    </row>
    <row r="159" spans="1:21" x14ac:dyDescent="0.3">
      <c r="A159" s="1">
        <f t="shared" si="43"/>
        <v>21</v>
      </c>
      <c r="B159" s="2" t="s">
        <v>162</v>
      </c>
      <c r="C159" s="3" t="s">
        <v>138</v>
      </c>
      <c r="D159" s="1" t="s">
        <v>40</v>
      </c>
      <c r="E159" s="1" t="s">
        <v>40</v>
      </c>
      <c r="F159" s="1"/>
      <c r="G159" s="1"/>
      <c r="H159" s="1" t="s">
        <v>40</v>
      </c>
      <c r="I159" s="1" t="s">
        <v>40</v>
      </c>
      <c r="J159" s="1"/>
      <c r="K159" s="1"/>
      <c r="L159" s="14">
        <v>24000</v>
      </c>
      <c r="M159" s="15">
        <f t="shared" si="42"/>
        <v>10</v>
      </c>
      <c r="N159" s="15">
        <f t="shared" si="39"/>
        <v>0</v>
      </c>
      <c r="O159" s="14">
        <v>24000</v>
      </c>
      <c r="P159" s="12">
        <f t="shared" si="40"/>
        <v>2000</v>
      </c>
      <c r="Q159" s="12">
        <f t="shared" si="41"/>
        <v>2000</v>
      </c>
    </row>
    <row r="160" spans="1:21" x14ac:dyDescent="0.3">
      <c r="A160" s="1">
        <f t="shared" si="43"/>
        <v>22</v>
      </c>
      <c r="B160" s="2" t="s">
        <v>163</v>
      </c>
      <c r="C160" s="3" t="s">
        <v>138</v>
      </c>
      <c r="D160" s="1" t="s">
        <v>40</v>
      </c>
      <c r="E160" s="1" t="s">
        <v>40</v>
      </c>
      <c r="F160" s="1" t="s">
        <v>40</v>
      </c>
      <c r="G160" s="1"/>
      <c r="H160" s="1"/>
      <c r="I160" s="1"/>
      <c r="J160" s="1"/>
      <c r="K160" s="1"/>
      <c r="L160" s="14">
        <v>4000</v>
      </c>
      <c r="M160" s="15">
        <f t="shared" si="42"/>
        <v>4</v>
      </c>
      <c r="N160" s="15">
        <f t="shared" si="39"/>
        <v>0</v>
      </c>
      <c r="O160" s="14">
        <v>4000</v>
      </c>
      <c r="P160" s="12">
        <f t="shared" si="40"/>
        <v>333.33333333333331</v>
      </c>
      <c r="Q160" s="12">
        <f t="shared" si="41"/>
        <v>333.33333333333331</v>
      </c>
    </row>
    <row r="161" spans="1:21" x14ac:dyDescent="0.3">
      <c r="A161" s="1">
        <f t="shared" si="43"/>
        <v>23</v>
      </c>
      <c r="B161" s="2" t="s">
        <v>164</v>
      </c>
      <c r="C161" s="3" t="s">
        <v>138</v>
      </c>
      <c r="D161" s="1" t="s">
        <v>40</v>
      </c>
      <c r="E161" s="1" t="s">
        <v>40</v>
      </c>
      <c r="F161" s="1"/>
      <c r="G161" s="1"/>
      <c r="H161" s="1" t="s">
        <v>40</v>
      </c>
      <c r="I161" s="1"/>
      <c r="J161" s="1"/>
      <c r="K161" s="1"/>
      <c r="L161" s="14">
        <v>60000</v>
      </c>
      <c r="M161" s="15">
        <f t="shared" si="42"/>
        <v>5</v>
      </c>
      <c r="N161" s="15">
        <f t="shared" si="39"/>
        <v>0</v>
      </c>
      <c r="O161" s="14">
        <v>60000</v>
      </c>
      <c r="P161" s="12">
        <f t="shared" si="40"/>
        <v>5000</v>
      </c>
      <c r="Q161" s="12">
        <f t="shared" si="41"/>
        <v>5000</v>
      </c>
      <c r="U161" t="s">
        <v>165</v>
      </c>
    </row>
    <row r="162" spans="1:21" x14ac:dyDescent="0.3">
      <c r="A162" s="1">
        <f t="shared" si="43"/>
        <v>24</v>
      </c>
      <c r="B162" s="2" t="s">
        <v>166</v>
      </c>
      <c r="C162" s="3" t="s">
        <v>138</v>
      </c>
      <c r="D162" s="1" t="s">
        <v>40</v>
      </c>
      <c r="E162" s="1" t="s">
        <v>40</v>
      </c>
      <c r="F162" s="1"/>
      <c r="G162" s="1"/>
      <c r="H162" s="1"/>
      <c r="I162" s="1"/>
      <c r="J162" s="1"/>
      <c r="K162" s="1"/>
      <c r="L162" s="14">
        <v>0</v>
      </c>
      <c r="M162" s="15">
        <f t="shared" si="42"/>
        <v>2</v>
      </c>
      <c r="N162" s="15">
        <f t="shared" si="39"/>
        <v>0</v>
      </c>
      <c r="O162" s="20"/>
      <c r="P162" s="12">
        <f t="shared" si="40"/>
        <v>0</v>
      </c>
      <c r="Q162" s="20"/>
    </row>
    <row r="163" spans="1:21" x14ac:dyDescent="0.3">
      <c r="A163" s="1">
        <f t="shared" si="43"/>
        <v>25</v>
      </c>
      <c r="B163" s="2" t="s">
        <v>167</v>
      </c>
      <c r="C163" s="3" t="s">
        <v>138</v>
      </c>
      <c r="D163" s="1" t="s">
        <v>40</v>
      </c>
      <c r="E163" s="1" t="s">
        <v>40</v>
      </c>
      <c r="F163" s="1" t="s">
        <v>40</v>
      </c>
      <c r="G163" s="1"/>
      <c r="H163" s="1" t="s">
        <v>40</v>
      </c>
      <c r="I163" s="1"/>
      <c r="J163" s="1"/>
      <c r="K163" s="1"/>
      <c r="L163" s="14">
        <v>96000</v>
      </c>
      <c r="M163" s="15">
        <f t="shared" si="42"/>
        <v>7</v>
      </c>
      <c r="N163" s="15">
        <f t="shared" si="39"/>
        <v>0</v>
      </c>
      <c r="O163" s="14">
        <v>96000</v>
      </c>
      <c r="P163" s="12">
        <f t="shared" si="40"/>
        <v>8000</v>
      </c>
      <c r="Q163" s="12">
        <f t="shared" si="41"/>
        <v>8000</v>
      </c>
      <c r="U163" t="s">
        <v>165</v>
      </c>
    </row>
    <row r="164" spans="1:21" x14ac:dyDescent="0.3">
      <c r="A164" s="1">
        <f t="shared" si="43"/>
        <v>26</v>
      </c>
      <c r="B164" s="18" t="s">
        <v>168</v>
      </c>
      <c r="C164" s="3" t="s">
        <v>138</v>
      </c>
      <c r="D164" s="1" t="s">
        <v>40</v>
      </c>
      <c r="E164" s="1" t="s">
        <v>40</v>
      </c>
      <c r="F164" s="1"/>
      <c r="G164" s="1"/>
      <c r="H164" s="1"/>
      <c r="I164" s="1"/>
      <c r="J164" s="1"/>
      <c r="K164" s="1"/>
      <c r="L164" s="14">
        <v>0</v>
      </c>
      <c r="M164" s="15">
        <f t="shared" si="42"/>
        <v>2</v>
      </c>
      <c r="N164" s="15">
        <f t="shared" si="39"/>
        <v>0</v>
      </c>
      <c r="O164" s="20"/>
      <c r="P164" s="12">
        <f t="shared" si="40"/>
        <v>0</v>
      </c>
      <c r="Q164" s="20"/>
    </row>
    <row r="165" spans="1:21" x14ac:dyDescent="0.3">
      <c r="A165" s="1">
        <f t="shared" si="43"/>
        <v>27</v>
      </c>
      <c r="B165" s="2" t="s">
        <v>169</v>
      </c>
      <c r="C165" s="3" t="s">
        <v>138</v>
      </c>
      <c r="D165" s="1" t="s">
        <v>40</v>
      </c>
      <c r="E165" s="1" t="s">
        <v>40</v>
      </c>
      <c r="F165" s="1"/>
      <c r="G165" s="1"/>
      <c r="H165" s="1" t="s">
        <v>40</v>
      </c>
      <c r="I165" s="1"/>
      <c r="J165" s="1"/>
      <c r="K165" s="1"/>
      <c r="L165" s="14">
        <v>33240</v>
      </c>
      <c r="M165" s="15">
        <f t="shared" si="42"/>
        <v>5</v>
      </c>
      <c r="N165" s="15">
        <f t="shared" si="39"/>
        <v>0</v>
      </c>
      <c r="O165" s="14">
        <v>33240</v>
      </c>
      <c r="P165" s="12">
        <f t="shared" si="40"/>
        <v>2770</v>
      </c>
      <c r="Q165" s="12">
        <f t="shared" si="41"/>
        <v>2770</v>
      </c>
    </row>
    <row r="166" spans="1:21" x14ac:dyDescent="0.3">
      <c r="A166" s="1">
        <f t="shared" si="43"/>
        <v>28</v>
      </c>
      <c r="B166" s="18" t="s">
        <v>170</v>
      </c>
      <c r="C166" s="3" t="s">
        <v>138</v>
      </c>
      <c r="D166" s="1" t="s">
        <v>40</v>
      </c>
      <c r="E166" s="1" t="s">
        <v>40</v>
      </c>
      <c r="F166" s="1"/>
      <c r="G166" s="1"/>
      <c r="H166" s="1"/>
      <c r="I166" s="1"/>
      <c r="J166" s="1"/>
      <c r="K166" s="1"/>
      <c r="L166" s="14">
        <v>0</v>
      </c>
      <c r="M166" s="15">
        <f t="shared" si="42"/>
        <v>2</v>
      </c>
      <c r="N166" s="15">
        <f t="shared" si="39"/>
        <v>0</v>
      </c>
      <c r="O166" s="20"/>
      <c r="P166" s="12">
        <f t="shared" si="40"/>
        <v>0</v>
      </c>
      <c r="Q166" s="20"/>
    </row>
    <row r="167" spans="1:21" x14ac:dyDescent="0.3">
      <c r="A167" s="1">
        <f t="shared" si="43"/>
        <v>29</v>
      </c>
      <c r="B167" s="2" t="s">
        <v>171</v>
      </c>
      <c r="C167" s="3" t="s">
        <v>138</v>
      </c>
      <c r="D167" s="1" t="s">
        <v>40</v>
      </c>
      <c r="E167" s="1" t="s">
        <v>40</v>
      </c>
      <c r="F167" s="1"/>
      <c r="G167" s="1"/>
      <c r="H167" s="1" t="s">
        <v>40</v>
      </c>
      <c r="I167" s="1"/>
      <c r="J167" s="1"/>
      <c r="K167" s="1"/>
      <c r="L167" s="14">
        <v>30000</v>
      </c>
      <c r="M167" s="15">
        <f t="shared" si="42"/>
        <v>5</v>
      </c>
      <c r="N167" s="15">
        <f t="shared" si="39"/>
        <v>0</v>
      </c>
      <c r="O167" s="14">
        <v>30000</v>
      </c>
      <c r="P167" s="12">
        <f t="shared" si="40"/>
        <v>2500</v>
      </c>
      <c r="Q167" s="12">
        <f t="shared" si="41"/>
        <v>2500</v>
      </c>
    </row>
    <row r="168" spans="1:21" x14ac:dyDescent="0.3">
      <c r="A168" s="1">
        <f t="shared" si="43"/>
        <v>30</v>
      </c>
      <c r="B168" s="2" t="s">
        <v>172</v>
      </c>
      <c r="C168" s="3" t="s">
        <v>138</v>
      </c>
      <c r="D168" s="1" t="s">
        <v>40</v>
      </c>
      <c r="E168" s="1" t="s">
        <v>40</v>
      </c>
      <c r="F168" s="1" t="s">
        <v>40</v>
      </c>
      <c r="G168" s="1"/>
      <c r="H168" s="1"/>
      <c r="I168" s="1"/>
      <c r="J168" s="1"/>
      <c r="K168" s="1"/>
      <c r="L168" s="14">
        <v>5000</v>
      </c>
      <c r="M168" s="15">
        <f t="shared" si="42"/>
        <v>4</v>
      </c>
      <c r="N168" s="15">
        <f t="shared" si="39"/>
        <v>0</v>
      </c>
      <c r="O168" s="14">
        <v>5000</v>
      </c>
      <c r="P168" s="12">
        <f t="shared" si="40"/>
        <v>416.66666666666669</v>
      </c>
      <c r="Q168" s="12">
        <f t="shared" si="41"/>
        <v>416.66666666666669</v>
      </c>
    </row>
    <row r="169" spans="1:21" x14ac:dyDescent="0.3">
      <c r="D169"/>
      <c r="E169"/>
      <c r="F169"/>
      <c r="G169"/>
      <c r="H169"/>
      <c r="I169"/>
      <c r="J169"/>
      <c r="L169" s="14">
        <f>+AVERAGE(L139:L168)</f>
        <v>98720.617333333328</v>
      </c>
      <c r="M169" s="14">
        <f>+AVERAGE(M139:M168)</f>
        <v>5</v>
      </c>
      <c r="N169" s="14">
        <f>+SUM(N139:N168)</f>
        <v>2</v>
      </c>
      <c r="O169" s="14">
        <f>+AVERAGE(O139:O168)</f>
        <v>95824.12</v>
      </c>
      <c r="P169" s="14">
        <f>+AVERAGE(P139:P168)</f>
        <v>8226.7181111111113</v>
      </c>
      <c r="Q169" s="14">
        <f>+AVERAGE(Q139:Q168)</f>
        <v>7985.3433333333342</v>
      </c>
    </row>
    <row r="170" spans="1:21" x14ac:dyDescent="0.3">
      <c r="D170"/>
      <c r="E170"/>
      <c r="F170"/>
      <c r="G170"/>
      <c r="H170"/>
      <c r="I170"/>
      <c r="J170"/>
      <c r="L170" s="14">
        <f>+STDEV(L139:L168)</f>
        <v>198083.00508926675</v>
      </c>
      <c r="M170" s="14">
        <f>+STDEV(M139:M168)</f>
        <v>3.850660489694794</v>
      </c>
      <c r="N170" s="17"/>
      <c r="O170" s="14">
        <f>+STDEV(O139:O168)</f>
        <v>129657.52273925532</v>
      </c>
      <c r="P170" s="14">
        <f>+STDEV(P139:P168)</f>
        <v>16506.917090772229</v>
      </c>
      <c r="Q170" s="14">
        <f>+STDEV(Q139:Q168)</f>
        <v>10804.793561604609</v>
      </c>
    </row>
    <row r="171" spans="1:21" x14ac:dyDescent="0.3">
      <c r="D171"/>
      <c r="E171"/>
      <c r="F171"/>
      <c r="G171"/>
      <c r="H171"/>
      <c r="I171" s="15"/>
      <c r="J171" s="15"/>
      <c r="K171" s="11" t="s">
        <v>75</v>
      </c>
      <c r="L171" s="14">
        <f>+COUNTIF(L139:L168,0)</f>
        <v>8</v>
      </c>
      <c r="M171" s="14">
        <f>+COUNT(M139:M168)</f>
        <v>30</v>
      </c>
      <c r="P171" s="14">
        <f>+COUNTIF(P139:P168,0)</f>
        <v>8</v>
      </c>
    </row>
    <row r="172" spans="1:21" x14ac:dyDescent="0.3">
      <c r="D172"/>
      <c r="E172"/>
      <c r="F172"/>
      <c r="G172"/>
      <c r="H172"/>
      <c r="I172"/>
      <c r="J172"/>
    </row>
    <row r="173" spans="1:21" x14ac:dyDescent="0.3">
      <c r="A173" s="1">
        <v>1</v>
      </c>
      <c r="B173" s="2" t="s">
        <v>178</v>
      </c>
      <c r="C173" s="3" t="s">
        <v>177</v>
      </c>
      <c r="D173" s="1" t="s">
        <v>40</v>
      </c>
      <c r="E173" s="1" t="s">
        <v>40</v>
      </c>
      <c r="F173" s="1"/>
      <c r="G173" s="1"/>
      <c r="H173" s="1" t="s">
        <v>40</v>
      </c>
      <c r="I173" s="1" t="s">
        <v>40</v>
      </c>
      <c r="J173" s="1"/>
      <c r="K173" s="1"/>
      <c r="L173" s="14">
        <v>356283</v>
      </c>
      <c r="M173" s="15">
        <f>+IF(D173="X",1,0)+IF(E173="X",1,0)+IF(F173="X",2,0)+IF(G173="X",2,0)+IF(H173="X",3,IF(H173="Y",1.5,0))+IF(I173="X",5,IF(I173="Y",2.5,0))+IF(J173="X1",10,IF(J173="X2",5,IF(J173="X3",3,0)))</f>
        <v>10</v>
      </c>
      <c r="N173" s="15">
        <f t="shared" ref="N173:N202" si="44">+IF(K173="X",1,0)</f>
        <v>0</v>
      </c>
      <c r="O173" s="12">
        <v>177000</v>
      </c>
      <c r="P173" s="12">
        <f t="shared" ref="P173:P202" si="45">+L173/12</f>
        <v>29690.25</v>
      </c>
      <c r="Q173" s="12">
        <f t="shared" ref="Q173:Q202" si="46">+O173/12</f>
        <v>14750</v>
      </c>
    </row>
    <row r="174" spans="1:21" x14ac:dyDescent="0.3">
      <c r="A174" s="1">
        <f>+A173+1</f>
        <v>2</v>
      </c>
      <c r="B174" s="4" t="s">
        <v>179</v>
      </c>
      <c r="C174" s="3" t="s">
        <v>177</v>
      </c>
      <c r="D174" s="1" t="s">
        <v>40</v>
      </c>
      <c r="E174" s="1" t="s">
        <v>40</v>
      </c>
      <c r="F174" s="1"/>
      <c r="G174" s="1"/>
      <c r="H174" s="1" t="s">
        <v>40</v>
      </c>
      <c r="I174" s="1" t="s">
        <v>40</v>
      </c>
      <c r="J174" s="1"/>
      <c r="K174" s="1"/>
      <c r="L174" s="12">
        <v>177000</v>
      </c>
      <c r="M174" s="15">
        <f t="shared" ref="M174:M202" si="47">+IF(D174="X",1,0)+IF(E174="X",1,0)+IF(F174="X",2,0)+IF(G174="X",2,0)+IF(H174="X",3,IF(H174="Y",1.5,0))+IF(I174="X",5,IF(I174="Y",2.5,0))+IF(J174="X1",10,IF(J174="X2",5,IF(J174="X3",3,0)))</f>
        <v>10</v>
      </c>
      <c r="N174" s="15">
        <f t="shared" si="44"/>
        <v>0</v>
      </c>
      <c r="O174" s="12">
        <v>177000</v>
      </c>
      <c r="P174" s="12">
        <f t="shared" si="45"/>
        <v>14750</v>
      </c>
      <c r="Q174" s="12">
        <f t="shared" si="46"/>
        <v>14750</v>
      </c>
    </row>
    <row r="175" spans="1:21" x14ac:dyDescent="0.3">
      <c r="A175" s="1">
        <f t="shared" ref="A175:A202" si="48">+A174+1</f>
        <v>3</v>
      </c>
      <c r="B175" s="2" t="s">
        <v>180</v>
      </c>
      <c r="C175" s="3" t="s">
        <v>177</v>
      </c>
      <c r="D175" s="1" t="s">
        <v>40</v>
      </c>
      <c r="E175" s="1" t="s">
        <v>40</v>
      </c>
      <c r="F175" s="1"/>
      <c r="G175" s="1"/>
      <c r="H175" s="1" t="s">
        <v>40</v>
      </c>
      <c r="I175" s="1" t="s">
        <v>40</v>
      </c>
      <c r="J175" s="1"/>
      <c r="K175" s="1"/>
      <c r="L175" s="12">
        <v>123608</v>
      </c>
      <c r="M175" s="15">
        <f t="shared" si="47"/>
        <v>10</v>
      </c>
      <c r="N175" s="15">
        <f t="shared" si="44"/>
        <v>0</v>
      </c>
      <c r="O175" s="12">
        <v>123608</v>
      </c>
      <c r="P175" s="12">
        <f t="shared" si="45"/>
        <v>10300.666666666666</v>
      </c>
      <c r="Q175" s="12">
        <f t="shared" si="46"/>
        <v>10300.666666666666</v>
      </c>
    </row>
    <row r="176" spans="1:21" x14ac:dyDescent="0.3">
      <c r="A176" s="1">
        <f t="shared" si="48"/>
        <v>4</v>
      </c>
      <c r="B176" s="2" t="s">
        <v>181</v>
      </c>
      <c r="C176" s="3" t="s">
        <v>177</v>
      </c>
      <c r="D176" s="1" t="s">
        <v>40</v>
      </c>
      <c r="E176" s="1" t="s">
        <v>40</v>
      </c>
      <c r="F176" s="1"/>
      <c r="G176" s="1"/>
      <c r="H176" s="1" t="s">
        <v>40</v>
      </c>
      <c r="I176" s="1"/>
      <c r="J176" s="1"/>
      <c r="K176" s="1"/>
      <c r="L176" s="12">
        <v>96000</v>
      </c>
      <c r="M176" s="15">
        <f t="shared" si="47"/>
        <v>5</v>
      </c>
      <c r="N176" s="15">
        <f t="shared" si="44"/>
        <v>0</v>
      </c>
      <c r="O176" s="12">
        <v>96000</v>
      </c>
      <c r="P176" s="12">
        <f t="shared" si="45"/>
        <v>8000</v>
      </c>
      <c r="Q176" s="12">
        <f t="shared" si="46"/>
        <v>8000</v>
      </c>
    </row>
    <row r="177" spans="1:17" x14ac:dyDescent="0.3">
      <c r="A177" s="1">
        <f t="shared" si="48"/>
        <v>5</v>
      </c>
      <c r="B177" s="4" t="s">
        <v>182</v>
      </c>
      <c r="C177" s="3" t="s">
        <v>177</v>
      </c>
      <c r="D177" s="1" t="s">
        <v>40</v>
      </c>
      <c r="E177" s="1" t="s">
        <v>40</v>
      </c>
      <c r="F177" s="1"/>
      <c r="G177" s="1"/>
      <c r="H177" s="1" t="s">
        <v>40</v>
      </c>
      <c r="I177" s="1"/>
      <c r="J177" s="1"/>
      <c r="K177" s="1"/>
      <c r="L177" s="12">
        <v>408855</v>
      </c>
      <c r="M177" s="15">
        <f t="shared" si="47"/>
        <v>5</v>
      </c>
      <c r="N177" s="15">
        <f t="shared" si="44"/>
        <v>0</v>
      </c>
      <c r="O177" s="20"/>
      <c r="P177" s="12">
        <f t="shared" si="45"/>
        <v>34071.25</v>
      </c>
      <c r="Q177" s="20"/>
    </row>
    <row r="178" spans="1:17" x14ac:dyDescent="0.3">
      <c r="A178" s="1">
        <f t="shared" si="48"/>
        <v>6</v>
      </c>
      <c r="B178" s="4" t="s">
        <v>203</v>
      </c>
      <c r="C178" s="3" t="s">
        <v>177</v>
      </c>
      <c r="D178" s="1" t="s">
        <v>40</v>
      </c>
      <c r="E178" s="1" t="s">
        <v>40</v>
      </c>
      <c r="F178" s="1"/>
      <c r="G178" s="1"/>
      <c r="H178" s="1" t="s">
        <v>40</v>
      </c>
      <c r="I178" s="1" t="s">
        <v>40</v>
      </c>
      <c r="J178" s="1"/>
      <c r="K178" s="1"/>
      <c r="L178" s="12">
        <v>146880</v>
      </c>
      <c r="M178" s="15">
        <f t="shared" si="47"/>
        <v>10</v>
      </c>
      <c r="N178" s="15">
        <f t="shared" si="44"/>
        <v>0</v>
      </c>
      <c r="O178" s="12">
        <v>146880</v>
      </c>
      <c r="P178" s="12">
        <f t="shared" si="45"/>
        <v>12240</v>
      </c>
      <c r="Q178" s="12">
        <f t="shared" si="46"/>
        <v>12240</v>
      </c>
    </row>
    <row r="179" spans="1:17" x14ac:dyDescent="0.3">
      <c r="A179" s="1">
        <f t="shared" si="48"/>
        <v>7</v>
      </c>
      <c r="B179" s="4" t="s">
        <v>204</v>
      </c>
      <c r="C179" s="3" t="s">
        <v>177</v>
      </c>
      <c r="D179" s="1" t="s">
        <v>40</v>
      </c>
      <c r="E179" s="1" t="s">
        <v>40</v>
      </c>
      <c r="F179" s="1"/>
      <c r="G179" s="1"/>
      <c r="H179" s="1" t="s">
        <v>40</v>
      </c>
      <c r="I179" s="1" t="s">
        <v>40</v>
      </c>
      <c r="J179" s="1" t="s">
        <v>897</v>
      </c>
      <c r="K179" s="1"/>
      <c r="L179" s="12">
        <v>252328.66</v>
      </c>
      <c r="M179" s="15">
        <f t="shared" si="47"/>
        <v>15</v>
      </c>
      <c r="N179" s="15">
        <f t="shared" si="44"/>
        <v>0</v>
      </c>
      <c r="O179" s="12">
        <v>252328.66</v>
      </c>
      <c r="P179" s="12">
        <f t="shared" si="45"/>
        <v>21027.388333333332</v>
      </c>
      <c r="Q179" s="12">
        <f t="shared" si="46"/>
        <v>21027.388333333332</v>
      </c>
    </row>
    <row r="180" spans="1:17" x14ac:dyDescent="0.3">
      <c r="A180" s="1">
        <f t="shared" si="48"/>
        <v>8</v>
      </c>
      <c r="B180" s="2" t="s">
        <v>188</v>
      </c>
      <c r="C180" s="3" t="s">
        <v>177</v>
      </c>
      <c r="D180" s="1" t="s">
        <v>40</v>
      </c>
      <c r="E180" s="1" t="s">
        <v>40</v>
      </c>
      <c r="F180" s="1"/>
      <c r="G180" s="1"/>
      <c r="H180" s="1" t="s">
        <v>40</v>
      </c>
      <c r="I180" s="1"/>
      <c r="J180" s="1"/>
      <c r="K180" s="1"/>
      <c r="L180" s="12">
        <v>72000</v>
      </c>
      <c r="M180" s="15">
        <f t="shared" si="47"/>
        <v>5</v>
      </c>
      <c r="N180" s="15">
        <f t="shared" si="44"/>
        <v>0</v>
      </c>
      <c r="O180" s="12">
        <v>72000</v>
      </c>
      <c r="P180" s="12">
        <f t="shared" si="45"/>
        <v>6000</v>
      </c>
      <c r="Q180" s="12">
        <f t="shared" si="46"/>
        <v>6000</v>
      </c>
    </row>
    <row r="181" spans="1:17" x14ac:dyDescent="0.3">
      <c r="A181" s="1">
        <f t="shared" si="48"/>
        <v>9</v>
      </c>
      <c r="B181" s="2" t="s">
        <v>189</v>
      </c>
      <c r="C181" s="3" t="s">
        <v>177</v>
      </c>
      <c r="D181" s="1" t="s">
        <v>40</v>
      </c>
      <c r="E181" s="1" t="s">
        <v>40</v>
      </c>
      <c r="F181" s="1"/>
      <c r="G181" s="1"/>
      <c r="H181" s="1" t="s">
        <v>40</v>
      </c>
      <c r="I181" s="1"/>
      <c r="J181" s="1"/>
      <c r="K181" s="1" t="s">
        <v>40</v>
      </c>
      <c r="L181" s="12">
        <v>60000</v>
      </c>
      <c r="M181" s="15">
        <f t="shared" si="47"/>
        <v>5</v>
      </c>
      <c r="N181" s="15">
        <f t="shared" si="44"/>
        <v>1</v>
      </c>
      <c r="O181" s="12">
        <v>60000</v>
      </c>
      <c r="P181" s="12">
        <f t="shared" si="45"/>
        <v>5000</v>
      </c>
      <c r="Q181" s="12">
        <f t="shared" si="46"/>
        <v>5000</v>
      </c>
    </row>
    <row r="182" spans="1:17" x14ac:dyDescent="0.3">
      <c r="A182" s="1">
        <f t="shared" si="48"/>
        <v>10</v>
      </c>
      <c r="B182" s="2" t="s">
        <v>190</v>
      </c>
      <c r="C182" s="3" t="s">
        <v>177</v>
      </c>
      <c r="D182" s="1" t="s">
        <v>40</v>
      </c>
      <c r="E182" s="1" t="s">
        <v>40</v>
      </c>
      <c r="F182" s="1" t="s">
        <v>40</v>
      </c>
      <c r="G182" s="1"/>
      <c r="H182" s="1"/>
      <c r="I182" s="1"/>
      <c r="J182" s="1"/>
      <c r="K182" s="1"/>
      <c r="L182" s="12">
        <v>1500</v>
      </c>
      <c r="M182" s="15">
        <f t="shared" si="47"/>
        <v>4</v>
      </c>
      <c r="N182" s="15">
        <f t="shared" si="44"/>
        <v>0</v>
      </c>
      <c r="O182" s="12">
        <v>1500</v>
      </c>
      <c r="P182" s="12">
        <f t="shared" si="45"/>
        <v>125</v>
      </c>
      <c r="Q182" s="12">
        <f t="shared" si="46"/>
        <v>125</v>
      </c>
    </row>
    <row r="183" spans="1:17" x14ac:dyDescent="0.3">
      <c r="A183" s="1">
        <f t="shared" si="48"/>
        <v>11</v>
      </c>
      <c r="B183" s="2">
        <v>10565213</v>
      </c>
      <c r="C183" s="3" t="s">
        <v>177</v>
      </c>
      <c r="D183" s="1" t="s">
        <v>40</v>
      </c>
      <c r="E183" s="1" t="s">
        <v>40</v>
      </c>
      <c r="F183" s="1"/>
      <c r="G183" s="1"/>
      <c r="H183" s="1" t="s">
        <v>40</v>
      </c>
      <c r="I183" s="1" t="s">
        <v>40</v>
      </c>
      <c r="J183" s="1"/>
      <c r="K183" s="1"/>
      <c r="L183" s="12">
        <v>72914.559999999998</v>
      </c>
      <c r="M183" s="15">
        <f t="shared" si="47"/>
        <v>10</v>
      </c>
      <c r="N183" s="15">
        <f t="shared" si="44"/>
        <v>0</v>
      </c>
      <c r="O183" s="12">
        <v>72914.559999999998</v>
      </c>
      <c r="P183" s="12">
        <f t="shared" si="45"/>
        <v>6076.2133333333331</v>
      </c>
      <c r="Q183" s="12">
        <f t="shared" si="46"/>
        <v>6076.2133333333331</v>
      </c>
    </row>
    <row r="184" spans="1:17" x14ac:dyDescent="0.3">
      <c r="A184" s="1">
        <f t="shared" si="48"/>
        <v>12</v>
      </c>
      <c r="B184" s="2" t="s">
        <v>191</v>
      </c>
      <c r="C184" s="3" t="s">
        <v>177</v>
      </c>
      <c r="D184" s="1" t="s">
        <v>40</v>
      </c>
      <c r="E184" s="1" t="s">
        <v>40</v>
      </c>
      <c r="F184" s="1"/>
      <c r="G184" s="1"/>
      <c r="H184" s="1" t="s">
        <v>40</v>
      </c>
      <c r="I184" s="1"/>
      <c r="J184" s="1"/>
      <c r="K184" s="1"/>
      <c r="L184" s="14">
        <v>52740</v>
      </c>
      <c r="M184" s="15">
        <f t="shared" si="47"/>
        <v>5</v>
      </c>
      <c r="N184" s="15">
        <f t="shared" si="44"/>
        <v>0</v>
      </c>
      <c r="O184" s="14">
        <v>52740</v>
      </c>
      <c r="P184" s="12">
        <f t="shared" si="45"/>
        <v>4395</v>
      </c>
      <c r="Q184" s="12">
        <f t="shared" si="46"/>
        <v>4395</v>
      </c>
    </row>
    <row r="185" spans="1:17" x14ac:dyDescent="0.3">
      <c r="A185" s="1">
        <f t="shared" si="48"/>
        <v>13</v>
      </c>
      <c r="B185" s="2" t="s">
        <v>192</v>
      </c>
      <c r="C185" s="3" t="s">
        <v>177</v>
      </c>
      <c r="D185" s="1" t="s">
        <v>40</v>
      </c>
      <c r="E185" s="1" t="s">
        <v>40</v>
      </c>
      <c r="F185" s="1"/>
      <c r="G185" s="1"/>
      <c r="H185" s="1" t="s">
        <v>40</v>
      </c>
      <c r="I185" s="1"/>
      <c r="J185" s="1"/>
      <c r="K185" s="1"/>
      <c r="L185" s="14">
        <v>23487.96</v>
      </c>
      <c r="M185" s="15">
        <f t="shared" si="47"/>
        <v>5</v>
      </c>
      <c r="N185" s="15">
        <f t="shared" si="44"/>
        <v>0</v>
      </c>
      <c r="O185" s="14">
        <v>23487.96</v>
      </c>
      <c r="P185" s="12">
        <f t="shared" si="45"/>
        <v>1957.33</v>
      </c>
      <c r="Q185" s="12">
        <f t="shared" si="46"/>
        <v>1957.33</v>
      </c>
    </row>
    <row r="186" spans="1:17" x14ac:dyDescent="0.3">
      <c r="A186" s="1">
        <f t="shared" si="48"/>
        <v>14</v>
      </c>
      <c r="B186" s="2">
        <v>10585130</v>
      </c>
      <c r="C186" s="3" t="s">
        <v>177</v>
      </c>
      <c r="D186" s="1" t="s">
        <v>40</v>
      </c>
      <c r="E186" s="1" t="s">
        <v>40</v>
      </c>
      <c r="F186" s="1"/>
      <c r="G186" s="1"/>
      <c r="H186" s="1" t="s">
        <v>40</v>
      </c>
      <c r="I186" s="1"/>
      <c r="J186" s="1"/>
      <c r="K186" s="1"/>
      <c r="L186" s="14">
        <v>24000</v>
      </c>
      <c r="M186" s="15">
        <f t="shared" si="47"/>
        <v>5</v>
      </c>
      <c r="N186" s="15">
        <f t="shared" si="44"/>
        <v>0</v>
      </c>
      <c r="O186" s="14">
        <v>24000</v>
      </c>
      <c r="P186" s="12">
        <f t="shared" si="45"/>
        <v>2000</v>
      </c>
      <c r="Q186" s="12">
        <f t="shared" si="46"/>
        <v>2000</v>
      </c>
    </row>
    <row r="187" spans="1:17" x14ac:dyDescent="0.3">
      <c r="A187" s="1">
        <f t="shared" si="48"/>
        <v>15</v>
      </c>
      <c r="B187" s="2" t="s">
        <v>193</v>
      </c>
      <c r="C187" s="3" t="s">
        <v>177</v>
      </c>
      <c r="D187" s="1" t="s">
        <v>40</v>
      </c>
      <c r="E187" s="1" t="s">
        <v>40</v>
      </c>
      <c r="F187" s="1"/>
      <c r="G187" s="1"/>
      <c r="H187" s="1" t="s">
        <v>40</v>
      </c>
      <c r="I187" s="1" t="s">
        <v>40</v>
      </c>
      <c r="J187" s="1"/>
      <c r="K187" s="1"/>
      <c r="L187" s="14">
        <v>137174.01999999999</v>
      </c>
      <c r="M187" s="15">
        <f t="shared" si="47"/>
        <v>10</v>
      </c>
      <c r="N187" s="15">
        <f t="shared" si="44"/>
        <v>0</v>
      </c>
      <c r="O187" s="14">
        <v>137174.01999999999</v>
      </c>
      <c r="P187" s="12">
        <f t="shared" si="45"/>
        <v>11431.168333333333</v>
      </c>
      <c r="Q187" s="12">
        <f t="shared" si="46"/>
        <v>11431.168333333333</v>
      </c>
    </row>
    <row r="188" spans="1:17" x14ac:dyDescent="0.3">
      <c r="A188" s="1">
        <f t="shared" si="48"/>
        <v>16</v>
      </c>
      <c r="B188" s="2" t="s">
        <v>205</v>
      </c>
      <c r="C188" s="3" t="s">
        <v>177</v>
      </c>
      <c r="D188" s="1" t="s">
        <v>40</v>
      </c>
      <c r="E188" s="1" t="s">
        <v>40</v>
      </c>
      <c r="F188" s="1"/>
      <c r="G188" s="1"/>
      <c r="H188" s="1"/>
      <c r="I188" s="1"/>
      <c r="J188" s="1"/>
      <c r="K188" s="1"/>
      <c r="L188" s="14">
        <v>0</v>
      </c>
      <c r="M188" s="15">
        <f t="shared" si="47"/>
        <v>2</v>
      </c>
      <c r="N188" s="15">
        <f t="shared" si="44"/>
        <v>0</v>
      </c>
      <c r="O188" s="20"/>
      <c r="P188" s="12">
        <f t="shared" si="45"/>
        <v>0</v>
      </c>
      <c r="Q188" s="20"/>
    </row>
    <row r="189" spans="1:17" x14ac:dyDescent="0.3">
      <c r="A189" s="1">
        <f t="shared" si="48"/>
        <v>17</v>
      </c>
      <c r="B189" s="2">
        <v>20052276</v>
      </c>
      <c r="C189" s="3" t="s">
        <v>177</v>
      </c>
      <c r="D189" s="1" t="s">
        <v>40</v>
      </c>
      <c r="E189" s="1" t="s">
        <v>40</v>
      </c>
      <c r="F189" s="1"/>
      <c r="G189" s="1"/>
      <c r="H189" s="1" t="s">
        <v>40</v>
      </c>
      <c r="I189" s="1" t="s">
        <v>40</v>
      </c>
      <c r="J189" s="1"/>
      <c r="K189" s="1"/>
      <c r="L189" s="14">
        <v>36000</v>
      </c>
      <c r="M189" s="15">
        <f t="shared" si="47"/>
        <v>10</v>
      </c>
      <c r="N189" s="15">
        <f t="shared" si="44"/>
        <v>0</v>
      </c>
      <c r="O189" s="14">
        <v>36000</v>
      </c>
      <c r="P189" s="12">
        <f t="shared" si="45"/>
        <v>3000</v>
      </c>
      <c r="Q189" s="12">
        <f t="shared" si="46"/>
        <v>3000</v>
      </c>
    </row>
    <row r="190" spans="1:17" x14ac:dyDescent="0.3">
      <c r="A190" s="1">
        <f t="shared" si="48"/>
        <v>18</v>
      </c>
      <c r="B190" s="2" t="s">
        <v>206</v>
      </c>
      <c r="C190" s="3" t="s">
        <v>177</v>
      </c>
      <c r="D190" s="1" t="s">
        <v>40</v>
      </c>
      <c r="E190" s="1" t="s">
        <v>40</v>
      </c>
      <c r="F190" s="1"/>
      <c r="G190" s="1"/>
      <c r="H190" s="1"/>
      <c r="I190" s="1"/>
      <c r="J190" s="1"/>
      <c r="K190" s="1"/>
      <c r="L190" s="14">
        <v>12000</v>
      </c>
      <c r="M190" s="15">
        <f t="shared" si="47"/>
        <v>2</v>
      </c>
      <c r="N190" s="15">
        <f t="shared" si="44"/>
        <v>0</v>
      </c>
      <c r="O190" s="14">
        <v>12000</v>
      </c>
      <c r="P190" s="12">
        <f t="shared" si="45"/>
        <v>1000</v>
      </c>
      <c r="Q190" s="12">
        <f t="shared" si="46"/>
        <v>1000</v>
      </c>
    </row>
    <row r="191" spans="1:17" x14ac:dyDescent="0.3">
      <c r="A191" s="1">
        <f t="shared" si="48"/>
        <v>19</v>
      </c>
      <c r="B191" s="2" t="s">
        <v>194</v>
      </c>
      <c r="C191" s="3" t="s">
        <v>177</v>
      </c>
      <c r="D191" s="1" t="s">
        <v>40</v>
      </c>
      <c r="E191" s="1" t="s">
        <v>40</v>
      </c>
      <c r="F191" s="1"/>
      <c r="G191" s="1"/>
      <c r="H191" s="1" t="s">
        <v>40</v>
      </c>
      <c r="I191" s="1"/>
      <c r="J191" s="1"/>
      <c r="K191" s="1"/>
      <c r="L191" s="14">
        <v>64700</v>
      </c>
      <c r="M191" s="15">
        <f t="shared" si="47"/>
        <v>5</v>
      </c>
      <c r="N191" s="15">
        <f t="shared" si="44"/>
        <v>0</v>
      </c>
      <c r="O191" s="14">
        <v>64700</v>
      </c>
      <c r="P191" s="12">
        <f t="shared" si="45"/>
        <v>5391.666666666667</v>
      </c>
      <c r="Q191" s="12">
        <f t="shared" si="46"/>
        <v>5391.666666666667</v>
      </c>
    </row>
    <row r="192" spans="1:17" x14ac:dyDescent="0.3">
      <c r="A192" s="1">
        <f t="shared" si="48"/>
        <v>20</v>
      </c>
      <c r="B192" s="2" t="s">
        <v>195</v>
      </c>
      <c r="C192" s="3" t="s">
        <v>177</v>
      </c>
      <c r="D192" s="1" t="s">
        <v>40</v>
      </c>
      <c r="E192" s="1" t="s">
        <v>40</v>
      </c>
      <c r="F192" s="1"/>
      <c r="G192" s="1"/>
      <c r="H192" s="1" t="s">
        <v>40</v>
      </c>
      <c r="I192" s="1"/>
      <c r="J192" s="1"/>
      <c r="K192" s="1"/>
      <c r="L192" s="14">
        <v>6300</v>
      </c>
      <c r="M192" s="15">
        <f t="shared" si="47"/>
        <v>5</v>
      </c>
      <c r="N192" s="15">
        <f t="shared" si="44"/>
        <v>0</v>
      </c>
      <c r="O192" s="14">
        <v>6300</v>
      </c>
      <c r="P192" s="12">
        <f t="shared" si="45"/>
        <v>525</v>
      </c>
      <c r="Q192" s="12">
        <f t="shared" si="46"/>
        <v>525</v>
      </c>
    </row>
    <row r="193" spans="1:17" x14ac:dyDescent="0.3">
      <c r="A193" s="1">
        <f t="shared" si="48"/>
        <v>21</v>
      </c>
      <c r="B193" s="2" t="s">
        <v>196</v>
      </c>
      <c r="C193" s="3" t="s">
        <v>177</v>
      </c>
      <c r="D193" s="1" t="s">
        <v>40</v>
      </c>
      <c r="E193" s="1" t="s">
        <v>40</v>
      </c>
      <c r="F193" s="1" t="s">
        <v>40</v>
      </c>
      <c r="G193" s="1"/>
      <c r="H193" s="1" t="s">
        <v>40</v>
      </c>
      <c r="I193" s="1"/>
      <c r="J193" s="1"/>
      <c r="K193" s="1"/>
      <c r="L193" s="14">
        <v>36000</v>
      </c>
      <c r="M193" s="15">
        <f t="shared" si="47"/>
        <v>7</v>
      </c>
      <c r="N193" s="15">
        <f t="shared" si="44"/>
        <v>0</v>
      </c>
      <c r="O193" s="14">
        <v>36000</v>
      </c>
      <c r="P193" s="12">
        <f t="shared" si="45"/>
        <v>3000</v>
      </c>
      <c r="Q193" s="12">
        <f t="shared" si="46"/>
        <v>3000</v>
      </c>
    </row>
    <row r="194" spans="1:17" x14ac:dyDescent="0.3">
      <c r="A194" s="1">
        <f t="shared" si="48"/>
        <v>22</v>
      </c>
      <c r="B194" s="2">
        <v>43331132</v>
      </c>
      <c r="C194" s="3" t="s">
        <v>177</v>
      </c>
      <c r="D194" s="1" t="s">
        <v>40</v>
      </c>
      <c r="E194" s="1" t="s">
        <v>40</v>
      </c>
      <c r="F194" s="1"/>
      <c r="G194" s="1"/>
      <c r="H194" s="1"/>
      <c r="I194" s="1"/>
      <c r="J194" s="1"/>
      <c r="K194" s="1"/>
      <c r="L194" s="14">
        <v>18000</v>
      </c>
      <c r="M194" s="15">
        <f t="shared" si="47"/>
        <v>2</v>
      </c>
      <c r="N194" s="15">
        <f t="shared" si="44"/>
        <v>0</v>
      </c>
      <c r="O194" s="14">
        <v>18000</v>
      </c>
      <c r="P194" s="12">
        <f t="shared" si="45"/>
        <v>1500</v>
      </c>
      <c r="Q194" s="12">
        <f t="shared" si="46"/>
        <v>1500</v>
      </c>
    </row>
    <row r="195" spans="1:17" x14ac:dyDescent="0.3">
      <c r="A195" s="1">
        <f t="shared" si="48"/>
        <v>23</v>
      </c>
      <c r="B195" s="2" t="s">
        <v>197</v>
      </c>
      <c r="C195" s="3" t="s">
        <v>177</v>
      </c>
      <c r="D195" s="1" t="s">
        <v>40</v>
      </c>
      <c r="E195" s="1" t="s">
        <v>40</v>
      </c>
      <c r="F195" s="1"/>
      <c r="G195" s="1"/>
      <c r="H195" s="1" t="s">
        <v>40</v>
      </c>
      <c r="I195" s="1"/>
      <c r="J195" s="1"/>
      <c r="K195" s="1"/>
      <c r="L195" s="14">
        <v>13937</v>
      </c>
      <c r="M195" s="15">
        <f t="shared" si="47"/>
        <v>5</v>
      </c>
      <c r="N195" s="15">
        <f t="shared" si="44"/>
        <v>0</v>
      </c>
      <c r="O195" s="14">
        <v>13937</v>
      </c>
      <c r="P195" s="12">
        <f t="shared" si="45"/>
        <v>1161.4166666666667</v>
      </c>
      <c r="Q195" s="12">
        <f t="shared" si="46"/>
        <v>1161.4166666666667</v>
      </c>
    </row>
    <row r="196" spans="1:17" x14ac:dyDescent="0.3">
      <c r="A196" s="1">
        <f t="shared" si="48"/>
        <v>24</v>
      </c>
      <c r="B196" s="2" t="s">
        <v>198</v>
      </c>
      <c r="C196" s="3" t="s">
        <v>177</v>
      </c>
      <c r="D196" s="1" t="s">
        <v>40</v>
      </c>
      <c r="E196" s="1" t="s">
        <v>40</v>
      </c>
      <c r="F196" s="1"/>
      <c r="G196" s="1"/>
      <c r="H196" s="1"/>
      <c r="I196" s="1"/>
      <c r="J196" s="1"/>
      <c r="K196" s="1"/>
      <c r="L196" s="14">
        <v>24000</v>
      </c>
      <c r="M196" s="15">
        <f t="shared" si="47"/>
        <v>2</v>
      </c>
      <c r="N196" s="15">
        <f t="shared" si="44"/>
        <v>0</v>
      </c>
      <c r="O196" s="14">
        <v>24000</v>
      </c>
      <c r="P196" s="12">
        <f t="shared" si="45"/>
        <v>2000</v>
      </c>
      <c r="Q196" s="12">
        <f t="shared" si="46"/>
        <v>2000</v>
      </c>
    </row>
    <row r="197" spans="1:17" x14ac:dyDescent="0.3">
      <c r="A197" s="1">
        <f t="shared" si="48"/>
        <v>25</v>
      </c>
      <c r="B197" s="2">
        <v>15995608</v>
      </c>
      <c r="C197" s="3" t="s">
        <v>177</v>
      </c>
      <c r="D197" s="1" t="s">
        <v>40</v>
      </c>
      <c r="E197" s="1" t="s">
        <v>40</v>
      </c>
      <c r="F197" s="1"/>
      <c r="G197" s="1"/>
      <c r="H197" s="1" t="s">
        <v>40</v>
      </c>
      <c r="I197" s="1"/>
      <c r="J197" s="1"/>
      <c r="K197" s="1"/>
      <c r="L197" s="14">
        <v>4500</v>
      </c>
      <c r="M197" s="15">
        <f t="shared" si="47"/>
        <v>5</v>
      </c>
      <c r="N197" s="15">
        <f t="shared" si="44"/>
        <v>0</v>
      </c>
      <c r="O197" s="14">
        <v>4500</v>
      </c>
      <c r="P197" s="12">
        <f t="shared" si="45"/>
        <v>375</v>
      </c>
      <c r="Q197" s="12">
        <f t="shared" si="46"/>
        <v>375</v>
      </c>
    </row>
    <row r="198" spans="1:17" x14ac:dyDescent="0.3">
      <c r="A198" s="1">
        <f t="shared" si="48"/>
        <v>26</v>
      </c>
      <c r="B198" s="2" t="s">
        <v>207</v>
      </c>
      <c r="C198" s="3" t="s">
        <v>177</v>
      </c>
      <c r="D198" s="1" t="s">
        <v>40</v>
      </c>
      <c r="E198" s="1" t="s">
        <v>40</v>
      </c>
      <c r="F198" s="1"/>
      <c r="G198" s="1"/>
      <c r="H198" s="1"/>
      <c r="I198" s="1"/>
      <c r="J198" s="1"/>
      <c r="K198" s="1"/>
      <c r="L198" s="14">
        <v>15000</v>
      </c>
      <c r="M198" s="15">
        <f t="shared" si="47"/>
        <v>2</v>
      </c>
      <c r="N198" s="15">
        <f t="shared" si="44"/>
        <v>0</v>
      </c>
      <c r="O198" s="14">
        <v>15000</v>
      </c>
      <c r="P198" s="12">
        <f t="shared" si="45"/>
        <v>1250</v>
      </c>
      <c r="Q198" s="12">
        <f t="shared" si="46"/>
        <v>1250</v>
      </c>
    </row>
    <row r="199" spans="1:17" x14ac:dyDescent="0.3">
      <c r="A199" s="1">
        <f t="shared" si="48"/>
        <v>27</v>
      </c>
      <c r="B199" s="2" t="s">
        <v>199</v>
      </c>
      <c r="C199" s="3" t="s">
        <v>177</v>
      </c>
      <c r="D199" s="1" t="s">
        <v>40</v>
      </c>
      <c r="E199" s="1" t="s">
        <v>40</v>
      </c>
      <c r="F199" s="1"/>
      <c r="G199" s="1"/>
      <c r="H199" s="1" t="s">
        <v>40</v>
      </c>
      <c r="I199" s="1"/>
      <c r="J199" s="1"/>
      <c r="K199" s="1"/>
      <c r="L199" s="14">
        <v>0</v>
      </c>
      <c r="M199" s="15">
        <f t="shared" si="47"/>
        <v>5</v>
      </c>
      <c r="N199" s="15">
        <f t="shared" si="44"/>
        <v>0</v>
      </c>
      <c r="O199" s="20"/>
      <c r="P199" s="12">
        <f t="shared" si="45"/>
        <v>0</v>
      </c>
      <c r="Q199" s="20"/>
    </row>
    <row r="200" spans="1:17" x14ac:dyDescent="0.3">
      <c r="A200" s="1">
        <f t="shared" si="48"/>
        <v>28</v>
      </c>
      <c r="B200" s="2" t="s">
        <v>200</v>
      </c>
      <c r="C200" s="3" t="s">
        <v>177</v>
      </c>
      <c r="D200" s="1" t="s">
        <v>40</v>
      </c>
      <c r="E200" s="1" t="s">
        <v>40</v>
      </c>
      <c r="F200" s="1"/>
      <c r="G200" s="1"/>
      <c r="H200" s="1" t="s">
        <v>40</v>
      </c>
      <c r="I200" s="1"/>
      <c r="J200" s="1"/>
      <c r="K200" s="1"/>
      <c r="L200" s="14">
        <v>13325</v>
      </c>
      <c r="M200" s="15">
        <f t="shared" si="47"/>
        <v>5</v>
      </c>
      <c r="N200" s="15">
        <f t="shared" si="44"/>
        <v>0</v>
      </c>
      <c r="O200" s="14">
        <v>13325</v>
      </c>
      <c r="P200" s="12">
        <f t="shared" si="45"/>
        <v>1110.4166666666667</v>
      </c>
      <c r="Q200" s="12">
        <f t="shared" si="46"/>
        <v>1110.4166666666667</v>
      </c>
    </row>
    <row r="201" spans="1:17" x14ac:dyDescent="0.3">
      <c r="A201" s="1">
        <f t="shared" si="48"/>
        <v>29</v>
      </c>
      <c r="B201" s="2" t="s">
        <v>201</v>
      </c>
      <c r="C201" s="3" t="s">
        <v>177</v>
      </c>
      <c r="D201" s="1" t="s">
        <v>40</v>
      </c>
      <c r="E201" s="1" t="s">
        <v>40</v>
      </c>
      <c r="F201" s="1"/>
      <c r="G201" s="1"/>
      <c r="H201" s="1"/>
      <c r="I201" s="1"/>
      <c r="J201" s="1"/>
      <c r="K201" s="1"/>
      <c r="L201" s="14">
        <v>14400</v>
      </c>
      <c r="M201" s="15">
        <f t="shared" si="47"/>
        <v>2</v>
      </c>
      <c r="N201" s="15">
        <f t="shared" si="44"/>
        <v>0</v>
      </c>
      <c r="O201" s="14">
        <v>14400</v>
      </c>
      <c r="P201" s="12">
        <f t="shared" si="45"/>
        <v>1200</v>
      </c>
      <c r="Q201" s="12">
        <f t="shared" si="46"/>
        <v>1200</v>
      </c>
    </row>
    <row r="202" spans="1:17" x14ac:dyDescent="0.3">
      <c r="A202" s="1">
        <f t="shared" si="48"/>
        <v>30</v>
      </c>
      <c r="B202" s="2" t="s">
        <v>202</v>
      </c>
      <c r="C202" s="3" t="s">
        <v>177</v>
      </c>
      <c r="D202" s="1" t="s">
        <v>40</v>
      </c>
      <c r="E202" s="1" t="s">
        <v>40</v>
      </c>
      <c r="F202" s="1" t="s">
        <v>40</v>
      </c>
      <c r="G202" s="1"/>
      <c r="H202" s="1" t="s">
        <v>40</v>
      </c>
      <c r="I202" s="1"/>
      <c r="J202" s="1"/>
      <c r="K202" s="1"/>
      <c r="L202" s="14">
        <v>31440</v>
      </c>
      <c r="M202" s="15">
        <f t="shared" si="47"/>
        <v>7</v>
      </c>
      <c r="N202" s="15">
        <f t="shared" si="44"/>
        <v>0</v>
      </c>
      <c r="O202" s="14">
        <v>31440</v>
      </c>
      <c r="P202" s="12">
        <f t="shared" si="45"/>
        <v>2620</v>
      </c>
      <c r="Q202" s="12">
        <f t="shared" si="46"/>
        <v>2620</v>
      </c>
    </row>
    <row r="203" spans="1:17" x14ac:dyDescent="0.3">
      <c r="D203"/>
      <c r="E203"/>
      <c r="F203"/>
      <c r="G203"/>
      <c r="H203"/>
      <c r="I203"/>
      <c r="J203"/>
      <c r="L203" s="14">
        <f>+AVERAGE(L173:L202)</f>
        <v>76479.106666666674</v>
      </c>
      <c r="M203" s="14">
        <f>+AVERAGE(M173:M202)</f>
        <v>6</v>
      </c>
      <c r="N203" s="14">
        <f>+SUM(N173:N202)</f>
        <v>1</v>
      </c>
      <c r="O203" s="14">
        <f>+AVERAGE(O173:O202)</f>
        <v>63193.896296296305</v>
      </c>
      <c r="P203" s="14">
        <f>+AVERAGE(P173:P202)</f>
        <v>6373.2588888888868</v>
      </c>
      <c r="Q203" s="14">
        <f>+AVERAGE(Q173:Q202)</f>
        <v>5266.1580246913582</v>
      </c>
    </row>
    <row r="204" spans="1:17" x14ac:dyDescent="0.3">
      <c r="D204"/>
      <c r="E204"/>
      <c r="F204"/>
      <c r="G204"/>
      <c r="H204"/>
      <c r="I204"/>
      <c r="J204"/>
      <c r="L204" s="14">
        <f>+STDEV(L173:L202)</f>
        <v>102755.00575462708</v>
      </c>
      <c r="M204" s="14">
        <f>+STDEV(M173:M202)</f>
        <v>3.2589399588167338</v>
      </c>
      <c r="N204" s="17"/>
      <c r="O204" s="14">
        <f>+STDEV(O173:O202)</f>
        <v>65361.750846706622</v>
      </c>
      <c r="P204" s="14">
        <f>+STDEV(P173:P202)</f>
        <v>8562.9171462189261</v>
      </c>
      <c r="Q204" s="14">
        <f>+STDEV(Q173:Q202)</f>
        <v>5446.8125705588864</v>
      </c>
    </row>
    <row r="205" spans="1:17" x14ac:dyDescent="0.3">
      <c r="D205"/>
      <c r="E205"/>
      <c r="F205"/>
      <c r="G205"/>
      <c r="H205"/>
      <c r="I205" s="15"/>
      <c r="J205" s="15"/>
      <c r="K205" s="11" t="s">
        <v>75</v>
      </c>
      <c r="L205" s="14">
        <f>+COUNTIF(L173:L202,0)</f>
        <v>2</v>
      </c>
      <c r="M205" s="14">
        <f>+COUNT(M173:M202)</f>
        <v>30</v>
      </c>
      <c r="P205" s="14">
        <f>+COUNTIF(P173:P202,0)</f>
        <v>2</v>
      </c>
    </row>
    <row r="206" spans="1:17" x14ac:dyDescent="0.3">
      <c r="D206"/>
      <c r="E206"/>
      <c r="F206"/>
      <c r="G206"/>
      <c r="H206"/>
      <c r="I206"/>
      <c r="J206"/>
    </row>
    <row r="207" spans="1:17" x14ac:dyDescent="0.3">
      <c r="A207" s="1">
        <v>1</v>
      </c>
      <c r="B207" s="1">
        <v>10063223</v>
      </c>
      <c r="C207" s="3" t="s">
        <v>210</v>
      </c>
      <c r="D207" s="1" t="s">
        <v>40</v>
      </c>
      <c r="E207" s="1" t="s">
        <v>40</v>
      </c>
      <c r="F207" s="1"/>
      <c r="G207" s="1"/>
      <c r="H207" s="1" t="s">
        <v>40</v>
      </c>
      <c r="I207" s="1"/>
      <c r="J207" s="1"/>
      <c r="K207" s="1"/>
      <c r="L207" s="14">
        <v>18000</v>
      </c>
      <c r="M207" s="15">
        <f>+IF(D207="X",1,0)+IF(E207="X",1,0)+IF(F207="X",2,0)+IF(G207="X",2,0)+IF(H207="X",3,IF(H207="Y",1.5,0))+IF(I207="X",5,IF(I207="Y",2.5,0))+IF(J207="X1",10,IF(J207="X2",5,IF(J207="X3",3,0)))</f>
        <v>5</v>
      </c>
      <c r="N207" s="15">
        <f t="shared" ref="N207:N236" si="49">+IF(K207="X",1,0)</f>
        <v>0</v>
      </c>
      <c r="O207" s="12">
        <v>22300</v>
      </c>
      <c r="P207" s="12">
        <f t="shared" ref="P207:P236" si="50">+L207/12</f>
        <v>1500</v>
      </c>
      <c r="Q207" s="12">
        <f t="shared" ref="Q207:Q235" si="51">+O207/12</f>
        <v>1858.3333333333333</v>
      </c>
    </row>
    <row r="208" spans="1:17" x14ac:dyDescent="0.3">
      <c r="A208" s="1">
        <f>+A207+1</f>
        <v>2</v>
      </c>
      <c r="B208" s="18" t="s">
        <v>215</v>
      </c>
      <c r="C208" s="3" t="s">
        <v>210</v>
      </c>
      <c r="D208" s="1" t="s">
        <v>40</v>
      </c>
      <c r="E208" s="1" t="s">
        <v>40</v>
      </c>
      <c r="F208" s="1" t="s">
        <v>40</v>
      </c>
      <c r="G208" s="1"/>
      <c r="H208" s="1"/>
      <c r="I208" s="1"/>
      <c r="J208" s="1"/>
      <c r="K208" s="1"/>
      <c r="L208" s="12">
        <v>8050</v>
      </c>
      <c r="M208" s="15">
        <f t="shared" ref="M208:M236" si="52">+IF(D208="X",1,0)+IF(E208="X",1,0)+IF(F208="X",2,0)+IF(G208="X",2,0)+IF(H208="X",3,IF(H208="Y",1.5,0))+IF(I208="X",5,IF(I208="Y",2.5,0))+IF(J208="X1",10,IF(J208="X2",5,IF(J208="X3",3,0)))</f>
        <v>4</v>
      </c>
      <c r="N208" s="15">
        <f t="shared" si="49"/>
        <v>0</v>
      </c>
      <c r="O208" s="12">
        <v>8050</v>
      </c>
      <c r="P208" s="12">
        <f t="shared" si="50"/>
        <v>670.83333333333337</v>
      </c>
      <c r="Q208" s="12">
        <f t="shared" si="51"/>
        <v>670.83333333333337</v>
      </c>
    </row>
    <row r="209" spans="1:17" x14ac:dyDescent="0.3">
      <c r="A209" s="1">
        <f t="shared" ref="A209:A236" si="53">+A208+1</f>
        <v>3</v>
      </c>
      <c r="B209" s="4" t="s">
        <v>212</v>
      </c>
      <c r="C209" s="3" t="s">
        <v>210</v>
      </c>
      <c r="D209" s="1" t="s">
        <v>40</v>
      </c>
      <c r="E209" s="1" t="s">
        <v>40</v>
      </c>
      <c r="F209" s="1"/>
      <c r="G209" s="1"/>
      <c r="H209" s="1"/>
      <c r="I209" s="1"/>
      <c r="J209" s="1"/>
      <c r="K209" s="1" t="s">
        <v>40</v>
      </c>
      <c r="L209" s="12">
        <v>0</v>
      </c>
      <c r="M209" s="15">
        <f t="shared" si="52"/>
        <v>2</v>
      </c>
      <c r="N209" s="15">
        <f t="shared" si="49"/>
        <v>1</v>
      </c>
      <c r="O209" s="20"/>
      <c r="P209" s="12">
        <f t="shared" si="50"/>
        <v>0</v>
      </c>
      <c r="Q209" s="20"/>
    </row>
    <row r="210" spans="1:17" x14ac:dyDescent="0.3">
      <c r="A210" s="1">
        <f t="shared" si="53"/>
        <v>4</v>
      </c>
      <c r="B210" s="2" t="s">
        <v>213</v>
      </c>
      <c r="C210" s="3" t="s">
        <v>210</v>
      </c>
      <c r="D210" s="1" t="s">
        <v>40</v>
      </c>
      <c r="E210" s="1" t="s">
        <v>40</v>
      </c>
      <c r="F210" s="1" t="s">
        <v>40</v>
      </c>
      <c r="G210" s="1"/>
      <c r="H210" s="1"/>
      <c r="I210" s="1"/>
      <c r="J210" s="1"/>
      <c r="K210" s="1"/>
      <c r="L210" s="12">
        <v>22300</v>
      </c>
      <c r="M210" s="15">
        <f t="shared" si="52"/>
        <v>4</v>
      </c>
      <c r="N210" s="15">
        <f t="shared" si="49"/>
        <v>0</v>
      </c>
      <c r="O210" s="12">
        <v>22300</v>
      </c>
      <c r="P210" s="12">
        <f t="shared" si="50"/>
        <v>1858.3333333333333</v>
      </c>
      <c r="Q210" s="12">
        <f t="shared" si="51"/>
        <v>1858.3333333333333</v>
      </c>
    </row>
    <row r="211" spans="1:17" x14ac:dyDescent="0.3">
      <c r="A211" s="1">
        <f t="shared" si="53"/>
        <v>5</v>
      </c>
      <c r="B211" s="4" t="s">
        <v>214</v>
      </c>
      <c r="C211" s="3" t="s">
        <v>210</v>
      </c>
      <c r="D211" s="1" t="s">
        <v>40</v>
      </c>
      <c r="E211" s="1" t="s">
        <v>40</v>
      </c>
      <c r="F211" s="1"/>
      <c r="G211" s="1"/>
      <c r="H211" s="1" t="s">
        <v>40</v>
      </c>
      <c r="I211" s="1" t="s">
        <v>40</v>
      </c>
      <c r="J211" s="1"/>
      <c r="K211" s="1"/>
      <c r="L211" s="12">
        <v>247104.29</v>
      </c>
      <c r="M211" s="15">
        <f t="shared" si="52"/>
        <v>10</v>
      </c>
      <c r="N211" s="15">
        <f t="shared" si="49"/>
        <v>0</v>
      </c>
      <c r="O211" s="20"/>
      <c r="P211" s="12">
        <f t="shared" si="50"/>
        <v>20592.024166666666</v>
      </c>
      <c r="Q211" s="20"/>
    </row>
    <row r="212" spans="1:17" x14ac:dyDescent="0.3">
      <c r="A212" s="1">
        <f t="shared" si="53"/>
        <v>6</v>
      </c>
      <c r="B212" s="2" t="s">
        <v>211</v>
      </c>
      <c r="C212" s="3" t="s">
        <v>210</v>
      </c>
      <c r="D212" s="1" t="s">
        <v>40</v>
      </c>
      <c r="E212" s="1" t="s">
        <v>40</v>
      </c>
      <c r="F212" s="1"/>
      <c r="G212" s="1"/>
      <c r="H212" s="1"/>
      <c r="I212" s="1"/>
      <c r="J212" s="1"/>
      <c r="K212" s="1"/>
      <c r="L212" s="12">
        <v>5750</v>
      </c>
      <c r="M212" s="15">
        <f t="shared" si="52"/>
        <v>2</v>
      </c>
      <c r="N212" s="15">
        <f t="shared" si="49"/>
        <v>0</v>
      </c>
      <c r="O212" s="12">
        <v>5750</v>
      </c>
      <c r="P212" s="12">
        <f t="shared" si="50"/>
        <v>479.16666666666669</v>
      </c>
      <c r="Q212" s="12">
        <f t="shared" si="51"/>
        <v>479.16666666666669</v>
      </c>
    </row>
    <row r="213" spans="1:17" x14ac:dyDescent="0.3">
      <c r="A213" s="1">
        <f t="shared" si="53"/>
        <v>7</v>
      </c>
      <c r="B213" s="2" t="s">
        <v>216</v>
      </c>
      <c r="C213" s="3" t="s">
        <v>210</v>
      </c>
      <c r="D213" s="1" t="s">
        <v>40</v>
      </c>
      <c r="E213" s="1" t="s">
        <v>40</v>
      </c>
      <c r="F213" s="1"/>
      <c r="G213" s="1"/>
      <c r="H213" s="1"/>
      <c r="I213" s="1"/>
      <c r="J213" s="1"/>
      <c r="K213" s="1"/>
      <c r="L213" s="12">
        <v>175770</v>
      </c>
      <c r="M213" s="15">
        <f t="shared" si="52"/>
        <v>2</v>
      </c>
      <c r="N213" s="15">
        <f t="shared" si="49"/>
        <v>0</v>
      </c>
      <c r="O213" s="12">
        <v>175770</v>
      </c>
      <c r="P213" s="12">
        <f t="shared" si="50"/>
        <v>14647.5</v>
      </c>
      <c r="Q213" s="12">
        <f t="shared" si="51"/>
        <v>14647.5</v>
      </c>
    </row>
    <row r="214" spans="1:17" x14ac:dyDescent="0.3">
      <c r="A214" s="1">
        <f t="shared" si="53"/>
        <v>8</v>
      </c>
      <c r="B214" s="2">
        <v>41745335</v>
      </c>
      <c r="C214" s="3" t="s">
        <v>210</v>
      </c>
      <c r="D214" s="1" t="s">
        <v>40</v>
      </c>
      <c r="E214" s="1" t="s">
        <v>40</v>
      </c>
      <c r="F214" s="1"/>
      <c r="G214" s="1"/>
      <c r="H214" s="1"/>
      <c r="I214" s="1"/>
      <c r="J214" s="1"/>
      <c r="K214" s="1"/>
      <c r="L214" s="12">
        <v>12000</v>
      </c>
      <c r="M214" s="15">
        <f t="shared" si="52"/>
        <v>2</v>
      </c>
      <c r="N214" s="15">
        <f t="shared" si="49"/>
        <v>0</v>
      </c>
      <c r="O214" s="12">
        <v>12000</v>
      </c>
      <c r="P214" s="12">
        <f t="shared" si="50"/>
        <v>1000</v>
      </c>
      <c r="Q214" s="12">
        <f t="shared" si="51"/>
        <v>1000</v>
      </c>
    </row>
    <row r="215" spans="1:17" x14ac:dyDescent="0.3">
      <c r="A215" s="1">
        <f t="shared" si="53"/>
        <v>9</v>
      </c>
      <c r="B215" s="4" t="s">
        <v>217</v>
      </c>
      <c r="C215" s="3" t="s">
        <v>210</v>
      </c>
      <c r="D215" s="1" t="s">
        <v>40</v>
      </c>
      <c r="E215" s="1" t="s">
        <v>40</v>
      </c>
      <c r="F215" s="1"/>
      <c r="G215" s="1" t="s">
        <v>40</v>
      </c>
      <c r="H215" s="1" t="s">
        <v>40</v>
      </c>
      <c r="I215" s="1"/>
      <c r="J215" s="1"/>
      <c r="K215" s="1" t="s">
        <v>40</v>
      </c>
      <c r="L215" s="12">
        <v>160000</v>
      </c>
      <c r="M215" s="15">
        <f t="shared" si="52"/>
        <v>7</v>
      </c>
      <c r="N215" s="15">
        <f t="shared" si="49"/>
        <v>1</v>
      </c>
      <c r="O215" s="12">
        <v>160000</v>
      </c>
      <c r="P215" s="12">
        <f t="shared" si="50"/>
        <v>13333.333333333334</v>
      </c>
      <c r="Q215" s="12">
        <f t="shared" si="51"/>
        <v>13333.333333333334</v>
      </c>
    </row>
    <row r="216" spans="1:17" x14ac:dyDescent="0.3">
      <c r="A216" s="1">
        <f t="shared" si="53"/>
        <v>10</v>
      </c>
      <c r="B216" s="2">
        <v>28275670</v>
      </c>
      <c r="C216" s="3" t="s">
        <v>210</v>
      </c>
      <c r="D216" s="1" t="s">
        <v>40</v>
      </c>
      <c r="E216" s="1" t="s">
        <v>40</v>
      </c>
      <c r="F216" s="1"/>
      <c r="G216" s="1"/>
      <c r="H216" s="1" t="s">
        <v>40</v>
      </c>
      <c r="I216" s="1"/>
      <c r="J216" s="1"/>
      <c r="K216" s="1"/>
      <c r="L216" s="12">
        <v>7725</v>
      </c>
      <c r="M216" s="15">
        <f t="shared" si="52"/>
        <v>5</v>
      </c>
      <c r="N216" s="15">
        <f t="shared" si="49"/>
        <v>0</v>
      </c>
      <c r="O216" s="12">
        <v>7725</v>
      </c>
      <c r="P216" s="12">
        <f t="shared" si="50"/>
        <v>643.75</v>
      </c>
      <c r="Q216" s="12">
        <f t="shared" si="51"/>
        <v>643.75</v>
      </c>
    </row>
    <row r="217" spans="1:17" x14ac:dyDescent="0.3">
      <c r="A217" s="1">
        <f t="shared" si="53"/>
        <v>11</v>
      </c>
      <c r="B217" s="4" t="s">
        <v>218</v>
      </c>
      <c r="C217" s="3" t="s">
        <v>210</v>
      </c>
      <c r="D217" s="1" t="s">
        <v>40</v>
      </c>
      <c r="E217" s="1" t="s">
        <v>40</v>
      </c>
      <c r="F217" s="1"/>
      <c r="G217" s="1"/>
      <c r="H217" s="1" t="s">
        <v>40</v>
      </c>
      <c r="I217" s="1"/>
      <c r="J217" s="1"/>
      <c r="K217" s="1"/>
      <c r="L217" s="12">
        <v>11040</v>
      </c>
      <c r="M217" s="15">
        <f t="shared" si="52"/>
        <v>5</v>
      </c>
      <c r="N217" s="15">
        <f t="shared" si="49"/>
        <v>0</v>
      </c>
      <c r="O217" s="12">
        <v>11040</v>
      </c>
      <c r="P217" s="12">
        <f t="shared" si="50"/>
        <v>920</v>
      </c>
      <c r="Q217" s="12">
        <f t="shared" si="51"/>
        <v>920</v>
      </c>
    </row>
    <row r="218" spans="1:17" x14ac:dyDescent="0.3">
      <c r="A218" s="1">
        <f t="shared" si="53"/>
        <v>12</v>
      </c>
      <c r="B218" s="2" t="s">
        <v>219</v>
      </c>
      <c r="C218" s="3" t="s">
        <v>210</v>
      </c>
      <c r="D218" s="1" t="s">
        <v>40</v>
      </c>
      <c r="E218" s="1" t="s">
        <v>40</v>
      </c>
      <c r="F218" s="1"/>
      <c r="G218" s="1"/>
      <c r="H218" s="1"/>
      <c r="I218" s="1"/>
      <c r="J218" s="1"/>
      <c r="K218" s="1"/>
      <c r="L218" s="14">
        <v>0</v>
      </c>
      <c r="M218" s="15">
        <f t="shared" si="52"/>
        <v>2</v>
      </c>
      <c r="N218" s="15">
        <f t="shared" si="49"/>
        <v>0</v>
      </c>
      <c r="O218" s="20"/>
      <c r="P218" s="12">
        <f t="shared" si="50"/>
        <v>0</v>
      </c>
      <c r="Q218" s="20"/>
    </row>
    <row r="219" spans="1:17" x14ac:dyDescent="0.3">
      <c r="A219" s="1">
        <f t="shared" si="53"/>
        <v>13</v>
      </c>
      <c r="B219" s="4" t="s">
        <v>220</v>
      </c>
      <c r="C219" s="3" t="s">
        <v>210</v>
      </c>
      <c r="D219" s="1" t="s">
        <v>40</v>
      </c>
      <c r="E219" s="1" t="s">
        <v>40</v>
      </c>
      <c r="F219" s="1" t="s">
        <v>40</v>
      </c>
      <c r="G219" s="1"/>
      <c r="H219" s="1" t="s">
        <v>40</v>
      </c>
      <c r="I219" s="1"/>
      <c r="J219" s="1"/>
      <c r="K219" s="1"/>
      <c r="L219" s="14">
        <v>0</v>
      </c>
      <c r="M219" s="15">
        <f t="shared" si="52"/>
        <v>7</v>
      </c>
      <c r="N219" s="15">
        <f t="shared" si="49"/>
        <v>0</v>
      </c>
      <c r="O219" s="20"/>
      <c r="P219" s="12">
        <f t="shared" si="50"/>
        <v>0</v>
      </c>
      <c r="Q219" s="20"/>
    </row>
    <row r="220" spans="1:17" x14ac:dyDescent="0.3">
      <c r="A220" s="1">
        <f t="shared" si="53"/>
        <v>14</v>
      </c>
      <c r="B220" s="2" t="s">
        <v>221</v>
      </c>
      <c r="C220" s="3" t="s">
        <v>210</v>
      </c>
      <c r="D220" s="1" t="s">
        <v>40</v>
      </c>
      <c r="E220" s="1" t="s">
        <v>40</v>
      </c>
      <c r="F220" s="1"/>
      <c r="G220" s="1"/>
      <c r="H220" s="1"/>
      <c r="I220" s="1"/>
      <c r="J220" s="1"/>
      <c r="K220" s="1"/>
      <c r="L220" s="14">
        <v>0</v>
      </c>
      <c r="M220" s="15">
        <f t="shared" si="52"/>
        <v>2</v>
      </c>
      <c r="N220" s="15">
        <f t="shared" si="49"/>
        <v>0</v>
      </c>
      <c r="O220" s="20"/>
      <c r="P220" s="12">
        <f t="shared" si="50"/>
        <v>0</v>
      </c>
      <c r="Q220" s="20"/>
    </row>
    <row r="221" spans="1:17" x14ac:dyDescent="0.3">
      <c r="A221" s="1">
        <f t="shared" si="53"/>
        <v>15</v>
      </c>
      <c r="B221" s="2">
        <v>41767813</v>
      </c>
      <c r="C221" s="3" t="s">
        <v>210</v>
      </c>
      <c r="D221" s="1" t="s">
        <v>40</v>
      </c>
      <c r="E221" s="1" t="s">
        <v>40</v>
      </c>
      <c r="F221" s="1"/>
      <c r="G221" s="1"/>
      <c r="H221" s="1" t="s">
        <v>40</v>
      </c>
      <c r="I221" s="1"/>
      <c r="J221" s="1"/>
      <c r="K221" s="1"/>
      <c r="L221" s="14">
        <v>120600</v>
      </c>
      <c r="M221" s="15">
        <f t="shared" si="52"/>
        <v>5</v>
      </c>
      <c r="N221" s="15">
        <f t="shared" si="49"/>
        <v>0</v>
      </c>
      <c r="O221" s="14">
        <v>120600</v>
      </c>
      <c r="P221" s="12">
        <f t="shared" si="50"/>
        <v>10050</v>
      </c>
      <c r="Q221" s="12">
        <f t="shared" si="51"/>
        <v>10050</v>
      </c>
    </row>
    <row r="222" spans="1:17" x14ac:dyDescent="0.3">
      <c r="A222" s="1">
        <f t="shared" si="53"/>
        <v>16</v>
      </c>
      <c r="B222" s="2" t="s">
        <v>222</v>
      </c>
      <c r="C222" s="3" t="s">
        <v>210</v>
      </c>
      <c r="D222" s="1" t="s">
        <v>40</v>
      </c>
      <c r="E222" s="1" t="s">
        <v>40</v>
      </c>
      <c r="F222" s="1"/>
      <c r="G222" s="1"/>
      <c r="H222" s="1"/>
      <c r="I222" s="1"/>
      <c r="J222" s="1"/>
      <c r="K222" s="1"/>
      <c r="L222" s="14"/>
      <c r="M222" s="15">
        <f t="shared" si="52"/>
        <v>2</v>
      </c>
      <c r="N222" s="15">
        <f t="shared" si="49"/>
        <v>0</v>
      </c>
      <c r="O222" s="20"/>
      <c r="P222" s="12">
        <f t="shared" si="50"/>
        <v>0</v>
      </c>
      <c r="Q222" s="20"/>
    </row>
    <row r="223" spans="1:17" x14ac:dyDescent="0.3">
      <c r="A223" s="1">
        <f t="shared" si="53"/>
        <v>17</v>
      </c>
      <c r="B223" s="4" t="s">
        <v>223</v>
      </c>
      <c r="C223" s="3" t="s">
        <v>210</v>
      </c>
      <c r="D223" s="1" t="s">
        <v>40</v>
      </c>
      <c r="E223" s="1" t="s">
        <v>40</v>
      </c>
      <c r="F223" s="1"/>
      <c r="G223" s="1"/>
      <c r="H223" s="1"/>
      <c r="I223" s="1"/>
      <c r="J223" s="1"/>
      <c r="K223" s="1"/>
      <c r="L223" s="14">
        <v>24000</v>
      </c>
      <c r="M223" s="15">
        <f t="shared" si="52"/>
        <v>2</v>
      </c>
      <c r="N223" s="15">
        <f t="shared" si="49"/>
        <v>0</v>
      </c>
      <c r="O223" s="14">
        <v>24000</v>
      </c>
      <c r="P223" s="12">
        <f t="shared" si="50"/>
        <v>2000</v>
      </c>
      <c r="Q223" s="12">
        <f t="shared" si="51"/>
        <v>2000</v>
      </c>
    </row>
    <row r="224" spans="1:17" x14ac:dyDescent="0.3">
      <c r="A224" s="1">
        <f t="shared" si="53"/>
        <v>18</v>
      </c>
      <c r="B224" s="2" t="s">
        <v>224</v>
      </c>
      <c r="C224" s="3" t="s">
        <v>210</v>
      </c>
      <c r="D224" s="1" t="s">
        <v>40</v>
      </c>
      <c r="E224" s="1" t="s">
        <v>40</v>
      </c>
      <c r="F224" s="1"/>
      <c r="G224" s="1"/>
      <c r="H224" s="1"/>
      <c r="I224" s="1"/>
      <c r="J224" s="1"/>
      <c r="K224" s="1"/>
      <c r="L224" s="14">
        <v>0</v>
      </c>
      <c r="M224" s="15">
        <f t="shared" si="52"/>
        <v>2</v>
      </c>
      <c r="N224" s="15">
        <f t="shared" si="49"/>
        <v>0</v>
      </c>
      <c r="O224" s="20"/>
      <c r="P224" s="12">
        <f t="shared" si="50"/>
        <v>0</v>
      </c>
      <c r="Q224" s="20"/>
    </row>
    <row r="225" spans="1:17" x14ac:dyDescent="0.3">
      <c r="A225" s="1">
        <f t="shared" si="53"/>
        <v>19</v>
      </c>
      <c r="B225" s="2" t="s">
        <v>225</v>
      </c>
      <c r="C225" s="3" t="s">
        <v>210</v>
      </c>
      <c r="D225" s="1" t="s">
        <v>40</v>
      </c>
      <c r="E225" s="1" t="s">
        <v>40</v>
      </c>
      <c r="F225" s="1"/>
      <c r="G225" s="1" t="s">
        <v>40</v>
      </c>
      <c r="H225" s="1"/>
      <c r="I225" s="1"/>
      <c r="J225" s="1"/>
      <c r="K225" s="1"/>
      <c r="L225" s="14">
        <v>30000</v>
      </c>
      <c r="M225" s="15">
        <f t="shared" si="52"/>
        <v>4</v>
      </c>
      <c r="N225" s="15">
        <f t="shared" si="49"/>
        <v>0</v>
      </c>
      <c r="O225" s="14">
        <v>30000</v>
      </c>
      <c r="P225" s="12">
        <f t="shared" si="50"/>
        <v>2500</v>
      </c>
      <c r="Q225" s="12">
        <f t="shared" si="51"/>
        <v>2500</v>
      </c>
    </row>
    <row r="226" spans="1:17" x14ac:dyDescent="0.3">
      <c r="A226" s="1">
        <f t="shared" si="53"/>
        <v>20</v>
      </c>
      <c r="B226" s="2" t="s">
        <v>226</v>
      </c>
      <c r="C226" s="3" t="s">
        <v>210</v>
      </c>
      <c r="D226" s="1" t="s">
        <v>40</v>
      </c>
      <c r="E226" s="1" t="s">
        <v>40</v>
      </c>
      <c r="F226" s="1" t="s">
        <v>40</v>
      </c>
      <c r="G226" s="1" t="s">
        <v>40</v>
      </c>
      <c r="H226" s="1" t="s">
        <v>40</v>
      </c>
      <c r="I226" s="1"/>
      <c r="J226" s="1"/>
      <c r="K226" s="1"/>
      <c r="L226" s="14">
        <v>30000</v>
      </c>
      <c r="M226" s="15">
        <f t="shared" si="52"/>
        <v>9</v>
      </c>
      <c r="N226" s="15">
        <f t="shared" si="49"/>
        <v>0</v>
      </c>
      <c r="O226" s="14">
        <v>30000</v>
      </c>
      <c r="P226" s="12">
        <f t="shared" si="50"/>
        <v>2500</v>
      </c>
      <c r="Q226" s="12">
        <f t="shared" si="51"/>
        <v>2500</v>
      </c>
    </row>
    <row r="227" spans="1:17" x14ac:dyDescent="0.3">
      <c r="A227" s="1">
        <f t="shared" si="53"/>
        <v>21</v>
      </c>
      <c r="B227" s="2" t="s">
        <v>227</v>
      </c>
      <c r="C227" s="3" t="s">
        <v>210</v>
      </c>
      <c r="D227" s="1" t="s">
        <v>40</v>
      </c>
      <c r="E227" s="1" t="s">
        <v>40</v>
      </c>
      <c r="F227" s="1"/>
      <c r="G227" s="1"/>
      <c r="H227" s="1" t="s">
        <v>40</v>
      </c>
      <c r="I227" s="1"/>
      <c r="J227" s="1"/>
      <c r="K227" s="1"/>
      <c r="L227" s="14">
        <v>18000</v>
      </c>
      <c r="M227" s="15">
        <f t="shared" si="52"/>
        <v>5</v>
      </c>
      <c r="N227" s="15">
        <f t="shared" si="49"/>
        <v>0</v>
      </c>
      <c r="O227" s="14">
        <v>18000</v>
      </c>
      <c r="P227" s="12">
        <f t="shared" si="50"/>
        <v>1500</v>
      </c>
      <c r="Q227" s="12">
        <f t="shared" si="51"/>
        <v>1500</v>
      </c>
    </row>
    <row r="228" spans="1:17" x14ac:dyDescent="0.3">
      <c r="A228" s="1">
        <f t="shared" si="53"/>
        <v>22</v>
      </c>
      <c r="B228" s="2">
        <v>80612217</v>
      </c>
      <c r="C228" s="3" t="s">
        <v>210</v>
      </c>
      <c r="D228" s="1" t="s">
        <v>40</v>
      </c>
      <c r="E228" s="1" t="s">
        <v>40</v>
      </c>
      <c r="F228" s="1" t="s">
        <v>40</v>
      </c>
      <c r="G228" s="1"/>
      <c r="H228" s="1"/>
      <c r="I228" s="1"/>
      <c r="J228" s="1"/>
      <c r="K228" s="1"/>
      <c r="L228" s="14">
        <v>18000</v>
      </c>
      <c r="M228" s="15">
        <f t="shared" si="52"/>
        <v>4</v>
      </c>
      <c r="N228" s="15">
        <f t="shared" si="49"/>
        <v>0</v>
      </c>
      <c r="O228" s="14">
        <v>18000</v>
      </c>
      <c r="P228" s="12">
        <f t="shared" si="50"/>
        <v>1500</v>
      </c>
      <c r="Q228" s="12">
        <f t="shared" si="51"/>
        <v>1500</v>
      </c>
    </row>
    <row r="229" spans="1:17" x14ac:dyDescent="0.3">
      <c r="A229" s="1">
        <f t="shared" si="53"/>
        <v>23</v>
      </c>
      <c r="B229" s="2">
        <v>23170336</v>
      </c>
      <c r="C229" s="3" t="s">
        <v>210</v>
      </c>
      <c r="D229" s="1" t="s">
        <v>40</v>
      </c>
      <c r="E229" s="1"/>
      <c r="F229" s="1"/>
      <c r="G229" s="1"/>
      <c r="H229" s="1"/>
      <c r="I229" s="1"/>
      <c r="J229" s="1"/>
      <c r="K229" s="1"/>
      <c r="L229" s="14">
        <v>30000</v>
      </c>
      <c r="M229" s="15">
        <f t="shared" si="52"/>
        <v>1</v>
      </c>
      <c r="N229" s="15">
        <f t="shared" si="49"/>
        <v>0</v>
      </c>
      <c r="O229" s="14">
        <v>30000</v>
      </c>
      <c r="P229" s="12">
        <f t="shared" si="50"/>
        <v>2500</v>
      </c>
      <c r="Q229" s="12">
        <f t="shared" si="51"/>
        <v>2500</v>
      </c>
    </row>
    <row r="230" spans="1:17" x14ac:dyDescent="0.3">
      <c r="A230" s="1">
        <f t="shared" si="53"/>
        <v>24</v>
      </c>
      <c r="B230" s="2" t="s">
        <v>228</v>
      </c>
      <c r="C230" s="3" t="s">
        <v>210</v>
      </c>
      <c r="D230" s="1" t="s">
        <v>40</v>
      </c>
      <c r="E230" s="1" t="s">
        <v>40</v>
      </c>
      <c r="F230" s="1"/>
      <c r="G230" s="1"/>
      <c r="H230" s="1"/>
      <c r="I230" s="1"/>
      <c r="J230" s="1"/>
      <c r="K230" s="1"/>
      <c r="L230" s="14">
        <v>0</v>
      </c>
      <c r="M230" s="15">
        <f t="shared" si="52"/>
        <v>2</v>
      </c>
      <c r="N230" s="15">
        <f t="shared" si="49"/>
        <v>0</v>
      </c>
      <c r="O230" s="20"/>
      <c r="P230" s="12">
        <f t="shared" si="50"/>
        <v>0</v>
      </c>
      <c r="Q230" s="20"/>
    </row>
    <row r="231" spans="1:17" x14ac:dyDescent="0.3">
      <c r="A231" s="1">
        <f t="shared" si="53"/>
        <v>25</v>
      </c>
      <c r="B231" s="2" t="s">
        <v>229</v>
      </c>
      <c r="C231" s="3" t="s">
        <v>210</v>
      </c>
      <c r="D231" s="1" t="s">
        <v>40</v>
      </c>
      <c r="E231" s="1" t="s">
        <v>40</v>
      </c>
      <c r="F231" s="1"/>
      <c r="G231" s="1"/>
      <c r="H231" s="1"/>
      <c r="I231" s="1"/>
      <c r="J231" s="1"/>
      <c r="K231" s="1"/>
      <c r="L231" s="14">
        <v>0</v>
      </c>
      <c r="M231" s="15">
        <f t="shared" si="52"/>
        <v>2</v>
      </c>
      <c r="N231" s="15">
        <f t="shared" si="49"/>
        <v>0</v>
      </c>
      <c r="O231" s="20"/>
      <c r="P231" s="12">
        <f t="shared" si="50"/>
        <v>0</v>
      </c>
      <c r="Q231" s="20"/>
    </row>
    <row r="232" spans="1:17" x14ac:dyDescent="0.3">
      <c r="A232" s="1">
        <f t="shared" si="53"/>
        <v>26</v>
      </c>
      <c r="B232" s="2" t="s">
        <v>230</v>
      </c>
      <c r="C232" s="3" t="s">
        <v>210</v>
      </c>
      <c r="D232" s="1" t="s">
        <v>40</v>
      </c>
      <c r="E232" s="1" t="s">
        <v>40</v>
      </c>
      <c r="F232" s="1" t="s">
        <v>40</v>
      </c>
      <c r="G232" s="1"/>
      <c r="H232" s="1"/>
      <c r="I232" s="1"/>
      <c r="J232" s="1"/>
      <c r="K232" s="1"/>
      <c r="L232" s="14">
        <v>13200</v>
      </c>
      <c r="M232" s="15">
        <f t="shared" si="52"/>
        <v>4</v>
      </c>
      <c r="N232" s="15">
        <f t="shared" si="49"/>
        <v>0</v>
      </c>
      <c r="O232" s="14">
        <v>13200</v>
      </c>
      <c r="P232" s="12">
        <f t="shared" si="50"/>
        <v>1100</v>
      </c>
      <c r="Q232" s="12">
        <f t="shared" si="51"/>
        <v>1100</v>
      </c>
    </row>
    <row r="233" spans="1:17" x14ac:dyDescent="0.3">
      <c r="A233" s="1">
        <f t="shared" si="53"/>
        <v>27</v>
      </c>
      <c r="B233" s="2" t="s">
        <v>231</v>
      </c>
      <c r="C233" s="3" t="s">
        <v>210</v>
      </c>
      <c r="D233" s="1" t="s">
        <v>40</v>
      </c>
      <c r="E233" s="1"/>
      <c r="F233" s="1"/>
      <c r="G233" s="1"/>
      <c r="H233" s="1"/>
      <c r="I233" s="1"/>
      <c r="J233" s="1"/>
      <c r="K233" s="1"/>
      <c r="L233" s="14">
        <v>3600</v>
      </c>
      <c r="M233" s="15">
        <f t="shared" si="52"/>
        <v>1</v>
      </c>
      <c r="N233" s="15">
        <f t="shared" si="49"/>
        <v>0</v>
      </c>
      <c r="O233" s="14">
        <v>3600</v>
      </c>
      <c r="P233" s="12">
        <f t="shared" si="50"/>
        <v>300</v>
      </c>
      <c r="Q233" s="12">
        <f t="shared" si="51"/>
        <v>300</v>
      </c>
    </row>
    <row r="234" spans="1:17" x14ac:dyDescent="0.3">
      <c r="A234" s="1">
        <f t="shared" si="53"/>
        <v>28</v>
      </c>
      <c r="B234" s="2" t="s">
        <v>232</v>
      </c>
      <c r="C234" s="3" t="s">
        <v>210</v>
      </c>
      <c r="D234" s="1" t="s">
        <v>40</v>
      </c>
      <c r="E234" s="1" t="s">
        <v>40</v>
      </c>
      <c r="F234" s="1"/>
      <c r="G234" s="1"/>
      <c r="H234" s="1"/>
      <c r="I234" s="1"/>
      <c r="J234" s="1"/>
      <c r="K234" s="1"/>
      <c r="L234" s="14">
        <v>0</v>
      </c>
      <c r="M234" s="15">
        <f t="shared" si="52"/>
        <v>2</v>
      </c>
      <c r="N234" s="15">
        <f t="shared" si="49"/>
        <v>0</v>
      </c>
      <c r="O234" s="20"/>
      <c r="P234" s="12">
        <f t="shared" si="50"/>
        <v>0</v>
      </c>
      <c r="Q234" s="20"/>
    </row>
    <row r="235" spans="1:17" x14ac:dyDescent="0.3">
      <c r="A235" s="1">
        <f t="shared" si="53"/>
        <v>29</v>
      </c>
      <c r="B235" s="2" t="s">
        <v>233</v>
      </c>
      <c r="C235" s="3" t="s">
        <v>210</v>
      </c>
      <c r="D235" s="1" t="s">
        <v>40</v>
      </c>
      <c r="E235" s="1" t="s">
        <v>40</v>
      </c>
      <c r="F235" s="1"/>
      <c r="G235" s="1"/>
      <c r="H235" s="1" t="s">
        <v>40</v>
      </c>
      <c r="I235" s="1"/>
      <c r="J235" s="1"/>
      <c r="K235" s="1"/>
      <c r="L235" s="14">
        <v>42000</v>
      </c>
      <c r="M235" s="15">
        <f t="shared" si="52"/>
        <v>5</v>
      </c>
      <c r="N235" s="15">
        <f t="shared" si="49"/>
        <v>0</v>
      </c>
      <c r="O235" s="14">
        <v>42000</v>
      </c>
      <c r="P235" s="12">
        <f t="shared" si="50"/>
        <v>3500</v>
      </c>
      <c r="Q235" s="12">
        <f t="shared" si="51"/>
        <v>3500</v>
      </c>
    </row>
    <row r="236" spans="1:17" x14ac:dyDescent="0.3">
      <c r="A236" s="1">
        <f t="shared" si="53"/>
        <v>30</v>
      </c>
      <c r="B236" s="2">
        <v>33340112</v>
      </c>
      <c r="C236" s="3" t="s">
        <v>210</v>
      </c>
      <c r="D236" s="1" t="s">
        <v>40</v>
      </c>
      <c r="E236" s="1" t="s">
        <v>40</v>
      </c>
      <c r="F236" s="1"/>
      <c r="G236" s="1"/>
      <c r="H236" s="1"/>
      <c r="I236" s="1"/>
      <c r="J236" s="1"/>
      <c r="K236" s="1"/>
      <c r="L236" s="14">
        <v>0</v>
      </c>
      <c r="M236" s="15">
        <f t="shared" si="52"/>
        <v>2</v>
      </c>
      <c r="N236" s="15">
        <f t="shared" si="49"/>
        <v>0</v>
      </c>
      <c r="O236" s="20"/>
      <c r="P236" s="12">
        <f t="shared" si="50"/>
        <v>0</v>
      </c>
      <c r="Q236" s="20"/>
    </row>
    <row r="237" spans="1:17" x14ac:dyDescent="0.3">
      <c r="B237" s="2">
        <v>9193531</v>
      </c>
      <c r="D237"/>
      <c r="E237"/>
      <c r="F237"/>
      <c r="G237"/>
      <c r="H237"/>
      <c r="I237"/>
      <c r="J237"/>
      <c r="L237" s="14">
        <f>+AVERAGE(L207:L236)</f>
        <v>34384.113448275864</v>
      </c>
      <c r="M237" s="14">
        <f>+AVERAGE(M207:M236)</f>
        <v>3.7</v>
      </c>
      <c r="N237" s="14">
        <f>+SUM(N207:N236)</f>
        <v>2</v>
      </c>
      <c r="O237" s="14">
        <f>+AVERAGE(O207:O236)</f>
        <v>39701.84210526316</v>
      </c>
      <c r="P237" s="14">
        <f>+AVERAGE(P207:P236)</f>
        <v>2769.8313611111107</v>
      </c>
      <c r="Q237" s="14">
        <f>+AVERAGE(Q207:Q236)</f>
        <v>3308.4868421052633</v>
      </c>
    </row>
    <row r="238" spans="1:17" x14ac:dyDescent="0.3">
      <c r="D238"/>
      <c r="E238"/>
      <c r="F238"/>
      <c r="G238"/>
      <c r="H238"/>
      <c r="I238"/>
      <c r="J238"/>
      <c r="L238" s="14">
        <f>+STDEV(L207:L236)</f>
        <v>61218.036788395853</v>
      </c>
      <c r="M238" s="14">
        <f>+STDEV(M207:M236)</f>
        <v>2.2916640543349791</v>
      </c>
      <c r="N238" s="17"/>
      <c r="O238" s="14">
        <f>+STDEV(O207:O236)</f>
        <v>51846.014558351497</v>
      </c>
      <c r="P238" s="14">
        <f>+STDEV(P207:P236)</f>
        <v>5039.9981360640923</v>
      </c>
      <c r="Q238" s="14">
        <f>+STDEV(Q207:Q236)</f>
        <v>4320.5012131959584</v>
      </c>
    </row>
    <row r="239" spans="1:17" x14ac:dyDescent="0.3">
      <c r="D239"/>
      <c r="E239"/>
      <c r="F239"/>
      <c r="G239"/>
      <c r="H239"/>
      <c r="I239" s="15"/>
      <c r="J239" s="15"/>
      <c r="K239" s="11" t="s">
        <v>75</v>
      </c>
      <c r="L239" s="14">
        <f>+COUNTIF(L207:L236,0)</f>
        <v>9</v>
      </c>
      <c r="M239" s="14">
        <f>+COUNT(M207:M236)</f>
        <v>30</v>
      </c>
      <c r="P239" s="14">
        <f>+COUNTIF(P207:P236,0)</f>
        <v>10</v>
      </c>
    </row>
    <row r="240" spans="1:17" x14ac:dyDescent="0.3">
      <c r="D240"/>
      <c r="E240"/>
      <c r="F240"/>
      <c r="G240"/>
      <c r="H240"/>
      <c r="I240"/>
      <c r="J240"/>
    </row>
    <row r="241" spans="1:20" x14ac:dyDescent="0.3">
      <c r="A241" s="1">
        <v>1</v>
      </c>
      <c r="B241" s="2" t="s">
        <v>236</v>
      </c>
      <c r="C241" s="3" t="s">
        <v>235</v>
      </c>
      <c r="D241" s="50" t="s">
        <v>40</v>
      </c>
      <c r="E241" s="50" t="s">
        <v>40</v>
      </c>
      <c r="F241" s="50"/>
      <c r="G241" s="50"/>
      <c r="H241" s="50" t="s">
        <v>40</v>
      </c>
      <c r="I241" s="50" t="s">
        <v>40</v>
      </c>
      <c r="J241" s="50" t="s">
        <v>897</v>
      </c>
      <c r="K241" s="12"/>
      <c r="L241" s="12">
        <v>277827</v>
      </c>
      <c r="M241" s="15">
        <f>+IF(D241="X",1,0)+IF(E241="X",1,0)+IF(F241="X",2,0)+IF(G241="X",2,0)+IF(H241="X",3,IF(H241="Y",1.5,0))+IF(I241="X",5,IF(I241="Y",2.5,0))+IF(J241="X1",10,IF(J241="X2",5,IF(J241="X3",3,0)))</f>
        <v>15</v>
      </c>
      <c r="N241" s="15">
        <f t="shared" ref="N241:N270" si="54">+IF(K241="X",1,0)</f>
        <v>0</v>
      </c>
      <c r="O241" s="20"/>
      <c r="P241" s="12">
        <f t="shared" ref="P241:P270" si="55">+L241/12</f>
        <v>23152.25</v>
      </c>
      <c r="Q241" s="20"/>
    </row>
    <row r="242" spans="1:20" x14ac:dyDescent="0.3">
      <c r="A242" s="1">
        <f>+A241+1</f>
        <v>2</v>
      </c>
      <c r="B242" s="2">
        <v>43879107</v>
      </c>
      <c r="C242" s="3" t="s">
        <v>235</v>
      </c>
      <c r="D242" s="50" t="s">
        <v>40</v>
      </c>
      <c r="E242" s="50" t="s">
        <v>40</v>
      </c>
      <c r="F242" s="50"/>
      <c r="G242" s="50"/>
      <c r="H242" s="50" t="s">
        <v>40</v>
      </c>
      <c r="I242" s="50" t="s">
        <v>40</v>
      </c>
      <c r="J242" s="50"/>
      <c r="K242" s="12"/>
      <c r="L242" s="12">
        <v>38400</v>
      </c>
      <c r="M242" s="15">
        <f t="shared" ref="M242:M270" si="56">+IF(D242="X",1,0)+IF(E242="X",1,0)+IF(F242="X",2,0)+IF(G242="X",2,0)+IF(H242="X",3,IF(H242="Y",1.5,0))+IF(I242="X",5,IF(I242="Y",2.5,0))+IF(J242="X1",10,IF(J242="X2",5,IF(J242="X3",3,0)))</f>
        <v>10</v>
      </c>
      <c r="N242" s="15">
        <f t="shared" si="54"/>
        <v>0</v>
      </c>
      <c r="O242" s="12">
        <v>38400</v>
      </c>
      <c r="P242" s="12">
        <f t="shared" si="55"/>
        <v>3200</v>
      </c>
      <c r="Q242" s="12">
        <f t="shared" ref="Q242:Q270" si="57">+O242/12</f>
        <v>3200</v>
      </c>
    </row>
    <row r="243" spans="1:20" x14ac:dyDescent="0.3">
      <c r="A243" s="1">
        <f t="shared" ref="A243:A270" si="58">+A242+1</f>
        <v>3</v>
      </c>
      <c r="B243" s="2" t="s">
        <v>237</v>
      </c>
      <c r="C243" s="3" t="s">
        <v>235</v>
      </c>
      <c r="D243" s="12" t="s">
        <v>40</v>
      </c>
      <c r="E243" s="12" t="s">
        <v>40</v>
      </c>
      <c r="F243" s="12"/>
      <c r="G243" s="12"/>
      <c r="H243" s="12" t="s">
        <v>40</v>
      </c>
      <c r="I243" s="12"/>
      <c r="J243" s="12"/>
      <c r="K243" s="12"/>
      <c r="L243" s="12">
        <v>114729.58</v>
      </c>
      <c r="M243" s="15">
        <f t="shared" si="56"/>
        <v>5</v>
      </c>
      <c r="N243" s="15">
        <f t="shared" si="54"/>
        <v>0</v>
      </c>
      <c r="O243" s="12">
        <v>114729.58</v>
      </c>
      <c r="P243" s="12">
        <f t="shared" si="55"/>
        <v>9560.7983333333341</v>
      </c>
      <c r="Q243" s="12">
        <f t="shared" si="57"/>
        <v>9560.7983333333341</v>
      </c>
    </row>
    <row r="244" spans="1:20" x14ac:dyDescent="0.3">
      <c r="A244" s="1">
        <f t="shared" si="58"/>
        <v>4</v>
      </c>
      <c r="B244" s="4" t="s">
        <v>249</v>
      </c>
      <c r="C244" s="3" t="s">
        <v>235</v>
      </c>
      <c r="D244" s="12" t="s">
        <v>40</v>
      </c>
      <c r="E244" s="12" t="s">
        <v>40</v>
      </c>
      <c r="F244" s="12"/>
      <c r="G244" s="12"/>
      <c r="H244" s="12" t="s">
        <v>40</v>
      </c>
      <c r="I244" s="12" t="s">
        <v>40</v>
      </c>
      <c r="J244" s="12"/>
      <c r="K244" s="12"/>
      <c r="L244" s="12">
        <v>165884.26</v>
      </c>
      <c r="M244" s="15">
        <f t="shared" si="56"/>
        <v>10</v>
      </c>
      <c r="N244" s="15">
        <f t="shared" si="54"/>
        <v>0</v>
      </c>
      <c r="O244" s="12">
        <v>165884.26</v>
      </c>
      <c r="P244" s="12">
        <f t="shared" si="55"/>
        <v>13823.688333333334</v>
      </c>
      <c r="Q244" s="12">
        <f t="shared" si="57"/>
        <v>13823.688333333334</v>
      </c>
      <c r="S244" t="s">
        <v>250</v>
      </c>
      <c r="T244" t="s">
        <v>151</v>
      </c>
    </row>
    <row r="245" spans="1:20" x14ac:dyDescent="0.3">
      <c r="A245" s="1">
        <f t="shared" si="58"/>
        <v>5</v>
      </c>
      <c r="B245" s="4" t="s">
        <v>251</v>
      </c>
      <c r="C245" s="3" t="s">
        <v>235</v>
      </c>
      <c r="D245" s="12" t="s">
        <v>40</v>
      </c>
      <c r="E245" s="12" t="s">
        <v>40</v>
      </c>
      <c r="F245" s="12"/>
      <c r="G245" s="12"/>
      <c r="H245" s="12"/>
      <c r="I245" s="12"/>
      <c r="J245" s="12"/>
      <c r="K245" s="12"/>
      <c r="L245" s="12">
        <v>0</v>
      </c>
      <c r="M245" s="15">
        <f t="shared" si="56"/>
        <v>2</v>
      </c>
      <c r="N245" s="15">
        <f t="shared" si="54"/>
        <v>0</v>
      </c>
      <c r="O245" s="20"/>
      <c r="P245" s="12">
        <f t="shared" si="55"/>
        <v>0</v>
      </c>
      <c r="Q245" s="20"/>
    </row>
    <row r="246" spans="1:20" x14ac:dyDescent="0.3">
      <c r="A246" s="1">
        <f t="shared" si="58"/>
        <v>6</v>
      </c>
      <c r="B246" s="2">
        <v>40374263</v>
      </c>
      <c r="C246" s="3" t="s">
        <v>235</v>
      </c>
      <c r="D246" s="50" t="s">
        <v>40</v>
      </c>
      <c r="E246" s="50" t="s">
        <v>40</v>
      </c>
      <c r="F246" s="50" t="s">
        <v>40</v>
      </c>
      <c r="G246" s="50" t="s">
        <v>40</v>
      </c>
      <c r="H246" s="50" t="s">
        <v>40</v>
      </c>
      <c r="I246" s="50"/>
      <c r="J246" s="50" t="s">
        <v>897</v>
      </c>
      <c r="K246" s="12"/>
      <c r="L246" s="12">
        <v>0</v>
      </c>
      <c r="M246" s="15">
        <f t="shared" si="56"/>
        <v>14</v>
      </c>
      <c r="N246" s="15">
        <f t="shared" si="54"/>
        <v>0</v>
      </c>
      <c r="O246" s="20"/>
      <c r="P246" s="12">
        <f t="shared" si="55"/>
        <v>0</v>
      </c>
      <c r="Q246" s="20"/>
    </row>
    <row r="247" spans="1:20" x14ac:dyDescent="0.3">
      <c r="A247" s="1">
        <f t="shared" si="58"/>
        <v>7</v>
      </c>
      <c r="B247" s="4" t="s">
        <v>252</v>
      </c>
      <c r="C247" s="3" t="s">
        <v>235</v>
      </c>
      <c r="D247" s="12" t="s">
        <v>40</v>
      </c>
      <c r="E247" s="12" t="s">
        <v>40</v>
      </c>
      <c r="F247" s="12"/>
      <c r="G247" s="12"/>
      <c r="H247" s="12" t="s">
        <v>40</v>
      </c>
      <c r="I247" s="12" t="s">
        <v>40</v>
      </c>
      <c r="J247" s="12"/>
      <c r="K247" s="12"/>
      <c r="L247" s="12">
        <v>37950</v>
      </c>
      <c r="M247" s="15">
        <f t="shared" si="56"/>
        <v>10</v>
      </c>
      <c r="N247" s="15">
        <f t="shared" si="54"/>
        <v>0</v>
      </c>
      <c r="O247" s="12">
        <v>37950</v>
      </c>
      <c r="P247" s="12">
        <f t="shared" si="55"/>
        <v>3162.5</v>
      </c>
      <c r="Q247" s="12">
        <f t="shared" si="57"/>
        <v>3162.5</v>
      </c>
    </row>
    <row r="248" spans="1:20" x14ac:dyDescent="0.3">
      <c r="A248" s="1">
        <f t="shared" si="58"/>
        <v>8</v>
      </c>
      <c r="B248" s="4" t="s">
        <v>253</v>
      </c>
      <c r="C248" s="3" t="s">
        <v>235</v>
      </c>
      <c r="D248" s="12" t="s">
        <v>40</v>
      </c>
      <c r="E248" s="12" t="s">
        <v>40</v>
      </c>
      <c r="F248" s="12"/>
      <c r="G248" s="12"/>
      <c r="H248" s="12"/>
      <c r="I248" s="12"/>
      <c r="J248" s="12"/>
      <c r="K248" s="12"/>
      <c r="L248" s="12">
        <v>0</v>
      </c>
      <c r="M248" s="15">
        <f t="shared" si="56"/>
        <v>2</v>
      </c>
      <c r="N248" s="15">
        <f t="shared" si="54"/>
        <v>0</v>
      </c>
      <c r="O248" s="20"/>
      <c r="P248" s="12">
        <f t="shared" si="55"/>
        <v>0</v>
      </c>
      <c r="Q248" s="20"/>
    </row>
    <row r="249" spans="1:20" x14ac:dyDescent="0.3">
      <c r="A249" s="1">
        <f t="shared" si="58"/>
        <v>9</v>
      </c>
      <c r="B249" s="4" t="s">
        <v>254</v>
      </c>
      <c r="C249" s="3" t="s">
        <v>235</v>
      </c>
      <c r="D249" s="12" t="s">
        <v>40</v>
      </c>
      <c r="E249" s="12" t="s">
        <v>40</v>
      </c>
      <c r="F249" s="12" t="s">
        <v>40</v>
      </c>
      <c r="G249" s="12"/>
      <c r="H249" s="12" t="s">
        <v>40</v>
      </c>
      <c r="I249" s="12" t="s">
        <v>40</v>
      </c>
      <c r="J249" s="12"/>
      <c r="K249" s="12"/>
      <c r="L249" s="12">
        <v>72000</v>
      </c>
      <c r="M249" s="15">
        <f t="shared" si="56"/>
        <v>12</v>
      </c>
      <c r="N249" s="15">
        <f t="shared" si="54"/>
        <v>0</v>
      </c>
      <c r="O249" s="12">
        <v>72000</v>
      </c>
      <c r="P249" s="12">
        <f t="shared" si="55"/>
        <v>6000</v>
      </c>
      <c r="Q249" s="12">
        <f t="shared" si="57"/>
        <v>6000</v>
      </c>
      <c r="S249" t="s">
        <v>76</v>
      </c>
      <c r="T249" t="s">
        <v>151</v>
      </c>
    </row>
    <row r="250" spans="1:20" x14ac:dyDescent="0.3">
      <c r="A250" s="1">
        <f t="shared" si="58"/>
        <v>10</v>
      </c>
      <c r="B250" s="2" t="s">
        <v>238</v>
      </c>
      <c r="C250" s="3" t="s">
        <v>235</v>
      </c>
      <c r="D250" s="12" t="s">
        <v>40</v>
      </c>
      <c r="E250" s="12" t="s">
        <v>40</v>
      </c>
      <c r="F250" s="12"/>
      <c r="G250" s="12"/>
      <c r="H250" s="12" t="s">
        <v>40</v>
      </c>
      <c r="I250" s="12"/>
      <c r="J250" s="12"/>
      <c r="K250" s="12"/>
      <c r="L250" s="12">
        <v>0</v>
      </c>
      <c r="M250" s="15">
        <f t="shared" si="56"/>
        <v>5</v>
      </c>
      <c r="N250" s="15">
        <f t="shared" si="54"/>
        <v>0</v>
      </c>
      <c r="O250" s="20"/>
      <c r="P250" s="12">
        <f t="shared" si="55"/>
        <v>0</v>
      </c>
      <c r="Q250" s="20"/>
    </row>
    <row r="251" spans="1:20" x14ac:dyDescent="0.3">
      <c r="A251" s="1">
        <f t="shared" si="58"/>
        <v>11</v>
      </c>
      <c r="B251" s="2">
        <v>16658418</v>
      </c>
      <c r="C251" s="3" t="s">
        <v>235</v>
      </c>
      <c r="D251" s="12" t="s">
        <v>40</v>
      </c>
      <c r="E251" s="12" t="s">
        <v>40</v>
      </c>
      <c r="F251" s="12" t="s">
        <v>40</v>
      </c>
      <c r="G251" s="12"/>
      <c r="H251" s="12"/>
      <c r="I251" s="12"/>
      <c r="J251" s="12"/>
      <c r="K251" s="12"/>
      <c r="L251" s="12">
        <v>118057.72</v>
      </c>
      <c r="M251" s="15">
        <f t="shared" si="56"/>
        <v>4</v>
      </c>
      <c r="N251" s="15">
        <f t="shared" si="54"/>
        <v>0</v>
      </c>
      <c r="O251" s="12">
        <v>118057.72</v>
      </c>
      <c r="P251" s="12">
        <f t="shared" si="55"/>
        <v>9838.1433333333334</v>
      </c>
      <c r="Q251" s="12">
        <f t="shared" si="57"/>
        <v>9838.1433333333334</v>
      </c>
    </row>
    <row r="252" spans="1:20" x14ac:dyDescent="0.3">
      <c r="A252" s="1">
        <f t="shared" si="58"/>
        <v>12</v>
      </c>
      <c r="B252" s="2">
        <v>10219991</v>
      </c>
      <c r="C252" s="3" t="s">
        <v>235</v>
      </c>
      <c r="D252" s="12" t="s">
        <v>40</v>
      </c>
      <c r="E252" s="12" t="s">
        <v>40</v>
      </c>
      <c r="F252" s="12"/>
      <c r="G252" s="12"/>
      <c r="H252" s="12" t="s">
        <v>40</v>
      </c>
      <c r="I252" s="12"/>
      <c r="J252" s="12"/>
      <c r="K252" s="12"/>
      <c r="L252" s="12">
        <v>0</v>
      </c>
      <c r="M252" s="15">
        <f t="shared" si="56"/>
        <v>5</v>
      </c>
      <c r="N252" s="15">
        <f t="shared" si="54"/>
        <v>0</v>
      </c>
      <c r="O252" s="20"/>
      <c r="P252" s="12">
        <f t="shared" si="55"/>
        <v>0</v>
      </c>
      <c r="Q252" s="20"/>
    </row>
    <row r="253" spans="1:20" x14ac:dyDescent="0.3">
      <c r="A253" s="1">
        <f t="shared" si="58"/>
        <v>13</v>
      </c>
      <c r="B253" s="2" t="s">
        <v>239</v>
      </c>
      <c r="C253" s="3" t="s">
        <v>235</v>
      </c>
      <c r="D253" s="50" t="s">
        <v>40</v>
      </c>
      <c r="E253" s="50" t="s">
        <v>40</v>
      </c>
      <c r="F253" s="50"/>
      <c r="G253" s="50"/>
      <c r="H253" s="50" t="s">
        <v>40</v>
      </c>
      <c r="I253" s="50" t="s">
        <v>40</v>
      </c>
      <c r="J253" s="50" t="s">
        <v>897</v>
      </c>
      <c r="K253" s="12"/>
      <c r="L253" s="12">
        <v>0</v>
      </c>
      <c r="M253" s="15">
        <f t="shared" si="56"/>
        <v>15</v>
      </c>
      <c r="N253" s="15">
        <f t="shared" si="54"/>
        <v>0</v>
      </c>
      <c r="O253" s="20"/>
      <c r="P253" s="12">
        <f t="shared" si="55"/>
        <v>0</v>
      </c>
      <c r="Q253" s="20"/>
    </row>
    <row r="254" spans="1:20" x14ac:dyDescent="0.3">
      <c r="A254" s="1">
        <f t="shared" si="58"/>
        <v>14</v>
      </c>
      <c r="B254" s="2" t="s">
        <v>240</v>
      </c>
      <c r="C254" s="3" t="s">
        <v>235</v>
      </c>
      <c r="D254" s="12" t="s">
        <v>40</v>
      </c>
      <c r="E254" s="12" t="s">
        <v>40</v>
      </c>
      <c r="F254" s="12" t="s">
        <v>40</v>
      </c>
      <c r="G254" s="12"/>
      <c r="H254" s="12"/>
      <c r="I254" s="12"/>
      <c r="J254" s="12"/>
      <c r="K254" s="12"/>
      <c r="L254" s="12">
        <v>15600</v>
      </c>
      <c r="M254" s="15">
        <f t="shared" si="56"/>
        <v>4</v>
      </c>
      <c r="N254" s="15">
        <f t="shared" si="54"/>
        <v>0</v>
      </c>
      <c r="O254" s="12">
        <v>15600</v>
      </c>
      <c r="P254" s="12">
        <f t="shared" si="55"/>
        <v>1300</v>
      </c>
      <c r="Q254" s="12">
        <f t="shared" si="57"/>
        <v>1300</v>
      </c>
    </row>
    <row r="255" spans="1:20" x14ac:dyDescent="0.3">
      <c r="A255" s="1">
        <f t="shared" si="58"/>
        <v>15</v>
      </c>
      <c r="B255" s="4" t="s">
        <v>255</v>
      </c>
      <c r="C255" s="3" t="s">
        <v>235</v>
      </c>
      <c r="D255" s="50" t="s">
        <v>40</v>
      </c>
      <c r="E255" s="50" t="s">
        <v>40</v>
      </c>
      <c r="F255" s="50"/>
      <c r="G255" s="50"/>
      <c r="H255" s="50" t="s">
        <v>40</v>
      </c>
      <c r="I255" s="50" t="s">
        <v>40</v>
      </c>
      <c r="J255" s="50" t="s">
        <v>897</v>
      </c>
      <c r="K255" s="12"/>
      <c r="L255" s="12">
        <v>0</v>
      </c>
      <c r="M255" s="15">
        <f t="shared" si="56"/>
        <v>15</v>
      </c>
      <c r="N255" s="15">
        <f t="shared" si="54"/>
        <v>0</v>
      </c>
      <c r="O255" s="20"/>
      <c r="P255" s="12">
        <f t="shared" si="55"/>
        <v>0</v>
      </c>
      <c r="Q255" s="20"/>
    </row>
    <row r="256" spans="1:20" x14ac:dyDescent="0.3">
      <c r="A256" s="1">
        <f t="shared" si="58"/>
        <v>16</v>
      </c>
      <c r="B256" s="2" t="s">
        <v>241</v>
      </c>
      <c r="C256" s="3" t="s">
        <v>235</v>
      </c>
      <c r="D256" s="12" t="s">
        <v>40</v>
      </c>
      <c r="E256" s="12" t="s">
        <v>40</v>
      </c>
      <c r="F256" s="12"/>
      <c r="G256" s="12" t="s">
        <v>40</v>
      </c>
      <c r="H256" s="12"/>
      <c r="I256" s="12"/>
      <c r="J256" s="12"/>
      <c r="K256" s="12"/>
      <c r="L256" s="12">
        <v>0</v>
      </c>
      <c r="M256" s="15">
        <f t="shared" si="56"/>
        <v>4</v>
      </c>
      <c r="N256" s="15">
        <f t="shared" si="54"/>
        <v>0</v>
      </c>
      <c r="O256" s="20"/>
      <c r="P256" s="12">
        <f t="shared" si="55"/>
        <v>0</v>
      </c>
      <c r="Q256" s="20"/>
    </row>
    <row r="257" spans="1:17" x14ac:dyDescent="0.3">
      <c r="A257" s="1">
        <f t="shared" si="58"/>
        <v>17</v>
      </c>
      <c r="B257" s="4" t="s">
        <v>256</v>
      </c>
      <c r="C257" s="3" t="s">
        <v>235</v>
      </c>
      <c r="D257" s="50" t="s">
        <v>40</v>
      </c>
      <c r="E257" s="50" t="s">
        <v>40</v>
      </c>
      <c r="F257" s="50"/>
      <c r="G257" s="50"/>
      <c r="H257" s="50" t="s">
        <v>40</v>
      </c>
      <c r="I257" s="50" t="s">
        <v>40</v>
      </c>
      <c r="J257" s="50" t="s">
        <v>896</v>
      </c>
      <c r="K257" s="12"/>
      <c r="L257" s="12">
        <v>0</v>
      </c>
      <c r="M257" s="15">
        <f t="shared" si="56"/>
        <v>20</v>
      </c>
      <c r="N257" s="15">
        <f t="shared" si="54"/>
        <v>0</v>
      </c>
      <c r="O257" s="20"/>
      <c r="P257" s="12">
        <f t="shared" si="55"/>
        <v>0</v>
      </c>
      <c r="Q257" s="20"/>
    </row>
    <row r="258" spans="1:17" x14ac:dyDescent="0.3">
      <c r="A258" s="1">
        <f t="shared" si="58"/>
        <v>18</v>
      </c>
      <c r="B258" s="2">
        <v>25459604</v>
      </c>
      <c r="C258" s="3" t="s">
        <v>235</v>
      </c>
      <c r="D258" s="12" t="s">
        <v>40</v>
      </c>
      <c r="E258" s="12" t="s">
        <v>40</v>
      </c>
      <c r="F258" s="12"/>
      <c r="G258" s="12"/>
      <c r="H258" s="12"/>
      <c r="I258" s="12"/>
      <c r="J258" s="12"/>
      <c r="K258" s="12"/>
      <c r="L258" s="12">
        <v>10000</v>
      </c>
      <c r="M258" s="15">
        <f t="shared" si="56"/>
        <v>2</v>
      </c>
      <c r="N258" s="15">
        <f t="shared" si="54"/>
        <v>0</v>
      </c>
      <c r="O258" s="12">
        <v>10000</v>
      </c>
      <c r="P258" s="12">
        <f t="shared" si="55"/>
        <v>833.33333333333337</v>
      </c>
      <c r="Q258" s="12">
        <f t="shared" si="57"/>
        <v>833.33333333333337</v>
      </c>
    </row>
    <row r="259" spans="1:17" x14ac:dyDescent="0.3">
      <c r="A259" s="1">
        <f t="shared" si="58"/>
        <v>19</v>
      </c>
      <c r="B259" s="2" t="s">
        <v>242</v>
      </c>
      <c r="C259" s="3" t="s">
        <v>235</v>
      </c>
      <c r="D259" s="12" t="s">
        <v>40</v>
      </c>
      <c r="E259" s="12" t="s">
        <v>40</v>
      </c>
      <c r="F259" s="12"/>
      <c r="G259" s="12"/>
      <c r="H259" s="12" t="s">
        <v>40</v>
      </c>
      <c r="I259" s="12"/>
      <c r="J259" s="12"/>
      <c r="K259" s="12"/>
      <c r="L259" s="12">
        <v>107100</v>
      </c>
      <c r="M259" s="15">
        <f t="shared" si="56"/>
        <v>5</v>
      </c>
      <c r="N259" s="15">
        <f t="shared" si="54"/>
        <v>0</v>
      </c>
      <c r="O259" s="12">
        <v>107100</v>
      </c>
      <c r="P259" s="12">
        <f t="shared" si="55"/>
        <v>8925</v>
      </c>
      <c r="Q259" s="12">
        <f t="shared" si="57"/>
        <v>8925</v>
      </c>
    </row>
    <row r="260" spans="1:17" x14ac:dyDescent="0.3">
      <c r="A260" s="1">
        <f t="shared" si="58"/>
        <v>20</v>
      </c>
      <c r="B260" s="2" t="s">
        <v>243</v>
      </c>
      <c r="C260" s="3" t="s">
        <v>235</v>
      </c>
      <c r="D260" s="12" t="s">
        <v>40</v>
      </c>
      <c r="E260" s="12" t="s">
        <v>40</v>
      </c>
      <c r="F260" s="12" t="s">
        <v>40</v>
      </c>
      <c r="G260" s="12"/>
      <c r="H260" s="12"/>
      <c r="I260" s="12"/>
      <c r="J260" s="12"/>
      <c r="K260" s="12"/>
      <c r="L260" s="12">
        <v>0</v>
      </c>
      <c r="M260" s="15">
        <f t="shared" si="56"/>
        <v>4</v>
      </c>
      <c r="N260" s="15">
        <f t="shared" si="54"/>
        <v>0</v>
      </c>
      <c r="O260" s="20"/>
      <c r="P260" s="12">
        <f t="shared" si="55"/>
        <v>0</v>
      </c>
      <c r="Q260" s="20"/>
    </row>
    <row r="261" spans="1:17" x14ac:dyDescent="0.3">
      <c r="A261" s="1">
        <f t="shared" si="58"/>
        <v>21</v>
      </c>
      <c r="B261" s="2" t="s">
        <v>244</v>
      </c>
      <c r="C261" s="3" t="s">
        <v>235</v>
      </c>
      <c r="D261" s="12" t="s">
        <v>40</v>
      </c>
      <c r="E261" s="12" t="s">
        <v>40</v>
      </c>
      <c r="F261" s="12"/>
      <c r="G261" s="12"/>
      <c r="H261" s="12" t="s">
        <v>40</v>
      </c>
      <c r="I261" s="12" t="s">
        <v>40</v>
      </c>
      <c r="J261" s="12"/>
      <c r="K261" s="12"/>
      <c r="L261" s="12">
        <v>45000</v>
      </c>
      <c r="M261" s="15">
        <f t="shared" si="56"/>
        <v>10</v>
      </c>
      <c r="N261" s="15">
        <f t="shared" si="54"/>
        <v>0</v>
      </c>
      <c r="O261" s="12">
        <v>45000</v>
      </c>
      <c r="P261" s="12">
        <f t="shared" si="55"/>
        <v>3750</v>
      </c>
      <c r="Q261" s="12">
        <f t="shared" si="57"/>
        <v>3750</v>
      </c>
    </row>
    <row r="262" spans="1:17" x14ac:dyDescent="0.3">
      <c r="A262" s="1">
        <f t="shared" si="58"/>
        <v>22</v>
      </c>
      <c r="B262" s="2">
        <v>20020362</v>
      </c>
      <c r="C262" s="3" t="s">
        <v>235</v>
      </c>
      <c r="D262" s="12" t="s">
        <v>40</v>
      </c>
      <c r="E262" s="12" t="s">
        <v>40</v>
      </c>
      <c r="F262" s="12"/>
      <c r="G262" s="12"/>
      <c r="H262" s="12"/>
      <c r="I262" s="12"/>
      <c r="J262" s="12"/>
      <c r="K262" s="12"/>
      <c r="L262" s="12">
        <v>0</v>
      </c>
      <c r="M262" s="15">
        <f t="shared" si="56"/>
        <v>2</v>
      </c>
      <c r="N262" s="15">
        <f t="shared" si="54"/>
        <v>0</v>
      </c>
      <c r="O262" s="20"/>
      <c r="P262" s="12">
        <f t="shared" si="55"/>
        <v>0</v>
      </c>
      <c r="Q262" s="20"/>
    </row>
    <row r="263" spans="1:17" x14ac:dyDescent="0.3">
      <c r="A263" s="1">
        <f t="shared" si="58"/>
        <v>23</v>
      </c>
      <c r="B263" s="2">
        <v>16802775</v>
      </c>
      <c r="C263" s="3" t="s">
        <v>235</v>
      </c>
      <c r="D263" s="12" t="s">
        <v>40</v>
      </c>
      <c r="E263" s="12" t="s">
        <v>40</v>
      </c>
      <c r="F263" s="12"/>
      <c r="G263" s="12"/>
      <c r="H263" s="12" t="s">
        <v>40</v>
      </c>
      <c r="I263" s="12" t="s">
        <v>40</v>
      </c>
      <c r="J263" s="12"/>
      <c r="K263" s="12"/>
      <c r="L263" s="12">
        <v>68388</v>
      </c>
      <c r="M263" s="15">
        <f t="shared" si="56"/>
        <v>10</v>
      </c>
      <c r="N263" s="15">
        <f t="shared" si="54"/>
        <v>0</v>
      </c>
      <c r="O263" s="12">
        <v>68388</v>
      </c>
      <c r="P263" s="12">
        <f t="shared" si="55"/>
        <v>5699</v>
      </c>
      <c r="Q263" s="12">
        <f t="shared" si="57"/>
        <v>5699</v>
      </c>
    </row>
    <row r="264" spans="1:17" x14ac:dyDescent="0.3">
      <c r="A264" s="1">
        <f t="shared" si="58"/>
        <v>24</v>
      </c>
      <c r="B264" s="2">
        <v>25478461</v>
      </c>
      <c r="C264" s="3" t="s">
        <v>235</v>
      </c>
      <c r="D264" s="12" t="s">
        <v>40</v>
      </c>
      <c r="E264" s="12" t="s">
        <v>40</v>
      </c>
      <c r="F264" s="12"/>
      <c r="G264" s="12"/>
      <c r="H264" s="12"/>
      <c r="I264" s="12"/>
      <c r="J264" s="12"/>
      <c r="K264" s="12"/>
      <c r="L264" s="12">
        <v>0</v>
      </c>
      <c r="M264" s="15">
        <f t="shared" si="56"/>
        <v>2</v>
      </c>
      <c r="N264" s="15">
        <f t="shared" si="54"/>
        <v>0</v>
      </c>
      <c r="O264" s="20"/>
      <c r="P264" s="12">
        <f t="shared" si="55"/>
        <v>0</v>
      </c>
      <c r="Q264" s="20"/>
    </row>
    <row r="265" spans="1:17" x14ac:dyDescent="0.3">
      <c r="A265" s="1">
        <f t="shared" si="58"/>
        <v>25</v>
      </c>
      <c r="B265" s="2">
        <v>43749600</v>
      </c>
      <c r="C265" s="3" t="s">
        <v>235</v>
      </c>
      <c r="D265" s="12" t="s">
        <v>40</v>
      </c>
      <c r="E265" s="12" t="s">
        <v>40</v>
      </c>
      <c r="F265" s="12"/>
      <c r="G265" s="12"/>
      <c r="H265" s="12" t="s">
        <v>40</v>
      </c>
      <c r="I265" s="12"/>
      <c r="J265" s="12"/>
      <c r="K265" s="12"/>
      <c r="L265" s="12">
        <v>112920</v>
      </c>
      <c r="M265" s="15">
        <f t="shared" si="56"/>
        <v>5</v>
      </c>
      <c r="N265" s="15">
        <f t="shared" si="54"/>
        <v>0</v>
      </c>
      <c r="O265" s="12">
        <v>112920</v>
      </c>
      <c r="P265" s="12">
        <f t="shared" si="55"/>
        <v>9410</v>
      </c>
      <c r="Q265" s="12">
        <f t="shared" si="57"/>
        <v>9410</v>
      </c>
    </row>
    <row r="266" spans="1:17" x14ac:dyDescent="0.3">
      <c r="A266" s="1">
        <f t="shared" si="58"/>
        <v>26</v>
      </c>
      <c r="B266" s="2" t="s">
        <v>245</v>
      </c>
      <c r="C266" s="3" t="s">
        <v>235</v>
      </c>
      <c r="D266" s="12" t="s">
        <v>40</v>
      </c>
      <c r="E266" s="12" t="s">
        <v>40</v>
      </c>
      <c r="F266" s="12"/>
      <c r="G266" s="12"/>
      <c r="H266" s="12"/>
      <c r="I266" s="12"/>
      <c r="J266" s="12"/>
      <c r="K266" s="12"/>
      <c r="L266" s="12">
        <v>0</v>
      </c>
      <c r="M266" s="15">
        <f t="shared" si="56"/>
        <v>2</v>
      </c>
      <c r="N266" s="15">
        <f t="shared" si="54"/>
        <v>0</v>
      </c>
      <c r="O266" s="20"/>
      <c r="P266" s="12">
        <f t="shared" si="55"/>
        <v>0</v>
      </c>
      <c r="Q266" s="20"/>
    </row>
    <row r="267" spans="1:17" x14ac:dyDescent="0.3">
      <c r="A267" s="1">
        <f t="shared" si="58"/>
        <v>27</v>
      </c>
      <c r="B267" s="2" t="s">
        <v>246</v>
      </c>
      <c r="C267" s="3" t="s">
        <v>235</v>
      </c>
      <c r="D267" s="12" t="s">
        <v>40</v>
      </c>
      <c r="E267" s="12" t="s">
        <v>40</v>
      </c>
      <c r="F267" s="12"/>
      <c r="G267" s="12"/>
      <c r="H267" s="12" t="s">
        <v>40</v>
      </c>
      <c r="I267" s="12" t="s">
        <v>40</v>
      </c>
      <c r="J267" s="12"/>
      <c r="K267" s="12"/>
      <c r="L267" s="12">
        <v>24444.81</v>
      </c>
      <c r="M267" s="15">
        <f t="shared" si="56"/>
        <v>10</v>
      </c>
      <c r="N267" s="15">
        <f t="shared" si="54"/>
        <v>0</v>
      </c>
      <c r="O267" s="12">
        <v>24444.81</v>
      </c>
      <c r="P267" s="12">
        <f t="shared" si="55"/>
        <v>2037.0675000000001</v>
      </c>
      <c r="Q267" s="12">
        <f t="shared" si="57"/>
        <v>2037.0675000000001</v>
      </c>
    </row>
    <row r="268" spans="1:17" x14ac:dyDescent="0.3">
      <c r="A268" s="1">
        <f t="shared" si="58"/>
        <v>28</v>
      </c>
      <c r="B268" s="2" t="s">
        <v>247</v>
      </c>
      <c r="C268" s="3" t="s">
        <v>235</v>
      </c>
      <c r="D268" s="12" t="s">
        <v>40</v>
      </c>
      <c r="E268" s="12" t="s">
        <v>40</v>
      </c>
      <c r="F268" s="12" t="s">
        <v>40</v>
      </c>
      <c r="G268" s="12"/>
      <c r="H268" s="12"/>
      <c r="I268" s="12"/>
      <c r="J268" s="12"/>
      <c r="K268" s="12"/>
      <c r="L268" s="12">
        <v>0</v>
      </c>
      <c r="M268" s="15">
        <f t="shared" si="56"/>
        <v>4</v>
      </c>
      <c r="N268" s="15">
        <f t="shared" si="54"/>
        <v>0</v>
      </c>
      <c r="O268" s="20"/>
      <c r="P268" s="12">
        <f t="shared" si="55"/>
        <v>0</v>
      </c>
      <c r="Q268" s="20"/>
    </row>
    <row r="269" spans="1:17" x14ac:dyDescent="0.3">
      <c r="A269" s="1">
        <f t="shared" si="58"/>
        <v>29</v>
      </c>
      <c r="B269" s="2" t="s">
        <v>248</v>
      </c>
      <c r="C269" s="3" t="s">
        <v>235</v>
      </c>
      <c r="D269" s="12" t="s">
        <v>40</v>
      </c>
      <c r="E269" s="12" t="s">
        <v>40</v>
      </c>
      <c r="F269" s="12"/>
      <c r="G269" s="12"/>
      <c r="H269" s="12" t="s">
        <v>40</v>
      </c>
      <c r="I269" s="12" t="s">
        <v>40</v>
      </c>
      <c r="J269" s="12"/>
      <c r="K269" s="12"/>
      <c r="L269" s="12">
        <v>96000</v>
      </c>
      <c r="M269" s="15">
        <f t="shared" si="56"/>
        <v>10</v>
      </c>
      <c r="N269" s="15">
        <f t="shared" si="54"/>
        <v>0</v>
      </c>
      <c r="O269" s="12">
        <v>96000</v>
      </c>
      <c r="P269" s="12">
        <f t="shared" si="55"/>
        <v>8000</v>
      </c>
      <c r="Q269" s="12">
        <f t="shared" si="57"/>
        <v>8000</v>
      </c>
    </row>
    <row r="270" spans="1:17" x14ac:dyDescent="0.3">
      <c r="A270" s="1">
        <f t="shared" si="58"/>
        <v>30</v>
      </c>
      <c r="B270" s="2">
        <v>10136751</v>
      </c>
      <c r="C270" s="3" t="s">
        <v>235</v>
      </c>
      <c r="D270" s="12" t="s">
        <v>40</v>
      </c>
      <c r="E270" s="12" t="s">
        <v>40</v>
      </c>
      <c r="F270" s="12"/>
      <c r="G270" s="12"/>
      <c r="H270" s="12" t="s">
        <v>40</v>
      </c>
      <c r="I270" s="12"/>
      <c r="J270" s="12"/>
      <c r="K270" s="12"/>
      <c r="L270" s="12">
        <v>88800</v>
      </c>
      <c r="M270" s="15">
        <f t="shared" si="56"/>
        <v>5</v>
      </c>
      <c r="N270" s="15">
        <f t="shared" si="54"/>
        <v>0</v>
      </c>
      <c r="O270" s="12">
        <v>88800</v>
      </c>
      <c r="P270" s="12">
        <f t="shared" si="55"/>
        <v>7400</v>
      </c>
      <c r="Q270" s="12">
        <f t="shared" si="57"/>
        <v>7400</v>
      </c>
    </row>
    <row r="271" spans="1:17" x14ac:dyDescent="0.3">
      <c r="D271"/>
      <c r="E271"/>
      <c r="F271"/>
      <c r="G271"/>
      <c r="H271"/>
      <c r="I271"/>
      <c r="J271"/>
      <c r="L271" s="14">
        <f>+AVERAGE(L241:L270)</f>
        <v>46436.712333333337</v>
      </c>
      <c r="M271" s="14">
        <f>+AVERAGE(M241:M270)</f>
        <v>7.4333333333333336</v>
      </c>
      <c r="N271" s="14">
        <f>+SUM(N241:N270)</f>
        <v>0</v>
      </c>
      <c r="O271" s="14">
        <f>+AVERAGE(O241:O270)</f>
        <v>74351.62466666667</v>
      </c>
      <c r="P271" s="14">
        <f>+AVERAGE(P241:P270)</f>
        <v>3869.7260277777777</v>
      </c>
      <c r="Q271" s="14">
        <f>+AVERAGE(Q241:Q270)</f>
        <v>6195.9687222222228</v>
      </c>
    </row>
    <row r="272" spans="1:17" x14ac:dyDescent="0.3">
      <c r="D272"/>
      <c r="E272"/>
      <c r="F272"/>
      <c r="G272"/>
      <c r="H272"/>
      <c r="I272"/>
      <c r="J272"/>
      <c r="L272" s="14">
        <f>+STDEV(L241:L270)</f>
        <v>65437.321954675521</v>
      </c>
      <c r="M272" s="14">
        <f>+STDEV(M241:M270)</f>
        <v>4.9527653949557573</v>
      </c>
      <c r="N272" s="17"/>
      <c r="O272" s="14">
        <f>+STDEV(O241:O270)</f>
        <v>45324.224298511828</v>
      </c>
      <c r="P272" s="14">
        <f>+STDEV(P241:P270)</f>
        <v>5453.1101628896276</v>
      </c>
      <c r="Q272" s="14">
        <f>+STDEV(Q241:Q270)</f>
        <v>3777.0186915426539</v>
      </c>
    </row>
    <row r="273" spans="1:17" x14ac:dyDescent="0.3">
      <c r="D273"/>
      <c r="E273"/>
      <c r="F273"/>
      <c r="G273"/>
      <c r="H273"/>
      <c r="I273" s="15"/>
      <c r="J273" s="15"/>
      <c r="K273" s="11" t="s">
        <v>75</v>
      </c>
      <c r="L273" s="14">
        <f>+COUNTIF(L241:L270,0)</f>
        <v>14</v>
      </c>
      <c r="M273" s="14">
        <f>+COUNT(M241:M270)</f>
        <v>30</v>
      </c>
      <c r="P273" s="14">
        <f>+COUNTIF(P241:P270,0)</f>
        <v>14</v>
      </c>
    </row>
    <row r="274" spans="1:17" x14ac:dyDescent="0.3">
      <c r="D274"/>
      <c r="E274"/>
      <c r="F274"/>
      <c r="G274"/>
      <c r="H274"/>
      <c r="I274"/>
      <c r="J274"/>
    </row>
    <row r="275" spans="1:17" x14ac:dyDescent="0.3">
      <c r="A275" s="1">
        <v>1</v>
      </c>
      <c r="B275" s="2" t="s">
        <v>259</v>
      </c>
      <c r="C275" s="3" t="s">
        <v>250</v>
      </c>
      <c r="D275" s="12" t="s">
        <v>40</v>
      </c>
      <c r="E275" s="12" t="s">
        <v>40</v>
      </c>
      <c r="F275" s="12"/>
      <c r="G275" s="12"/>
      <c r="H275" s="12" t="s">
        <v>40</v>
      </c>
      <c r="I275" s="12" t="s">
        <v>40</v>
      </c>
      <c r="J275" s="12"/>
      <c r="K275" s="12"/>
      <c r="L275" s="12">
        <v>203321</v>
      </c>
      <c r="M275" s="15">
        <f>+IF(D275="X",1,0)+IF(E275="X",1,0)+IF(F275="X",2,0)+IF(G275="X",2,0)+IF(H275="X",3,IF(H275="Y",1.5,0))+IF(I275="X",5,IF(I275="Y",2.5,0))+IF(J275="X1",10,IF(J275="X2",5,IF(J275="X3",3,0)))</f>
        <v>10</v>
      </c>
      <c r="N275" s="15">
        <f>+IF(K275="X",1,0)</f>
        <v>0</v>
      </c>
      <c r="O275" s="12">
        <v>25200</v>
      </c>
      <c r="P275" s="12">
        <f t="shared" ref="P275:P304" si="59">+L275/12</f>
        <v>16943.416666666668</v>
      </c>
      <c r="Q275" s="12">
        <f t="shared" ref="Q275:Q304" si="60">+O275/12</f>
        <v>2100</v>
      </c>
    </row>
    <row r="276" spans="1:17" x14ac:dyDescent="0.3">
      <c r="A276" s="1">
        <f>+A275+1</f>
        <v>2</v>
      </c>
      <c r="B276" s="2" t="s">
        <v>260</v>
      </c>
      <c r="C276" s="3" t="s">
        <v>250</v>
      </c>
      <c r="D276" s="12" t="s">
        <v>40</v>
      </c>
      <c r="E276" s="12" t="s">
        <v>40</v>
      </c>
      <c r="F276" s="12"/>
      <c r="G276" s="12"/>
      <c r="H276" s="12"/>
      <c r="I276" s="12"/>
      <c r="J276" s="12"/>
      <c r="K276" s="12"/>
      <c r="L276" s="12">
        <v>25200</v>
      </c>
      <c r="M276" s="15">
        <f t="shared" ref="M276:M304" si="61">+IF(D276="X",1,0)+IF(E276="X",1,0)+IF(F276="X",2,0)+IF(G276="X",2,0)+IF(H276="X",3,IF(H276="Y",1.5,0))+IF(I276="X",5,IF(I276="Y",2.5,0))+IF(J276="X1",10,IF(J276="X2",5,IF(J276="X3",3,0)))</f>
        <v>2</v>
      </c>
      <c r="N276" s="15">
        <f>+IF(K276="X",1,0)</f>
        <v>0</v>
      </c>
      <c r="O276" s="12">
        <v>25200</v>
      </c>
      <c r="P276" s="12">
        <f t="shared" si="59"/>
        <v>2100</v>
      </c>
      <c r="Q276" s="12">
        <f t="shared" si="60"/>
        <v>2100</v>
      </c>
    </row>
    <row r="277" spans="1:17" x14ac:dyDescent="0.3">
      <c r="A277" s="1">
        <f t="shared" ref="A277:A304" si="62">+A276+1</f>
        <v>3</v>
      </c>
      <c r="B277" s="2" t="s">
        <v>261</v>
      </c>
      <c r="C277" s="3" t="s">
        <v>250</v>
      </c>
      <c r="D277" s="12" t="s">
        <v>40</v>
      </c>
      <c r="E277" s="12" t="s">
        <v>40</v>
      </c>
      <c r="F277" s="12"/>
      <c r="G277" s="12"/>
      <c r="H277" s="12" t="s">
        <v>40</v>
      </c>
      <c r="I277" s="12"/>
      <c r="J277" s="12"/>
      <c r="K277" s="12"/>
      <c r="L277" s="12">
        <v>567951</v>
      </c>
      <c r="M277" s="15">
        <f t="shared" si="61"/>
        <v>5</v>
      </c>
      <c r="N277" s="15">
        <f>+IF(K277="X",1,0)</f>
        <v>0</v>
      </c>
      <c r="O277" s="20"/>
      <c r="P277" s="12">
        <f t="shared" si="59"/>
        <v>47329.25</v>
      </c>
      <c r="Q277" s="20"/>
    </row>
    <row r="278" spans="1:17" x14ac:dyDescent="0.3">
      <c r="A278" s="1">
        <f t="shared" si="62"/>
        <v>4</v>
      </c>
      <c r="B278" s="19"/>
      <c r="C278" s="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6"/>
      <c r="O278" s="13"/>
      <c r="P278" s="13"/>
      <c r="Q278" s="13"/>
    </row>
    <row r="279" spans="1:17" x14ac:dyDescent="0.3">
      <c r="A279" s="1">
        <f t="shared" si="62"/>
        <v>5</v>
      </c>
      <c r="B279" s="18" t="s">
        <v>262</v>
      </c>
      <c r="C279" s="3" t="s">
        <v>250</v>
      </c>
      <c r="D279" s="12" t="s">
        <v>40</v>
      </c>
      <c r="E279" s="12" t="s">
        <v>40</v>
      </c>
      <c r="F279" s="12"/>
      <c r="G279" s="12"/>
      <c r="H279" s="12" t="s">
        <v>40</v>
      </c>
      <c r="I279" s="12"/>
      <c r="J279" s="12"/>
      <c r="K279" s="12"/>
      <c r="L279" s="12">
        <v>102984</v>
      </c>
      <c r="M279" s="15">
        <f t="shared" si="61"/>
        <v>5</v>
      </c>
      <c r="N279" s="15">
        <f t="shared" ref="N279:N293" si="63">+IF(K279="X",1,0)</f>
        <v>0</v>
      </c>
      <c r="O279" s="12">
        <v>102984</v>
      </c>
      <c r="P279" s="12">
        <f t="shared" ref="P279" si="64">+L279/12</f>
        <v>8582</v>
      </c>
      <c r="Q279" s="12">
        <f t="shared" ref="Q279" si="65">+O279/12</f>
        <v>8582</v>
      </c>
    </row>
    <row r="280" spans="1:17" x14ac:dyDescent="0.3">
      <c r="A280" s="1">
        <f t="shared" si="62"/>
        <v>6</v>
      </c>
      <c r="B280" s="2" t="s">
        <v>263</v>
      </c>
      <c r="C280" s="3" t="s">
        <v>250</v>
      </c>
      <c r="D280" s="12" t="s">
        <v>40</v>
      </c>
      <c r="E280" s="12" t="s">
        <v>40</v>
      </c>
      <c r="F280" s="12"/>
      <c r="G280" s="12"/>
      <c r="H280" s="12" t="s">
        <v>40</v>
      </c>
      <c r="I280" s="12"/>
      <c r="J280" s="12"/>
      <c r="K280" s="12"/>
      <c r="L280" s="12">
        <v>57842</v>
      </c>
      <c r="M280" s="15">
        <f t="shared" si="61"/>
        <v>5</v>
      </c>
      <c r="N280" s="15">
        <f t="shared" si="63"/>
        <v>0</v>
      </c>
      <c r="O280" s="12">
        <v>57842</v>
      </c>
      <c r="P280" s="12">
        <f t="shared" si="59"/>
        <v>4820.166666666667</v>
      </c>
      <c r="Q280" s="12">
        <f t="shared" si="60"/>
        <v>4820.166666666667</v>
      </c>
    </row>
    <row r="281" spans="1:17" x14ac:dyDescent="0.3">
      <c r="A281" s="1">
        <f t="shared" si="62"/>
        <v>7</v>
      </c>
      <c r="B281" s="2" t="s">
        <v>264</v>
      </c>
      <c r="C281" s="3" t="s">
        <v>250</v>
      </c>
      <c r="D281" s="12" t="s">
        <v>40</v>
      </c>
      <c r="E281" s="12" t="s">
        <v>40</v>
      </c>
      <c r="F281" s="12"/>
      <c r="G281" s="12"/>
      <c r="H281" s="12" t="s">
        <v>40</v>
      </c>
      <c r="I281" s="12"/>
      <c r="J281" s="12"/>
      <c r="K281" s="12"/>
      <c r="L281" s="12">
        <v>90000</v>
      </c>
      <c r="M281" s="15">
        <f t="shared" si="61"/>
        <v>5</v>
      </c>
      <c r="N281" s="15">
        <f t="shared" si="63"/>
        <v>0</v>
      </c>
      <c r="O281" s="12">
        <v>90000</v>
      </c>
      <c r="P281" s="12">
        <f t="shared" si="59"/>
        <v>7500</v>
      </c>
      <c r="Q281" s="12">
        <f t="shared" si="60"/>
        <v>7500</v>
      </c>
    </row>
    <row r="282" spans="1:17" x14ac:dyDescent="0.3">
      <c r="A282" s="1">
        <f t="shared" si="62"/>
        <v>8</v>
      </c>
      <c r="B282" s="18" t="s">
        <v>265</v>
      </c>
      <c r="C282" s="3" t="s">
        <v>250</v>
      </c>
      <c r="D282" s="12" t="s">
        <v>40</v>
      </c>
      <c r="E282" s="12" t="s">
        <v>40</v>
      </c>
      <c r="F282" s="12"/>
      <c r="G282" s="12"/>
      <c r="H282" s="12" t="s">
        <v>40</v>
      </c>
      <c r="I282" s="12" t="s">
        <v>40</v>
      </c>
      <c r="J282" s="12"/>
      <c r="K282" s="12"/>
      <c r="L282" s="12">
        <v>360000</v>
      </c>
      <c r="M282" s="15">
        <f t="shared" si="61"/>
        <v>10</v>
      </c>
      <c r="N282" s="15">
        <f t="shared" si="63"/>
        <v>0</v>
      </c>
      <c r="O282" s="12">
        <v>360000</v>
      </c>
      <c r="P282" s="12">
        <f t="shared" si="59"/>
        <v>30000</v>
      </c>
      <c r="Q282" s="12">
        <f t="shared" si="60"/>
        <v>30000</v>
      </c>
    </row>
    <row r="283" spans="1:17" x14ac:dyDescent="0.3">
      <c r="A283" s="1">
        <f t="shared" si="62"/>
        <v>9</v>
      </c>
      <c r="B283" s="2" t="s">
        <v>266</v>
      </c>
      <c r="C283" s="3" t="s">
        <v>250</v>
      </c>
      <c r="D283" s="12" t="s">
        <v>40</v>
      </c>
      <c r="E283" s="12" t="s">
        <v>40</v>
      </c>
      <c r="F283" s="12"/>
      <c r="G283" s="12"/>
      <c r="H283" s="12" t="s">
        <v>40</v>
      </c>
      <c r="I283" s="12"/>
      <c r="J283" s="12"/>
      <c r="K283" s="12"/>
      <c r="L283" s="12">
        <v>23210</v>
      </c>
      <c r="M283" s="15">
        <f t="shared" si="61"/>
        <v>5</v>
      </c>
      <c r="N283" s="15">
        <f t="shared" si="63"/>
        <v>0</v>
      </c>
      <c r="O283" s="12">
        <v>23210</v>
      </c>
      <c r="P283" s="12">
        <f t="shared" si="59"/>
        <v>1934.1666666666667</v>
      </c>
      <c r="Q283" s="12">
        <f t="shared" si="60"/>
        <v>1934.1666666666667</v>
      </c>
    </row>
    <row r="284" spans="1:17" x14ac:dyDescent="0.3">
      <c r="A284" s="1">
        <f t="shared" si="62"/>
        <v>10</v>
      </c>
      <c r="B284" s="2" t="s">
        <v>267</v>
      </c>
      <c r="C284" s="3" t="s">
        <v>250</v>
      </c>
      <c r="D284" s="12" t="s">
        <v>40</v>
      </c>
      <c r="E284" s="12" t="s">
        <v>40</v>
      </c>
      <c r="F284" s="12"/>
      <c r="G284" s="12"/>
      <c r="H284" s="12" t="s">
        <v>40</v>
      </c>
      <c r="I284" s="12"/>
      <c r="J284" s="12"/>
      <c r="K284" s="12"/>
      <c r="L284" s="12">
        <v>12000</v>
      </c>
      <c r="M284" s="15">
        <f t="shared" si="61"/>
        <v>5</v>
      </c>
      <c r="N284" s="15">
        <f t="shared" si="63"/>
        <v>0</v>
      </c>
      <c r="O284" s="12">
        <v>12000</v>
      </c>
      <c r="P284" s="12">
        <f t="shared" si="59"/>
        <v>1000</v>
      </c>
      <c r="Q284" s="12">
        <f t="shared" si="60"/>
        <v>1000</v>
      </c>
    </row>
    <row r="285" spans="1:17" x14ac:dyDescent="0.3">
      <c r="A285" s="1">
        <f t="shared" si="62"/>
        <v>11</v>
      </c>
      <c r="B285" s="2" t="s">
        <v>268</v>
      </c>
      <c r="C285" s="3" t="s">
        <v>250</v>
      </c>
      <c r="D285" s="12" t="s">
        <v>40</v>
      </c>
      <c r="E285" s="12" t="s">
        <v>40</v>
      </c>
      <c r="F285" s="12"/>
      <c r="G285" s="12"/>
      <c r="H285" s="12" t="s">
        <v>40</v>
      </c>
      <c r="I285" s="12"/>
      <c r="J285" s="12"/>
      <c r="K285" s="12"/>
      <c r="L285" s="12">
        <v>211100</v>
      </c>
      <c r="M285" s="15">
        <f t="shared" si="61"/>
        <v>5</v>
      </c>
      <c r="N285" s="15">
        <f t="shared" si="63"/>
        <v>0</v>
      </c>
      <c r="O285" s="12">
        <v>211100</v>
      </c>
      <c r="P285" s="12">
        <f t="shared" si="59"/>
        <v>17591.666666666668</v>
      </c>
      <c r="Q285" s="12">
        <f t="shared" si="60"/>
        <v>17591.666666666668</v>
      </c>
    </row>
    <row r="286" spans="1:17" x14ac:dyDescent="0.3">
      <c r="A286" s="1">
        <f t="shared" si="62"/>
        <v>12</v>
      </c>
      <c r="B286" s="18" t="s">
        <v>269</v>
      </c>
      <c r="C286" s="3" t="s">
        <v>250</v>
      </c>
      <c r="D286" s="12" t="s">
        <v>40</v>
      </c>
      <c r="E286" s="12" t="s">
        <v>40</v>
      </c>
      <c r="F286" s="12"/>
      <c r="G286" s="12"/>
      <c r="H286" s="12" t="s">
        <v>40</v>
      </c>
      <c r="I286" s="12"/>
      <c r="J286" s="12"/>
      <c r="K286" s="12"/>
      <c r="L286" s="12">
        <v>25150</v>
      </c>
      <c r="M286" s="15">
        <f t="shared" si="61"/>
        <v>5</v>
      </c>
      <c r="N286" s="15">
        <f t="shared" si="63"/>
        <v>0</v>
      </c>
      <c r="O286" s="12">
        <v>25150</v>
      </c>
      <c r="P286" s="12">
        <f t="shared" si="59"/>
        <v>2095.8333333333335</v>
      </c>
      <c r="Q286" s="12">
        <f t="shared" si="60"/>
        <v>2095.8333333333335</v>
      </c>
    </row>
    <row r="287" spans="1:17" x14ac:dyDescent="0.3">
      <c r="A287" s="1">
        <f t="shared" si="62"/>
        <v>13</v>
      </c>
      <c r="B287" s="2" t="s">
        <v>270</v>
      </c>
      <c r="C287" s="3" t="s">
        <v>250</v>
      </c>
      <c r="D287" s="12" t="s">
        <v>40</v>
      </c>
      <c r="E287" s="12" t="s">
        <v>40</v>
      </c>
      <c r="F287" s="12"/>
      <c r="G287" s="12"/>
      <c r="H287" s="12"/>
      <c r="I287" s="12"/>
      <c r="J287" s="12"/>
      <c r="K287" s="12"/>
      <c r="L287" s="12">
        <v>0</v>
      </c>
      <c r="M287" s="15">
        <f t="shared" si="61"/>
        <v>2</v>
      </c>
      <c r="N287" s="15">
        <f t="shared" si="63"/>
        <v>0</v>
      </c>
      <c r="O287" s="20"/>
      <c r="P287" s="12">
        <f t="shared" si="59"/>
        <v>0</v>
      </c>
      <c r="Q287" s="20"/>
    </row>
    <row r="288" spans="1:17" x14ac:dyDescent="0.3">
      <c r="A288" s="1">
        <f t="shared" si="62"/>
        <v>14</v>
      </c>
      <c r="B288" s="2" t="s">
        <v>271</v>
      </c>
      <c r="C288" s="3" t="s">
        <v>250</v>
      </c>
      <c r="D288" s="12" t="s">
        <v>40</v>
      </c>
      <c r="E288" s="12" t="s">
        <v>40</v>
      </c>
      <c r="F288" s="12"/>
      <c r="G288" s="12"/>
      <c r="H288" s="12" t="s">
        <v>40</v>
      </c>
      <c r="I288" s="12"/>
      <c r="J288" s="12"/>
      <c r="K288" s="12"/>
      <c r="L288" s="12">
        <v>50000</v>
      </c>
      <c r="M288" s="15">
        <f t="shared" si="61"/>
        <v>5</v>
      </c>
      <c r="N288" s="15">
        <f t="shared" si="63"/>
        <v>0</v>
      </c>
      <c r="O288" s="12">
        <v>50000</v>
      </c>
      <c r="P288" s="12">
        <f t="shared" si="59"/>
        <v>4166.666666666667</v>
      </c>
      <c r="Q288" s="12">
        <f t="shared" si="60"/>
        <v>4166.666666666667</v>
      </c>
    </row>
    <row r="289" spans="1:21" x14ac:dyDescent="0.3">
      <c r="A289" s="1">
        <f t="shared" si="62"/>
        <v>15</v>
      </c>
      <c r="B289" s="2" t="s">
        <v>272</v>
      </c>
      <c r="C289" s="3" t="s">
        <v>250</v>
      </c>
      <c r="D289" s="12" t="s">
        <v>40</v>
      </c>
      <c r="E289" s="12" t="s">
        <v>40</v>
      </c>
      <c r="F289" s="12"/>
      <c r="G289" s="12"/>
      <c r="H289" s="12" t="s">
        <v>40</v>
      </c>
      <c r="I289" s="12"/>
      <c r="J289" s="12"/>
      <c r="K289" s="12"/>
      <c r="L289" s="12">
        <v>40000</v>
      </c>
      <c r="M289" s="15">
        <f t="shared" si="61"/>
        <v>5</v>
      </c>
      <c r="N289" s="15">
        <f t="shared" si="63"/>
        <v>0</v>
      </c>
      <c r="O289" s="12">
        <v>40000</v>
      </c>
      <c r="P289" s="12">
        <f t="shared" si="59"/>
        <v>3333.3333333333335</v>
      </c>
      <c r="Q289" s="12">
        <f t="shared" si="60"/>
        <v>3333.3333333333335</v>
      </c>
    </row>
    <row r="290" spans="1:21" x14ac:dyDescent="0.3">
      <c r="A290" s="1">
        <f t="shared" si="62"/>
        <v>16</v>
      </c>
      <c r="B290" s="2" t="s">
        <v>273</v>
      </c>
      <c r="C290" s="3" t="s">
        <v>250</v>
      </c>
      <c r="D290" s="12" t="s">
        <v>40</v>
      </c>
      <c r="E290" s="12" t="s">
        <v>40</v>
      </c>
      <c r="F290" s="12" t="s">
        <v>40</v>
      </c>
      <c r="G290" s="12"/>
      <c r="H290" s="12" t="s">
        <v>40</v>
      </c>
      <c r="I290" s="12"/>
      <c r="J290" s="12"/>
      <c r="K290" s="12"/>
      <c r="L290" s="12">
        <v>38808</v>
      </c>
      <c r="M290" s="15">
        <f t="shared" si="61"/>
        <v>7</v>
      </c>
      <c r="N290" s="15">
        <f t="shared" si="63"/>
        <v>0</v>
      </c>
      <c r="O290" s="12">
        <v>38808</v>
      </c>
      <c r="P290" s="12">
        <f t="shared" si="59"/>
        <v>3234</v>
      </c>
      <c r="Q290" s="12">
        <f t="shared" si="60"/>
        <v>3234</v>
      </c>
    </row>
    <row r="291" spans="1:21" x14ac:dyDescent="0.3">
      <c r="A291" s="1">
        <f t="shared" si="62"/>
        <v>17</v>
      </c>
      <c r="B291" s="2" t="s">
        <v>274</v>
      </c>
      <c r="C291" s="3" t="s">
        <v>250</v>
      </c>
      <c r="D291" s="12" t="s">
        <v>40</v>
      </c>
      <c r="E291" s="12" t="s">
        <v>40</v>
      </c>
      <c r="F291" s="12" t="s">
        <v>40</v>
      </c>
      <c r="G291" s="12"/>
      <c r="H291" s="12" t="s">
        <v>40</v>
      </c>
      <c r="I291" s="12" t="s">
        <v>40</v>
      </c>
      <c r="J291" s="12"/>
      <c r="K291" s="12" t="s">
        <v>40</v>
      </c>
      <c r="L291" s="12">
        <v>111668</v>
      </c>
      <c r="M291" s="15">
        <f t="shared" si="61"/>
        <v>12</v>
      </c>
      <c r="N291" s="15">
        <f t="shared" si="63"/>
        <v>1</v>
      </c>
      <c r="O291" s="12">
        <v>111668</v>
      </c>
      <c r="P291" s="12">
        <f t="shared" si="59"/>
        <v>9305.6666666666661</v>
      </c>
      <c r="Q291" s="12">
        <f t="shared" si="60"/>
        <v>9305.6666666666661</v>
      </c>
    </row>
    <row r="292" spans="1:21" x14ac:dyDescent="0.3">
      <c r="A292" s="1">
        <f t="shared" si="62"/>
        <v>18</v>
      </c>
      <c r="B292" s="2" t="s">
        <v>275</v>
      </c>
      <c r="C292" s="3" t="s">
        <v>250</v>
      </c>
      <c r="D292" s="12" t="s">
        <v>40</v>
      </c>
      <c r="E292" s="12" t="s">
        <v>40</v>
      </c>
      <c r="F292" s="12"/>
      <c r="G292" s="12"/>
      <c r="H292" s="12" t="s">
        <v>40</v>
      </c>
      <c r="I292" s="12" t="s">
        <v>40</v>
      </c>
      <c r="J292" s="12"/>
      <c r="K292" s="12"/>
      <c r="L292" s="12">
        <v>75600</v>
      </c>
      <c r="M292" s="15">
        <f t="shared" si="61"/>
        <v>10</v>
      </c>
      <c r="N292" s="15">
        <f t="shared" si="63"/>
        <v>0</v>
      </c>
      <c r="O292" s="12">
        <v>75600</v>
      </c>
      <c r="P292" s="12">
        <f t="shared" si="59"/>
        <v>6300</v>
      </c>
      <c r="Q292" s="12">
        <f t="shared" si="60"/>
        <v>6300</v>
      </c>
    </row>
    <row r="293" spans="1:21" x14ac:dyDescent="0.3">
      <c r="A293" s="1">
        <f t="shared" si="62"/>
        <v>19</v>
      </c>
      <c r="B293" s="2" t="s">
        <v>276</v>
      </c>
      <c r="C293" s="3" t="s">
        <v>250</v>
      </c>
      <c r="D293" s="12" t="s">
        <v>40</v>
      </c>
      <c r="E293" s="12" t="s">
        <v>40</v>
      </c>
      <c r="F293" s="12" t="s">
        <v>40</v>
      </c>
      <c r="G293" s="12"/>
      <c r="H293" s="12" t="s">
        <v>40</v>
      </c>
      <c r="I293" s="12"/>
      <c r="J293" s="12"/>
      <c r="K293" s="12" t="s">
        <v>40</v>
      </c>
      <c r="L293" s="12">
        <v>24000</v>
      </c>
      <c r="M293" s="15">
        <f t="shared" si="61"/>
        <v>7</v>
      </c>
      <c r="N293" s="15">
        <f t="shared" si="63"/>
        <v>1</v>
      </c>
      <c r="O293" s="12">
        <v>24000</v>
      </c>
      <c r="P293" s="12">
        <f t="shared" si="59"/>
        <v>2000</v>
      </c>
      <c r="Q293" s="12">
        <f t="shared" si="60"/>
        <v>2000</v>
      </c>
    </row>
    <row r="294" spans="1:21" x14ac:dyDescent="0.3">
      <c r="A294" s="1">
        <f t="shared" si="62"/>
        <v>20</v>
      </c>
      <c r="B294" s="19"/>
      <c r="C294" s="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6"/>
      <c r="O294" s="13"/>
      <c r="P294" s="13"/>
      <c r="Q294" s="13"/>
    </row>
    <row r="295" spans="1:21" x14ac:dyDescent="0.3">
      <c r="A295" s="1">
        <f t="shared" si="62"/>
        <v>21</v>
      </c>
      <c r="B295" s="2" t="s">
        <v>277</v>
      </c>
      <c r="C295" s="3" t="s">
        <v>250</v>
      </c>
      <c r="D295" s="12" t="s">
        <v>40</v>
      </c>
      <c r="E295" s="12" t="s">
        <v>40</v>
      </c>
      <c r="F295" s="12" t="s">
        <v>40</v>
      </c>
      <c r="G295" s="12"/>
      <c r="H295" s="12"/>
      <c r="I295" s="12"/>
      <c r="J295" s="12"/>
      <c r="K295" s="12"/>
      <c r="L295" s="12">
        <v>39826.120000000003</v>
      </c>
      <c r="M295" s="15">
        <f t="shared" si="61"/>
        <v>4</v>
      </c>
      <c r="N295" s="15">
        <f t="shared" ref="N295:N304" si="66">+IF(K295="X",1,0)</f>
        <v>0</v>
      </c>
      <c r="O295" s="12">
        <v>39826.120000000003</v>
      </c>
      <c r="P295" s="12">
        <f t="shared" si="59"/>
        <v>3318.8433333333337</v>
      </c>
      <c r="Q295" s="12">
        <f t="shared" si="60"/>
        <v>3318.8433333333337</v>
      </c>
    </row>
    <row r="296" spans="1:21" x14ac:dyDescent="0.3">
      <c r="A296" s="1">
        <f t="shared" si="62"/>
        <v>22</v>
      </c>
      <c r="B296" s="2" t="s">
        <v>278</v>
      </c>
      <c r="C296" s="3" t="s">
        <v>250</v>
      </c>
      <c r="D296" s="12" t="s">
        <v>40</v>
      </c>
      <c r="E296" s="12" t="s">
        <v>40</v>
      </c>
      <c r="F296" s="12"/>
      <c r="G296" s="12"/>
      <c r="H296" s="12" t="s">
        <v>40</v>
      </c>
      <c r="I296" s="12"/>
      <c r="J296" s="12"/>
      <c r="K296" s="12"/>
      <c r="L296" s="12">
        <v>5300</v>
      </c>
      <c r="M296" s="15">
        <f t="shared" si="61"/>
        <v>5</v>
      </c>
      <c r="N296" s="15">
        <f t="shared" si="66"/>
        <v>0</v>
      </c>
      <c r="O296" s="12">
        <v>5300</v>
      </c>
      <c r="P296" s="12">
        <f t="shared" si="59"/>
        <v>441.66666666666669</v>
      </c>
      <c r="Q296" s="12">
        <f t="shared" si="60"/>
        <v>441.66666666666669</v>
      </c>
    </row>
    <row r="297" spans="1:21" x14ac:dyDescent="0.3">
      <c r="A297" s="1">
        <f t="shared" si="62"/>
        <v>23</v>
      </c>
      <c r="B297" s="2" t="s">
        <v>279</v>
      </c>
      <c r="C297" s="3" t="s">
        <v>250</v>
      </c>
      <c r="D297" s="12" t="s">
        <v>40</v>
      </c>
      <c r="E297" s="12" t="s">
        <v>40</v>
      </c>
      <c r="F297" s="12"/>
      <c r="G297" s="12"/>
      <c r="H297" s="12" t="s">
        <v>40</v>
      </c>
      <c r="I297" s="12" t="s">
        <v>40</v>
      </c>
      <c r="J297" s="12"/>
      <c r="K297" s="12"/>
      <c r="L297" s="12">
        <v>250380</v>
      </c>
      <c r="M297" s="15">
        <f t="shared" si="61"/>
        <v>10</v>
      </c>
      <c r="N297" s="15">
        <f t="shared" si="66"/>
        <v>0</v>
      </c>
      <c r="O297" s="12">
        <v>250380</v>
      </c>
      <c r="P297" s="12">
        <f t="shared" si="59"/>
        <v>20865</v>
      </c>
      <c r="Q297" s="12">
        <f t="shared" si="60"/>
        <v>20865</v>
      </c>
      <c r="U297" t="s">
        <v>280</v>
      </c>
    </row>
    <row r="298" spans="1:21" x14ac:dyDescent="0.3">
      <c r="A298" s="1">
        <f t="shared" si="62"/>
        <v>24</v>
      </c>
      <c r="B298" s="2" t="s">
        <v>281</v>
      </c>
      <c r="C298" s="3" t="s">
        <v>250</v>
      </c>
      <c r="D298" s="12" t="s">
        <v>40</v>
      </c>
      <c r="E298" s="12" t="s">
        <v>40</v>
      </c>
      <c r="F298" s="12"/>
      <c r="G298" s="12"/>
      <c r="H298" s="12" t="s">
        <v>40</v>
      </c>
      <c r="I298" s="12"/>
      <c r="J298" s="12"/>
      <c r="K298" s="12"/>
      <c r="L298" s="12">
        <v>132000</v>
      </c>
      <c r="M298" s="15">
        <f t="shared" si="61"/>
        <v>5</v>
      </c>
      <c r="N298" s="15">
        <f t="shared" si="66"/>
        <v>0</v>
      </c>
      <c r="O298" s="12">
        <v>132000</v>
      </c>
      <c r="P298" s="12">
        <f t="shared" si="59"/>
        <v>11000</v>
      </c>
      <c r="Q298" s="12">
        <f t="shared" si="60"/>
        <v>11000</v>
      </c>
    </row>
    <row r="299" spans="1:21" x14ac:dyDescent="0.3">
      <c r="A299" s="1">
        <f t="shared" si="62"/>
        <v>25</v>
      </c>
      <c r="B299" s="2" t="s">
        <v>282</v>
      </c>
      <c r="C299" s="3" t="s">
        <v>250</v>
      </c>
      <c r="D299" s="12" t="s">
        <v>40</v>
      </c>
      <c r="E299" s="12" t="s">
        <v>40</v>
      </c>
      <c r="F299" s="12"/>
      <c r="G299" s="12"/>
      <c r="H299" s="12" t="s">
        <v>40</v>
      </c>
      <c r="I299" s="12"/>
      <c r="J299" s="12"/>
      <c r="K299" s="12"/>
      <c r="L299" s="12">
        <v>15000</v>
      </c>
      <c r="M299" s="15">
        <f t="shared" si="61"/>
        <v>5</v>
      </c>
      <c r="N299" s="15">
        <f t="shared" si="66"/>
        <v>0</v>
      </c>
      <c r="O299" s="12">
        <v>15000</v>
      </c>
      <c r="P299" s="12">
        <f t="shared" si="59"/>
        <v>1250</v>
      </c>
      <c r="Q299" s="12">
        <f t="shared" si="60"/>
        <v>1250</v>
      </c>
    </row>
    <row r="300" spans="1:21" x14ac:dyDescent="0.3">
      <c r="A300" s="1">
        <f t="shared" si="62"/>
        <v>26</v>
      </c>
      <c r="B300" s="18" t="s">
        <v>283</v>
      </c>
      <c r="C300" s="3" t="s">
        <v>250</v>
      </c>
      <c r="D300" s="12" t="s">
        <v>40</v>
      </c>
      <c r="E300" s="12" t="s">
        <v>40</v>
      </c>
      <c r="F300" s="12" t="s">
        <v>40</v>
      </c>
      <c r="G300" s="12"/>
      <c r="H300" s="12"/>
      <c r="I300" s="12"/>
      <c r="J300" s="12"/>
      <c r="K300" s="12"/>
      <c r="L300" s="12">
        <v>46874</v>
      </c>
      <c r="M300" s="15">
        <f t="shared" si="61"/>
        <v>4</v>
      </c>
      <c r="N300" s="15">
        <f t="shared" si="66"/>
        <v>0</v>
      </c>
      <c r="O300" s="12">
        <v>46874</v>
      </c>
      <c r="P300" s="12">
        <f t="shared" si="59"/>
        <v>3906.1666666666665</v>
      </c>
      <c r="Q300" s="12">
        <f t="shared" si="60"/>
        <v>3906.1666666666665</v>
      </c>
    </row>
    <row r="301" spans="1:21" x14ac:dyDescent="0.3">
      <c r="A301" s="1">
        <f t="shared" si="62"/>
        <v>27</v>
      </c>
      <c r="B301" s="18" t="s">
        <v>284</v>
      </c>
      <c r="C301" s="3" t="s">
        <v>250</v>
      </c>
      <c r="D301" s="12" t="s">
        <v>40</v>
      </c>
      <c r="E301" s="12" t="s">
        <v>40</v>
      </c>
      <c r="F301" s="12"/>
      <c r="G301" s="12"/>
      <c r="H301" s="12" t="s">
        <v>40</v>
      </c>
      <c r="I301" s="12" t="s">
        <v>40</v>
      </c>
      <c r="J301" s="12"/>
      <c r="K301" s="12"/>
      <c r="L301" s="12">
        <v>3500</v>
      </c>
      <c r="M301" s="15">
        <f t="shared" si="61"/>
        <v>10</v>
      </c>
      <c r="N301" s="15">
        <f t="shared" si="66"/>
        <v>0</v>
      </c>
      <c r="O301" s="12">
        <v>3500</v>
      </c>
      <c r="P301" s="12">
        <f t="shared" si="59"/>
        <v>291.66666666666669</v>
      </c>
      <c r="Q301" s="12">
        <f t="shared" si="60"/>
        <v>291.66666666666669</v>
      </c>
    </row>
    <row r="302" spans="1:21" x14ac:dyDescent="0.3">
      <c r="A302" s="1">
        <f t="shared" si="62"/>
        <v>28</v>
      </c>
      <c r="B302" s="2" t="s">
        <v>285</v>
      </c>
      <c r="C302" s="3" t="s">
        <v>250</v>
      </c>
      <c r="D302" s="12" t="s">
        <v>40</v>
      </c>
      <c r="E302" s="12" t="s">
        <v>40</v>
      </c>
      <c r="F302" s="12"/>
      <c r="G302" s="12"/>
      <c r="H302" s="12" t="s">
        <v>40</v>
      </c>
      <c r="I302" s="12"/>
      <c r="J302" s="12"/>
      <c r="K302" s="12"/>
      <c r="L302" s="12">
        <v>63560.800000000003</v>
      </c>
      <c r="M302" s="15">
        <f t="shared" si="61"/>
        <v>5</v>
      </c>
      <c r="N302" s="15">
        <f t="shared" si="66"/>
        <v>0</v>
      </c>
      <c r="O302" s="12">
        <v>63560.800000000003</v>
      </c>
      <c r="P302" s="12">
        <f t="shared" si="59"/>
        <v>5296.7333333333336</v>
      </c>
      <c r="Q302" s="12">
        <f t="shared" si="60"/>
        <v>5296.7333333333336</v>
      </c>
    </row>
    <row r="303" spans="1:21" x14ac:dyDescent="0.3">
      <c r="A303" s="1">
        <f t="shared" si="62"/>
        <v>29</v>
      </c>
      <c r="B303" s="2" t="s">
        <v>286</v>
      </c>
      <c r="C303" s="3" t="s">
        <v>250</v>
      </c>
      <c r="D303" s="12" t="s">
        <v>40</v>
      </c>
      <c r="E303" s="12" t="s">
        <v>40</v>
      </c>
      <c r="F303" s="12"/>
      <c r="G303" s="12"/>
      <c r="H303" s="12" t="s">
        <v>40</v>
      </c>
      <c r="I303" s="12"/>
      <c r="J303" s="12"/>
      <c r="K303" s="12"/>
      <c r="L303" s="12">
        <v>42000</v>
      </c>
      <c r="M303" s="15">
        <f t="shared" si="61"/>
        <v>5</v>
      </c>
      <c r="N303" s="15">
        <f t="shared" si="66"/>
        <v>0</v>
      </c>
      <c r="O303" s="12">
        <v>42000</v>
      </c>
      <c r="P303" s="12">
        <f t="shared" si="59"/>
        <v>3500</v>
      </c>
      <c r="Q303" s="12">
        <f t="shared" si="60"/>
        <v>3500</v>
      </c>
    </row>
    <row r="304" spans="1:21" x14ac:dyDescent="0.3">
      <c r="A304" s="1">
        <f t="shared" si="62"/>
        <v>30</v>
      </c>
      <c r="B304" s="2" t="s">
        <v>287</v>
      </c>
      <c r="C304" s="3" t="s">
        <v>250</v>
      </c>
      <c r="D304" s="50" t="s">
        <v>40</v>
      </c>
      <c r="E304" s="50" t="s">
        <v>40</v>
      </c>
      <c r="F304" s="50"/>
      <c r="G304" s="50"/>
      <c r="H304" s="50" t="s">
        <v>40</v>
      </c>
      <c r="I304" s="50" t="s">
        <v>40</v>
      </c>
      <c r="J304" s="50" t="s">
        <v>897</v>
      </c>
      <c r="K304" s="12"/>
      <c r="L304" s="12">
        <v>290519</v>
      </c>
      <c r="M304" s="15">
        <f t="shared" si="61"/>
        <v>15</v>
      </c>
      <c r="N304" s="15">
        <f t="shared" si="66"/>
        <v>0</v>
      </c>
      <c r="O304" s="12">
        <v>290519</v>
      </c>
      <c r="P304" s="12">
        <f t="shared" si="59"/>
        <v>24209.916666666668</v>
      </c>
      <c r="Q304" s="12">
        <f t="shared" si="60"/>
        <v>24209.916666666668</v>
      </c>
    </row>
    <row r="305" spans="1:20" x14ac:dyDescent="0.3">
      <c r="D305"/>
      <c r="E305"/>
      <c r="F305"/>
      <c r="G305"/>
      <c r="H305"/>
      <c r="I305"/>
      <c r="J305"/>
      <c r="L305" s="14">
        <f>+AVERAGE(L275:L304)</f>
        <v>103849.78285714285</v>
      </c>
      <c r="M305" s="14">
        <f>+AVERAGE(M275:M304)</f>
        <v>6.3571428571428568</v>
      </c>
      <c r="N305" s="14">
        <f>+SUM(N275:N304)</f>
        <v>2</v>
      </c>
      <c r="O305" s="14">
        <f>+AVERAGE(O275:O304)</f>
        <v>83143.150769230764</v>
      </c>
      <c r="P305" s="14">
        <f>+AVERAGE(P275:P304)</f>
        <v>8654.14857142857</v>
      </c>
      <c r="Q305" s="14">
        <f>+AVERAGE(Q275:Q304)</f>
        <v>6928.5958974358964</v>
      </c>
    </row>
    <row r="306" spans="1:20" x14ac:dyDescent="0.3">
      <c r="D306"/>
      <c r="E306"/>
      <c r="F306"/>
      <c r="G306"/>
      <c r="H306"/>
      <c r="I306"/>
      <c r="J306"/>
      <c r="L306" s="14">
        <f>+STDEV(L275:L304)</f>
        <v>130360.48053912519</v>
      </c>
      <c r="M306" s="14">
        <f>+STDEV(M275:M304)</f>
        <v>3.0455101830616611</v>
      </c>
      <c r="N306" s="17"/>
      <c r="O306" s="14">
        <f>+STDEV(O275:O304)</f>
        <v>93338.684404738306</v>
      </c>
      <c r="P306" s="14">
        <f>+STDEV(P275:P304)</f>
        <v>10863.373378260436</v>
      </c>
      <c r="Q306" s="14">
        <f>+STDEV(Q275:Q304)</f>
        <v>7778.2237003948585</v>
      </c>
    </row>
    <row r="307" spans="1:20" x14ac:dyDescent="0.3">
      <c r="D307"/>
      <c r="E307"/>
      <c r="F307"/>
      <c r="G307"/>
      <c r="H307"/>
      <c r="I307" s="15"/>
      <c r="J307" s="15"/>
      <c r="K307" s="11" t="s">
        <v>75</v>
      </c>
      <c r="L307" s="14">
        <f>+COUNTIF(L275:L304,0)</f>
        <v>1</v>
      </c>
      <c r="M307" s="14">
        <f>+COUNT(M275:M304)</f>
        <v>28</v>
      </c>
      <c r="P307" s="14">
        <f>+COUNTIF(P275:P304,0)</f>
        <v>1</v>
      </c>
    </row>
    <row r="308" spans="1:20" x14ac:dyDescent="0.3">
      <c r="D308"/>
      <c r="E308"/>
      <c r="F308"/>
      <c r="G308"/>
      <c r="H308"/>
      <c r="I308"/>
      <c r="J308"/>
    </row>
    <row r="309" spans="1:20" x14ac:dyDescent="0.3">
      <c r="A309" s="1">
        <v>1</v>
      </c>
      <c r="B309" s="2" t="s">
        <v>291</v>
      </c>
      <c r="C309" s="3" t="s">
        <v>187</v>
      </c>
      <c r="D309" s="12" t="s">
        <v>40</v>
      </c>
      <c r="E309" s="12" t="s">
        <v>40</v>
      </c>
      <c r="F309" s="12"/>
      <c r="G309" s="12"/>
      <c r="H309" s="12" t="s">
        <v>40</v>
      </c>
      <c r="I309" s="12" t="s">
        <v>40</v>
      </c>
      <c r="J309" s="12"/>
      <c r="K309" s="12"/>
      <c r="L309" s="12">
        <v>120000</v>
      </c>
      <c r="M309" s="15">
        <f>+IF(D309="X",1,0)+IF(E309="X",1,0)+IF(F309="X",2,0)+IF(G309="X",2,0)+IF(H309="X",3,IF(H309="Y",1.5,0))+IF(I309="X",5,IF(I309="Y",2.5,0))+IF(J309="X1",10,IF(J309="X2",5,IF(J309="X3",3,0)))</f>
        <v>10</v>
      </c>
      <c r="N309" s="15">
        <f>+IF(K309="X",1,0)</f>
        <v>0</v>
      </c>
      <c r="O309" s="12">
        <v>15000</v>
      </c>
      <c r="P309" s="12">
        <f t="shared" ref="P309:P338" si="67">+L309/12</f>
        <v>10000</v>
      </c>
      <c r="Q309" s="12">
        <f t="shared" ref="Q309:Q338" si="68">+O309/12</f>
        <v>1250</v>
      </c>
    </row>
    <row r="310" spans="1:20" x14ac:dyDescent="0.3">
      <c r="A310" s="1">
        <f>+A309+1</f>
        <v>2</v>
      </c>
      <c r="B310" s="2" t="s">
        <v>295</v>
      </c>
      <c r="C310" s="3" t="s">
        <v>187</v>
      </c>
      <c r="D310" s="12" t="s">
        <v>40</v>
      </c>
      <c r="E310" s="12" t="s">
        <v>40</v>
      </c>
      <c r="F310" s="12" t="s">
        <v>40</v>
      </c>
      <c r="G310" s="12"/>
      <c r="H310" s="12"/>
      <c r="I310" s="12"/>
      <c r="J310" s="12"/>
      <c r="K310" s="12"/>
      <c r="L310" s="12">
        <v>15000</v>
      </c>
      <c r="M310" s="15">
        <f t="shared" ref="M310:M338" si="69">+IF(D310="X",1,0)+IF(E310="X",1,0)+IF(F310="X",2,0)+IF(G310="X",2,0)+IF(H310="X",3,IF(H310="Y",1.5,0))+IF(I310="X",5,IF(I310="Y",2.5,0))+IF(J310="X1",10,IF(J310="X2",5,IF(J310="X3",3,0)))</f>
        <v>4</v>
      </c>
      <c r="N310" s="15">
        <f t="shared" ref="N310:N338" si="70">+IF(K310="X",1,0)</f>
        <v>0</v>
      </c>
      <c r="O310" s="12">
        <v>15000</v>
      </c>
      <c r="P310" s="12">
        <f t="shared" si="67"/>
        <v>1250</v>
      </c>
      <c r="Q310" s="12">
        <f t="shared" si="68"/>
        <v>1250</v>
      </c>
    </row>
    <row r="311" spans="1:20" x14ac:dyDescent="0.3">
      <c r="A311" s="1">
        <f t="shared" ref="A311:A338" si="71">+A310+1</f>
        <v>3</v>
      </c>
      <c r="B311" s="28" t="s">
        <v>296</v>
      </c>
      <c r="C311" s="3" t="s">
        <v>187</v>
      </c>
      <c r="D311" s="12" t="s">
        <v>40</v>
      </c>
      <c r="E311" s="12" t="s">
        <v>40</v>
      </c>
      <c r="F311" s="12"/>
      <c r="G311" s="12"/>
      <c r="H311" s="12" t="s">
        <v>40</v>
      </c>
      <c r="I311" s="12"/>
      <c r="J311" s="12"/>
      <c r="K311" s="12" t="s">
        <v>40</v>
      </c>
      <c r="L311" s="12">
        <v>411650</v>
      </c>
      <c r="M311" s="15">
        <f t="shared" si="69"/>
        <v>5</v>
      </c>
      <c r="N311" s="15">
        <f t="shared" si="70"/>
        <v>1</v>
      </c>
      <c r="O311" s="20"/>
      <c r="P311" s="12">
        <f t="shared" si="67"/>
        <v>34304.166666666664</v>
      </c>
      <c r="Q311" s="20"/>
      <c r="R311" t="s">
        <v>184</v>
      </c>
      <c r="S311" t="s">
        <v>297</v>
      </c>
      <c r="T311" t="s">
        <v>151</v>
      </c>
    </row>
    <row r="312" spans="1:20" x14ac:dyDescent="0.3">
      <c r="A312" s="1">
        <f t="shared" si="71"/>
        <v>4</v>
      </c>
      <c r="B312" s="4" t="s">
        <v>298</v>
      </c>
      <c r="C312" s="3" t="s">
        <v>187</v>
      </c>
      <c r="D312" s="12" t="s">
        <v>40</v>
      </c>
      <c r="E312" s="12" t="s">
        <v>40</v>
      </c>
      <c r="F312" s="12" t="s">
        <v>40</v>
      </c>
      <c r="G312" s="12"/>
      <c r="H312" s="12"/>
      <c r="I312" s="12"/>
      <c r="J312" s="12"/>
      <c r="K312" s="12"/>
      <c r="L312" s="12">
        <v>15600</v>
      </c>
      <c r="M312" s="15">
        <f t="shared" si="69"/>
        <v>4</v>
      </c>
      <c r="N312" s="15">
        <f t="shared" si="70"/>
        <v>0</v>
      </c>
      <c r="O312" s="12">
        <v>15600</v>
      </c>
      <c r="P312" s="12">
        <f t="shared" si="67"/>
        <v>1300</v>
      </c>
      <c r="Q312" s="12">
        <f t="shared" si="68"/>
        <v>1300</v>
      </c>
    </row>
    <row r="313" spans="1:20" x14ac:dyDescent="0.3">
      <c r="A313" s="1">
        <f t="shared" si="71"/>
        <v>5</v>
      </c>
      <c r="B313" s="4" t="s">
        <v>299</v>
      </c>
      <c r="C313" s="3" t="s">
        <v>187</v>
      </c>
      <c r="D313" s="12" t="s">
        <v>40</v>
      </c>
      <c r="E313" s="12" t="s">
        <v>40</v>
      </c>
      <c r="F313" s="12"/>
      <c r="G313" s="12"/>
      <c r="H313" s="12" t="s">
        <v>40</v>
      </c>
      <c r="I313" s="12" t="s">
        <v>40</v>
      </c>
      <c r="J313" s="12"/>
      <c r="K313" s="12"/>
      <c r="L313" s="12">
        <v>32000</v>
      </c>
      <c r="M313" s="15">
        <f t="shared" si="69"/>
        <v>10</v>
      </c>
      <c r="N313" s="15">
        <f t="shared" si="70"/>
        <v>0</v>
      </c>
      <c r="O313" s="12">
        <v>32000</v>
      </c>
      <c r="P313" s="12">
        <f t="shared" si="67"/>
        <v>2666.6666666666665</v>
      </c>
      <c r="Q313" s="12">
        <f t="shared" si="68"/>
        <v>2666.6666666666665</v>
      </c>
    </row>
    <row r="314" spans="1:20" x14ac:dyDescent="0.3">
      <c r="A314" s="1">
        <f t="shared" si="71"/>
        <v>6</v>
      </c>
      <c r="B314" s="2" t="s">
        <v>300</v>
      </c>
      <c r="C314" s="3" t="s">
        <v>187</v>
      </c>
      <c r="D314" s="12" t="s">
        <v>40</v>
      </c>
      <c r="E314" s="12" t="s">
        <v>40</v>
      </c>
      <c r="F314" s="12"/>
      <c r="G314" s="12"/>
      <c r="H314" s="12"/>
      <c r="I314" s="12"/>
      <c r="J314" s="12"/>
      <c r="K314" s="12"/>
      <c r="L314" s="12">
        <v>14000</v>
      </c>
      <c r="M314" s="15">
        <f t="shared" si="69"/>
        <v>2</v>
      </c>
      <c r="N314" s="15">
        <f t="shared" si="70"/>
        <v>0</v>
      </c>
      <c r="O314" s="12">
        <v>14000</v>
      </c>
      <c r="P314" s="12">
        <f t="shared" si="67"/>
        <v>1166.6666666666667</v>
      </c>
      <c r="Q314" s="12">
        <f t="shared" si="68"/>
        <v>1166.6666666666667</v>
      </c>
    </row>
    <row r="315" spans="1:20" x14ac:dyDescent="0.3">
      <c r="A315" s="1">
        <f t="shared" si="71"/>
        <v>7</v>
      </c>
      <c r="B315" s="8"/>
      <c r="C315" s="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6"/>
      <c r="O315" s="13"/>
      <c r="P315" s="13"/>
      <c r="Q315" s="13"/>
    </row>
    <row r="316" spans="1:20" x14ac:dyDescent="0.3">
      <c r="A316" s="1">
        <f t="shared" si="71"/>
        <v>8</v>
      </c>
      <c r="B316" s="2">
        <v>10099743</v>
      </c>
      <c r="C316" s="3" t="s">
        <v>187</v>
      </c>
      <c r="D316" s="12" t="s">
        <v>40</v>
      </c>
      <c r="E316" s="12" t="s">
        <v>40</v>
      </c>
      <c r="F316" s="12"/>
      <c r="G316" s="12"/>
      <c r="H316" s="12"/>
      <c r="I316" s="12"/>
      <c r="J316" s="12"/>
      <c r="K316" s="12"/>
      <c r="L316" s="12">
        <v>13560</v>
      </c>
      <c r="M316" s="15">
        <f t="shared" si="69"/>
        <v>2</v>
      </c>
      <c r="N316" s="15">
        <f>+IF(K316="X",1,0)</f>
        <v>0</v>
      </c>
      <c r="O316" s="12">
        <v>13560</v>
      </c>
      <c r="P316" s="12">
        <f>+L316/12</f>
        <v>1130</v>
      </c>
      <c r="Q316" s="12">
        <f>+O316/12</f>
        <v>1130</v>
      </c>
    </row>
    <row r="317" spans="1:20" x14ac:dyDescent="0.3">
      <c r="A317" s="1">
        <f t="shared" si="71"/>
        <v>9</v>
      </c>
      <c r="B317" s="4" t="s">
        <v>301</v>
      </c>
      <c r="C317" s="3" t="s">
        <v>187</v>
      </c>
      <c r="D317" s="50" t="s">
        <v>40</v>
      </c>
      <c r="E317" s="50" t="s">
        <v>40</v>
      </c>
      <c r="F317" s="50"/>
      <c r="G317" s="50"/>
      <c r="H317" s="50" t="s">
        <v>40</v>
      </c>
      <c r="I317" s="50"/>
      <c r="J317" s="50" t="s">
        <v>896</v>
      </c>
      <c r="K317" s="12"/>
      <c r="L317" s="12">
        <v>109147</v>
      </c>
      <c r="M317" s="15">
        <f t="shared" si="69"/>
        <v>15</v>
      </c>
      <c r="N317" s="15">
        <f t="shared" si="70"/>
        <v>0</v>
      </c>
      <c r="O317" s="12">
        <v>109147</v>
      </c>
      <c r="P317" s="12">
        <f t="shared" si="67"/>
        <v>9095.5833333333339</v>
      </c>
      <c r="Q317" s="12">
        <f t="shared" si="68"/>
        <v>9095.5833333333339</v>
      </c>
      <c r="S317" t="s">
        <v>208</v>
      </c>
      <c r="T317" t="s">
        <v>151</v>
      </c>
    </row>
    <row r="318" spans="1:20" x14ac:dyDescent="0.3">
      <c r="A318" s="1">
        <f t="shared" si="71"/>
        <v>10</v>
      </c>
      <c r="B318" s="2">
        <v>21255991</v>
      </c>
      <c r="C318" s="3" t="s">
        <v>187</v>
      </c>
      <c r="D318" s="12" t="s">
        <v>40</v>
      </c>
      <c r="E318" s="12" t="s">
        <v>40</v>
      </c>
      <c r="F318" s="12"/>
      <c r="G318" s="12"/>
      <c r="H318" s="12"/>
      <c r="I318" s="12"/>
      <c r="J318" s="12"/>
      <c r="K318" s="12"/>
      <c r="L318" s="12">
        <v>13560</v>
      </c>
      <c r="M318" s="15">
        <f t="shared" si="69"/>
        <v>2</v>
      </c>
      <c r="N318" s="15">
        <f>+IF(K318="X",1,0)</f>
        <v>0</v>
      </c>
      <c r="O318" s="12">
        <v>13560</v>
      </c>
      <c r="P318" s="12">
        <f>+L318/12</f>
        <v>1130</v>
      </c>
      <c r="Q318" s="12">
        <f>+O318/12</f>
        <v>1130</v>
      </c>
    </row>
    <row r="319" spans="1:20" x14ac:dyDescent="0.3">
      <c r="A319" s="1">
        <f t="shared" si="71"/>
        <v>11</v>
      </c>
      <c r="B319" s="4" t="s">
        <v>302</v>
      </c>
      <c r="C319" s="3" t="s">
        <v>187</v>
      </c>
      <c r="D319" s="12" t="s">
        <v>40</v>
      </c>
      <c r="E319" s="12" t="s">
        <v>40</v>
      </c>
      <c r="F319" s="12"/>
      <c r="G319" s="12"/>
      <c r="H319" s="12"/>
      <c r="I319" s="12"/>
      <c r="J319" s="12"/>
      <c r="K319" s="12"/>
      <c r="L319" s="12">
        <v>28800</v>
      </c>
      <c r="M319" s="15">
        <f t="shared" si="69"/>
        <v>2</v>
      </c>
      <c r="N319" s="15">
        <f t="shared" si="70"/>
        <v>0</v>
      </c>
      <c r="O319" s="12">
        <v>28800</v>
      </c>
      <c r="P319" s="12">
        <f t="shared" si="67"/>
        <v>2400</v>
      </c>
      <c r="Q319" s="12">
        <f t="shared" si="68"/>
        <v>2400</v>
      </c>
    </row>
    <row r="320" spans="1:20" x14ac:dyDescent="0.3">
      <c r="A320" s="1">
        <f t="shared" si="71"/>
        <v>12</v>
      </c>
      <c r="B320" s="2" t="s">
        <v>303</v>
      </c>
      <c r="C320" s="3" t="s">
        <v>187</v>
      </c>
      <c r="D320" s="12" t="s">
        <v>40</v>
      </c>
      <c r="E320" s="12" t="s">
        <v>40</v>
      </c>
      <c r="F320" s="12"/>
      <c r="G320" s="12"/>
      <c r="H320" s="12"/>
      <c r="I320" s="12"/>
      <c r="J320" s="12"/>
      <c r="K320" s="12"/>
      <c r="L320" s="12">
        <v>13560</v>
      </c>
      <c r="M320" s="15">
        <f t="shared" si="69"/>
        <v>2</v>
      </c>
      <c r="N320" s="15">
        <f t="shared" si="70"/>
        <v>0</v>
      </c>
      <c r="O320" s="12">
        <v>13560</v>
      </c>
      <c r="P320" s="12">
        <f t="shared" si="67"/>
        <v>1130</v>
      </c>
      <c r="Q320" s="12">
        <f t="shared" si="68"/>
        <v>1130</v>
      </c>
    </row>
    <row r="321" spans="1:17" x14ac:dyDescent="0.3">
      <c r="A321" s="1">
        <f t="shared" si="71"/>
        <v>13</v>
      </c>
      <c r="B321" s="2" t="s">
        <v>294</v>
      </c>
      <c r="C321" s="3" t="s">
        <v>187</v>
      </c>
      <c r="D321" s="12" t="s">
        <v>40</v>
      </c>
      <c r="E321" s="12" t="s">
        <v>40</v>
      </c>
      <c r="F321" s="12"/>
      <c r="G321" s="12"/>
      <c r="H321" s="12" t="s">
        <v>40</v>
      </c>
      <c r="I321" s="12"/>
      <c r="J321" s="12"/>
      <c r="K321" s="12"/>
      <c r="L321" s="12">
        <v>16800</v>
      </c>
      <c r="M321" s="15">
        <f t="shared" si="69"/>
        <v>5</v>
      </c>
      <c r="N321" s="15">
        <f>+IF(K321="X",1,0)</f>
        <v>0</v>
      </c>
      <c r="O321" s="12">
        <v>16800</v>
      </c>
      <c r="P321" s="12">
        <f>+L321/12</f>
        <v>1400</v>
      </c>
      <c r="Q321" s="12">
        <f>+O321/12</f>
        <v>1400</v>
      </c>
    </row>
    <row r="322" spans="1:17" x14ac:dyDescent="0.3">
      <c r="A322" s="1">
        <f t="shared" si="71"/>
        <v>14</v>
      </c>
      <c r="B322" s="2">
        <v>45566461</v>
      </c>
      <c r="C322" s="3" t="s">
        <v>187</v>
      </c>
      <c r="D322" s="12" t="s">
        <v>40</v>
      </c>
      <c r="E322" s="12"/>
      <c r="F322" s="12"/>
      <c r="G322" s="12"/>
      <c r="H322" s="12"/>
      <c r="I322" s="12"/>
      <c r="J322" s="12"/>
      <c r="K322" s="12"/>
      <c r="L322" s="12">
        <v>18000</v>
      </c>
      <c r="M322" s="15">
        <f t="shared" si="69"/>
        <v>1</v>
      </c>
      <c r="N322" s="15">
        <f>+IF(K322="X",1,0)</f>
        <v>0</v>
      </c>
      <c r="O322" s="12">
        <v>18000</v>
      </c>
      <c r="P322" s="12">
        <f>+L322/12</f>
        <v>1500</v>
      </c>
      <c r="Q322" s="12">
        <f>+O322/12</f>
        <v>1500</v>
      </c>
    </row>
    <row r="323" spans="1:17" x14ac:dyDescent="0.3">
      <c r="A323" s="1">
        <f t="shared" si="71"/>
        <v>15</v>
      </c>
      <c r="B323" s="8"/>
      <c r="C323" s="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6"/>
      <c r="O323" s="13"/>
      <c r="P323" s="13"/>
      <c r="Q323" s="13"/>
    </row>
    <row r="324" spans="1:17" x14ac:dyDescent="0.3">
      <c r="A324" s="1">
        <f t="shared" si="71"/>
        <v>16</v>
      </c>
      <c r="B324" s="2" t="s">
        <v>292</v>
      </c>
      <c r="C324" s="3" t="s">
        <v>187</v>
      </c>
      <c r="D324" s="12" t="s">
        <v>40</v>
      </c>
      <c r="E324" s="12" t="s">
        <v>40</v>
      </c>
      <c r="F324" s="12"/>
      <c r="G324" s="12"/>
      <c r="H324" s="12" t="s">
        <v>40</v>
      </c>
      <c r="I324" s="12"/>
      <c r="J324" s="12"/>
      <c r="K324" s="12"/>
      <c r="L324" s="12">
        <v>13560</v>
      </c>
      <c r="M324" s="15">
        <f t="shared" si="69"/>
        <v>5</v>
      </c>
      <c r="N324" s="15">
        <f t="shared" ref="N324:N330" si="72">+IF(K324="X",1,0)</f>
        <v>0</v>
      </c>
      <c r="O324" s="12">
        <v>13560</v>
      </c>
      <c r="P324" s="12">
        <f t="shared" ref="P324:P330" si="73">+L324/12</f>
        <v>1130</v>
      </c>
      <c r="Q324" s="12">
        <f t="shared" ref="Q324:Q330" si="74">+O324/12</f>
        <v>1130</v>
      </c>
    </row>
    <row r="325" spans="1:17" x14ac:dyDescent="0.3">
      <c r="A325" s="1">
        <f t="shared" si="71"/>
        <v>17</v>
      </c>
      <c r="B325" s="2">
        <v>24710373</v>
      </c>
      <c r="C325" s="3" t="s">
        <v>187</v>
      </c>
      <c r="D325" s="12" t="s">
        <v>40</v>
      </c>
      <c r="E325" s="12" t="s">
        <v>40</v>
      </c>
      <c r="F325" s="12" t="s">
        <v>40</v>
      </c>
      <c r="G325" s="12"/>
      <c r="H325" s="12"/>
      <c r="I325" s="12"/>
      <c r="J325" s="12"/>
      <c r="K325" s="12"/>
      <c r="L325" s="12">
        <v>18000</v>
      </c>
      <c r="M325" s="15">
        <f t="shared" si="69"/>
        <v>4</v>
      </c>
      <c r="N325" s="15">
        <f t="shared" si="72"/>
        <v>0</v>
      </c>
      <c r="O325" s="12">
        <v>18000</v>
      </c>
      <c r="P325" s="12">
        <f t="shared" si="73"/>
        <v>1500</v>
      </c>
      <c r="Q325" s="12">
        <f t="shared" si="74"/>
        <v>1500</v>
      </c>
    </row>
    <row r="326" spans="1:17" x14ac:dyDescent="0.3">
      <c r="A326" s="1">
        <f t="shared" si="71"/>
        <v>18</v>
      </c>
      <c r="B326" s="2">
        <v>40556371</v>
      </c>
      <c r="C326" s="3" t="s">
        <v>187</v>
      </c>
      <c r="D326" s="12" t="s">
        <v>40</v>
      </c>
      <c r="E326" s="12"/>
      <c r="F326" s="12"/>
      <c r="G326" s="12"/>
      <c r="H326" s="12"/>
      <c r="I326" s="12"/>
      <c r="J326" s="12"/>
      <c r="K326" s="12"/>
      <c r="L326" s="12">
        <v>13560</v>
      </c>
      <c r="M326" s="15">
        <f t="shared" si="69"/>
        <v>1</v>
      </c>
      <c r="N326" s="15">
        <f t="shared" si="72"/>
        <v>0</v>
      </c>
      <c r="O326" s="12">
        <v>13560</v>
      </c>
      <c r="P326" s="12">
        <f t="shared" si="73"/>
        <v>1130</v>
      </c>
      <c r="Q326" s="12">
        <f t="shared" si="74"/>
        <v>1130</v>
      </c>
    </row>
    <row r="327" spans="1:17" x14ac:dyDescent="0.3">
      <c r="A327" s="1">
        <f t="shared" si="71"/>
        <v>19</v>
      </c>
      <c r="B327" s="2" t="s">
        <v>289</v>
      </c>
      <c r="C327" s="3" t="s">
        <v>187</v>
      </c>
      <c r="D327" s="12" t="s">
        <v>40</v>
      </c>
      <c r="E327" s="12" t="s">
        <v>40</v>
      </c>
      <c r="F327" s="12"/>
      <c r="G327" s="12"/>
      <c r="H327" s="12"/>
      <c r="I327" s="12"/>
      <c r="J327" s="12"/>
      <c r="K327" s="12"/>
      <c r="L327" s="12">
        <v>45600</v>
      </c>
      <c r="M327" s="15">
        <f t="shared" si="69"/>
        <v>2</v>
      </c>
      <c r="N327" s="15">
        <f t="shared" si="72"/>
        <v>0</v>
      </c>
      <c r="O327" s="12">
        <v>45600</v>
      </c>
      <c r="P327" s="12">
        <f t="shared" si="73"/>
        <v>3800</v>
      </c>
      <c r="Q327" s="12">
        <f t="shared" si="74"/>
        <v>3800</v>
      </c>
    </row>
    <row r="328" spans="1:17" x14ac:dyDescent="0.3">
      <c r="A328" s="1">
        <f t="shared" si="71"/>
        <v>20</v>
      </c>
      <c r="B328" s="2">
        <v>43058756</v>
      </c>
      <c r="C328" s="3" t="s">
        <v>187</v>
      </c>
      <c r="D328" s="12" t="s">
        <v>40</v>
      </c>
      <c r="E328" s="12" t="s">
        <v>40</v>
      </c>
      <c r="F328" s="12"/>
      <c r="G328" s="12"/>
      <c r="H328" s="12"/>
      <c r="I328" s="12"/>
      <c r="J328" s="12"/>
      <c r="K328" s="12"/>
      <c r="L328" s="12">
        <v>15000</v>
      </c>
      <c r="M328" s="15">
        <f t="shared" si="69"/>
        <v>2</v>
      </c>
      <c r="N328" s="15">
        <f t="shared" si="72"/>
        <v>0</v>
      </c>
      <c r="O328" s="12">
        <v>15000</v>
      </c>
      <c r="P328" s="12">
        <f t="shared" si="73"/>
        <v>1250</v>
      </c>
      <c r="Q328" s="12">
        <f t="shared" si="74"/>
        <v>1250</v>
      </c>
    </row>
    <row r="329" spans="1:17" x14ac:dyDescent="0.3">
      <c r="A329" s="1">
        <f t="shared" si="71"/>
        <v>21</v>
      </c>
      <c r="B329" s="2" t="s">
        <v>290</v>
      </c>
      <c r="C329" s="3" t="s">
        <v>187</v>
      </c>
      <c r="D329" s="12" t="s">
        <v>40</v>
      </c>
      <c r="E329" s="12" t="s">
        <v>40</v>
      </c>
      <c r="F329" s="12"/>
      <c r="G329" s="12"/>
      <c r="H329" s="12"/>
      <c r="I329" s="12"/>
      <c r="J329" s="12"/>
      <c r="K329" s="12"/>
      <c r="L329" s="12">
        <v>42000</v>
      </c>
      <c r="M329" s="15">
        <f t="shared" si="69"/>
        <v>2</v>
      </c>
      <c r="N329" s="15">
        <f t="shared" si="72"/>
        <v>0</v>
      </c>
      <c r="O329" s="12">
        <v>42000</v>
      </c>
      <c r="P329" s="12">
        <f t="shared" si="73"/>
        <v>3500</v>
      </c>
      <c r="Q329" s="12">
        <f t="shared" si="74"/>
        <v>3500</v>
      </c>
    </row>
    <row r="330" spans="1:17" x14ac:dyDescent="0.3">
      <c r="A330" s="1">
        <f t="shared" si="71"/>
        <v>22</v>
      </c>
      <c r="B330" s="1">
        <v>10714591</v>
      </c>
      <c r="C330" s="3" t="s">
        <v>187</v>
      </c>
      <c r="D330" s="12" t="s">
        <v>40</v>
      </c>
      <c r="E330" s="12" t="s">
        <v>40</v>
      </c>
      <c r="F330" s="12"/>
      <c r="G330" s="12"/>
      <c r="H330" s="12"/>
      <c r="I330" s="12"/>
      <c r="J330" s="12"/>
      <c r="K330" s="12"/>
      <c r="L330" s="12">
        <v>13560</v>
      </c>
      <c r="M330" s="15">
        <f t="shared" si="69"/>
        <v>2</v>
      </c>
      <c r="N330" s="15">
        <f t="shared" si="72"/>
        <v>0</v>
      </c>
      <c r="O330" s="12">
        <v>13560</v>
      </c>
      <c r="P330" s="12">
        <f t="shared" si="73"/>
        <v>1130</v>
      </c>
      <c r="Q330" s="12">
        <f t="shared" si="74"/>
        <v>1130</v>
      </c>
    </row>
    <row r="331" spans="1:17" x14ac:dyDescent="0.3">
      <c r="A331" s="1">
        <f t="shared" si="71"/>
        <v>23</v>
      </c>
      <c r="B331" s="1">
        <v>24489451</v>
      </c>
      <c r="C331" s="3" t="s">
        <v>187</v>
      </c>
      <c r="D331" s="12" t="s">
        <v>40</v>
      </c>
      <c r="E331" s="12" t="s">
        <v>40</v>
      </c>
      <c r="F331" s="12"/>
      <c r="G331" s="12"/>
      <c r="H331" s="12"/>
      <c r="I331" s="12"/>
      <c r="J331" s="12"/>
      <c r="K331" s="12"/>
      <c r="L331" s="12">
        <v>14400</v>
      </c>
      <c r="M331" s="15">
        <f t="shared" si="69"/>
        <v>2</v>
      </c>
      <c r="N331" s="15">
        <f t="shared" si="70"/>
        <v>0</v>
      </c>
      <c r="O331" s="12">
        <v>14400</v>
      </c>
      <c r="P331" s="12">
        <f t="shared" si="67"/>
        <v>1200</v>
      </c>
      <c r="Q331" s="12">
        <f t="shared" si="68"/>
        <v>1200</v>
      </c>
    </row>
    <row r="332" spans="1:17" x14ac:dyDescent="0.3">
      <c r="A332" s="1">
        <f t="shared" si="71"/>
        <v>24</v>
      </c>
      <c r="B332" s="1">
        <v>27749222</v>
      </c>
      <c r="C332" s="3" t="s">
        <v>187</v>
      </c>
      <c r="D332" s="12" t="s">
        <v>40</v>
      </c>
      <c r="E332" s="12" t="s">
        <v>40</v>
      </c>
      <c r="F332" s="12"/>
      <c r="G332" s="12"/>
      <c r="H332" s="12"/>
      <c r="I332" s="12"/>
      <c r="J332" s="12"/>
      <c r="K332" s="12"/>
      <c r="L332" s="12">
        <v>13560</v>
      </c>
      <c r="M332" s="15">
        <f t="shared" si="69"/>
        <v>2</v>
      </c>
      <c r="N332" s="15">
        <f t="shared" si="70"/>
        <v>0</v>
      </c>
      <c r="O332" s="12">
        <v>13560</v>
      </c>
      <c r="P332" s="12">
        <f t="shared" si="67"/>
        <v>1130</v>
      </c>
      <c r="Q332" s="12">
        <f t="shared" si="68"/>
        <v>1130</v>
      </c>
    </row>
    <row r="333" spans="1:17" x14ac:dyDescent="0.3">
      <c r="A333" s="1">
        <f t="shared" si="71"/>
        <v>25</v>
      </c>
      <c r="B333" s="2" t="s">
        <v>293</v>
      </c>
      <c r="C333" s="3" t="s">
        <v>187</v>
      </c>
      <c r="D333" s="12" t="s">
        <v>40</v>
      </c>
      <c r="E333" s="12" t="s">
        <v>40</v>
      </c>
      <c r="F333" s="12"/>
      <c r="G333" s="12"/>
      <c r="H333" s="12"/>
      <c r="I333" s="12"/>
      <c r="J333" s="12"/>
      <c r="K333" s="12"/>
      <c r="L333" s="12">
        <v>36000</v>
      </c>
      <c r="M333" s="15">
        <f t="shared" si="69"/>
        <v>2</v>
      </c>
      <c r="N333" s="15">
        <f t="shared" si="70"/>
        <v>0</v>
      </c>
      <c r="O333" s="12">
        <v>36000</v>
      </c>
      <c r="P333" s="12">
        <f t="shared" si="67"/>
        <v>3000</v>
      </c>
      <c r="Q333" s="12">
        <f t="shared" si="68"/>
        <v>3000</v>
      </c>
    </row>
    <row r="334" spans="1:17" x14ac:dyDescent="0.3">
      <c r="A334" s="1">
        <f t="shared" si="71"/>
        <v>26</v>
      </c>
      <c r="B334" s="1">
        <v>15427702</v>
      </c>
      <c r="C334" s="3" t="s">
        <v>187</v>
      </c>
      <c r="D334" s="12" t="s">
        <v>40</v>
      </c>
      <c r="E334" s="12" t="s">
        <v>40</v>
      </c>
      <c r="F334" s="12"/>
      <c r="G334" s="12"/>
      <c r="H334" s="12"/>
      <c r="I334" s="12"/>
      <c r="J334" s="12"/>
      <c r="K334" s="12"/>
      <c r="L334" s="12">
        <v>6780</v>
      </c>
      <c r="M334" s="15">
        <f t="shared" si="69"/>
        <v>2</v>
      </c>
      <c r="N334" s="15">
        <f t="shared" si="70"/>
        <v>0</v>
      </c>
      <c r="O334" s="12">
        <v>6780</v>
      </c>
      <c r="P334" s="12">
        <f t="shared" si="67"/>
        <v>565</v>
      </c>
      <c r="Q334" s="12">
        <f t="shared" si="68"/>
        <v>565</v>
      </c>
    </row>
    <row r="335" spans="1:17" x14ac:dyDescent="0.3">
      <c r="A335" s="1">
        <f t="shared" si="71"/>
        <v>27</v>
      </c>
      <c r="B335" s="1">
        <v>27853010</v>
      </c>
      <c r="C335" s="3" t="s">
        <v>187</v>
      </c>
      <c r="D335" s="12" t="s">
        <v>40</v>
      </c>
      <c r="E335" s="12" t="s">
        <v>40</v>
      </c>
      <c r="F335" s="12"/>
      <c r="G335" s="12"/>
      <c r="H335" s="12"/>
      <c r="I335" s="12"/>
      <c r="J335" s="12"/>
      <c r="K335" s="12"/>
      <c r="L335" s="12">
        <v>30000</v>
      </c>
      <c r="M335" s="15">
        <f t="shared" si="69"/>
        <v>2</v>
      </c>
      <c r="N335" s="15">
        <f t="shared" si="70"/>
        <v>0</v>
      </c>
      <c r="O335" s="12">
        <v>30000</v>
      </c>
      <c r="P335" s="12">
        <f t="shared" si="67"/>
        <v>2500</v>
      </c>
      <c r="Q335" s="12">
        <f t="shared" si="68"/>
        <v>2500</v>
      </c>
    </row>
    <row r="336" spans="1:17" x14ac:dyDescent="0.3">
      <c r="A336" s="1">
        <f t="shared" si="71"/>
        <v>28</v>
      </c>
      <c r="B336" s="1">
        <v>40459760</v>
      </c>
      <c r="C336" s="3" t="s">
        <v>187</v>
      </c>
      <c r="D336" s="12" t="s">
        <v>40</v>
      </c>
      <c r="E336" s="12" t="s">
        <v>40</v>
      </c>
      <c r="F336" s="12"/>
      <c r="G336" s="12"/>
      <c r="H336" s="12"/>
      <c r="I336" s="12"/>
      <c r="J336" s="12"/>
      <c r="K336" s="12"/>
      <c r="L336" s="12">
        <v>15000</v>
      </c>
      <c r="M336" s="15">
        <f t="shared" si="69"/>
        <v>2</v>
      </c>
      <c r="N336" s="15">
        <f t="shared" si="70"/>
        <v>0</v>
      </c>
      <c r="O336" s="12">
        <v>15000</v>
      </c>
      <c r="P336" s="12">
        <f t="shared" si="67"/>
        <v>1250</v>
      </c>
      <c r="Q336" s="12">
        <f t="shared" si="68"/>
        <v>1250</v>
      </c>
    </row>
    <row r="337" spans="1:17" x14ac:dyDescent="0.3">
      <c r="A337" s="1">
        <f t="shared" si="71"/>
        <v>29</v>
      </c>
      <c r="B337" s="1">
        <v>33949567</v>
      </c>
      <c r="C337" s="3" t="s">
        <v>187</v>
      </c>
      <c r="D337" s="12" t="s">
        <v>40</v>
      </c>
      <c r="E337" s="12"/>
      <c r="F337" s="12"/>
      <c r="G337" s="12"/>
      <c r="H337" s="12"/>
      <c r="I337" s="12"/>
      <c r="J337" s="12"/>
      <c r="K337" s="12"/>
      <c r="L337" s="12">
        <v>14440</v>
      </c>
      <c r="M337" s="15">
        <f t="shared" si="69"/>
        <v>1</v>
      </c>
      <c r="N337" s="15">
        <f t="shared" si="70"/>
        <v>0</v>
      </c>
      <c r="O337" s="12">
        <v>14440</v>
      </c>
      <c r="P337" s="12">
        <f t="shared" si="67"/>
        <v>1203.3333333333333</v>
      </c>
      <c r="Q337" s="12">
        <f t="shared" si="68"/>
        <v>1203.3333333333333</v>
      </c>
    </row>
    <row r="338" spans="1:17" x14ac:dyDescent="0.3">
      <c r="A338" s="1">
        <f t="shared" si="71"/>
        <v>30</v>
      </c>
      <c r="B338" s="1">
        <v>44013194</v>
      </c>
      <c r="C338" s="3" t="s">
        <v>187</v>
      </c>
      <c r="D338" s="12" t="s">
        <v>40</v>
      </c>
      <c r="E338" s="12"/>
      <c r="F338" s="12"/>
      <c r="G338" s="12"/>
      <c r="H338" s="12"/>
      <c r="I338" s="12"/>
      <c r="J338" s="12"/>
      <c r="K338" s="12"/>
      <c r="L338" s="12">
        <v>14440</v>
      </c>
      <c r="M338" s="15">
        <f t="shared" si="69"/>
        <v>1</v>
      </c>
      <c r="N338" s="15">
        <f t="shared" si="70"/>
        <v>0</v>
      </c>
      <c r="O338" s="12">
        <v>14440</v>
      </c>
      <c r="P338" s="12">
        <f t="shared" si="67"/>
        <v>1203.3333333333333</v>
      </c>
      <c r="Q338" s="12">
        <f t="shared" si="68"/>
        <v>1203.3333333333333</v>
      </c>
    </row>
    <row r="339" spans="1:17" x14ac:dyDescent="0.3">
      <c r="D339"/>
      <c r="E339"/>
      <c r="F339"/>
      <c r="G339"/>
      <c r="H339"/>
      <c r="I339"/>
      <c r="J339"/>
      <c r="L339" s="14">
        <f>+AVERAGE(L309:L338)</f>
        <v>40270.607142857145</v>
      </c>
      <c r="M339" s="14">
        <f>+AVERAGE(M309:M338)</f>
        <v>3.4285714285714284</v>
      </c>
      <c r="N339" s="14">
        <f>+SUM(N309:N338)</f>
        <v>1</v>
      </c>
      <c r="O339" s="14">
        <f>+AVERAGE(O309:O338)</f>
        <v>22626.925925925927</v>
      </c>
      <c r="P339" s="14">
        <f>+AVERAGE(P309:P338)</f>
        <v>3355.883928571428</v>
      </c>
      <c r="Q339" s="14">
        <f>+AVERAGE(Q309:Q338)</f>
        <v>1885.5771604938273</v>
      </c>
    </row>
    <row r="340" spans="1:17" x14ac:dyDescent="0.3">
      <c r="D340"/>
      <c r="E340"/>
      <c r="F340"/>
      <c r="G340"/>
      <c r="H340"/>
      <c r="I340"/>
      <c r="J340"/>
      <c r="L340" s="14">
        <f>+STDEV(L309:L338)</f>
        <v>77520.714201569572</v>
      </c>
      <c r="M340" s="14">
        <f>+STDEV(M309:M338)</f>
        <v>3.2366943748507482</v>
      </c>
      <c r="N340" s="17"/>
      <c r="O340" s="14">
        <f>+STDEV(O309:O338)</f>
        <v>19816.017640993061</v>
      </c>
      <c r="P340" s="14">
        <f>+STDEV(P309:P338)</f>
        <v>6460.0595167974634</v>
      </c>
      <c r="Q340" s="14">
        <f>+STDEV(Q309:Q338)</f>
        <v>1651.3348034160881</v>
      </c>
    </row>
    <row r="341" spans="1:17" x14ac:dyDescent="0.3">
      <c r="D341"/>
      <c r="E341"/>
      <c r="F341"/>
      <c r="G341"/>
      <c r="H341"/>
      <c r="I341" s="15"/>
      <c r="J341" s="15"/>
      <c r="K341" s="11" t="s">
        <v>75</v>
      </c>
      <c r="L341" s="14">
        <f>+COUNTIF(L309:L338,0)</f>
        <v>0</v>
      </c>
      <c r="M341" s="14">
        <f>+COUNT(M309:M338)</f>
        <v>28</v>
      </c>
      <c r="P341" s="14">
        <f>+COUNTIF(P309:P338,0)</f>
        <v>0</v>
      </c>
    </row>
    <row r="342" spans="1:17" x14ac:dyDescent="0.3">
      <c r="D342"/>
      <c r="E342"/>
      <c r="F342"/>
      <c r="G342"/>
      <c r="H342"/>
      <c r="I342"/>
      <c r="J342"/>
    </row>
    <row r="343" spans="1:17" x14ac:dyDescent="0.3">
      <c r="A343" s="1">
        <v>1</v>
      </c>
      <c r="B343" s="2">
        <v>40799023</v>
      </c>
      <c r="C343" s="3" t="s">
        <v>304</v>
      </c>
      <c r="D343" s="50" t="s">
        <v>40</v>
      </c>
      <c r="E343" s="50" t="s">
        <v>40</v>
      </c>
      <c r="F343" s="50"/>
      <c r="G343" s="50"/>
      <c r="H343" s="50" t="s">
        <v>40</v>
      </c>
      <c r="I343" s="50" t="s">
        <v>40</v>
      </c>
      <c r="J343" s="50" t="s">
        <v>897</v>
      </c>
      <c r="K343" s="12"/>
      <c r="L343" s="12">
        <v>74118</v>
      </c>
      <c r="M343" s="15">
        <f>+IF(D343="X",1,0)+IF(E343="X",1,0)+IF(F343="X",2,0)+IF(G343="X",2,0)+IF(H343="X",3,IF(H343="Y",1.5,0))+IF(I343="X",5,IF(I343="Y",2.5,0))+IF(J343="X1",10,IF(J343="X2",5,IF(J343="X3",3,0)))</f>
        <v>15</v>
      </c>
      <c r="N343" s="15">
        <f>+IF(K343="X",1,0)</f>
        <v>0</v>
      </c>
      <c r="O343" s="12">
        <v>33000</v>
      </c>
      <c r="P343" s="12">
        <f t="shared" ref="P343:P349" si="75">+L343/12</f>
        <v>6176.5</v>
      </c>
      <c r="Q343" s="12">
        <f t="shared" ref="Q343:Q349" si="76">+O343/12</f>
        <v>2750</v>
      </c>
    </row>
    <row r="344" spans="1:17" x14ac:dyDescent="0.3">
      <c r="A344" s="1">
        <f>+A343+1</f>
        <v>2</v>
      </c>
      <c r="B344" s="2">
        <v>10762074</v>
      </c>
      <c r="C344" s="3" t="s">
        <v>304</v>
      </c>
      <c r="D344" s="12" t="s">
        <v>40</v>
      </c>
      <c r="E344" s="12" t="s">
        <v>40</v>
      </c>
      <c r="F344" s="12"/>
      <c r="G344" s="12"/>
      <c r="H344" s="12" t="s">
        <v>40</v>
      </c>
      <c r="I344" s="12"/>
      <c r="J344" s="12"/>
      <c r="K344" s="12"/>
      <c r="L344" s="12">
        <v>33000</v>
      </c>
      <c r="M344" s="15">
        <f t="shared" ref="M344:M367" si="77">+IF(D344="X",1,0)+IF(E344="X",1,0)+IF(F344="X",2,0)+IF(G344="X",2,0)+IF(H344="X",3,IF(H344="Y",1.5,0))+IF(I344="X",5,IF(I344="Y",2.5,0))+IF(J344="X1",10,IF(J344="X2",5,IF(J344="X3",3,0)))</f>
        <v>5</v>
      </c>
      <c r="N344" s="15">
        <f t="shared" ref="N344:N349" si="78">+IF(K344="X",1,0)</f>
        <v>0</v>
      </c>
      <c r="O344" s="12">
        <v>33000</v>
      </c>
      <c r="P344" s="12">
        <f t="shared" si="75"/>
        <v>2750</v>
      </c>
      <c r="Q344" s="12">
        <f t="shared" si="76"/>
        <v>2750</v>
      </c>
    </row>
    <row r="345" spans="1:17" x14ac:dyDescent="0.3">
      <c r="A345" s="1">
        <f t="shared" ref="A345:A372" si="79">+A344+1</f>
        <v>3</v>
      </c>
      <c r="B345" s="2" t="s">
        <v>310</v>
      </c>
      <c r="C345" s="3" t="s">
        <v>304</v>
      </c>
      <c r="D345" s="50" t="s">
        <v>40</v>
      </c>
      <c r="E345" s="50" t="s">
        <v>40</v>
      </c>
      <c r="F345" s="50" t="s">
        <v>40</v>
      </c>
      <c r="G345" s="50"/>
      <c r="H345" s="50" t="s">
        <v>40</v>
      </c>
      <c r="I345" s="50" t="s">
        <v>40</v>
      </c>
      <c r="J345" s="50" t="s">
        <v>901</v>
      </c>
      <c r="K345" s="12"/>
      <c r="L345" s="12">
        <v>64588</v>
      </c>
      <c r="M345" s="15">
        <f t="shared" si="77"/>
        <v>15</v>
      </c>
      <c r="N345" s="15">
        <f t="shared" si="78"/>
        <v>0</v>
      </c>
      <c r="O345" s="12">
        <v>64588</v>
      </c>
      <c r="P345" s="12">
        <f t="shared" si="75"/>
        <v>5382.333333333333</v>
      </c>
      <c r="Q345" s="12">
        <f t="shared" si="76"/>
        <v>5382.333333333333</v>
      </c>
    </row>
    <row r="346" spans="1:17" x14ac:dyDescent="0.3">
      <c r="A346" s="1">
        <f t="shared" si="79"/>
        <v>4</v>
      </c>
      <c r="B346" s="2" t="s">
        <v>311</v>
      </c>
      <c r="C346" s="3" t="s">
        <v>304</v>
      </c>
      <c r="D346" s="12" t="s">
        <v>40</v>
      </c>
      <c r="E346" s="12" t="s">
        <v>40</v>
      </c>
      <c r="F346" s="12" t="s">
        <v>40</v>
      </c>
      <c r="G346" s="12" t="s">
        <v>40</v>
      </c>
      <c r="H346" s="12"/>
      <c r="I346" s="12"/>
      <c r="J346" s="12"/>
      <c r="K346" s="12"/>
      <c r="L346" s="12">
        <v>36000</v>
      </c>
      <c r="M346" s="15">
        <f t="shared" si="77"/>
        <v>6</v>
      </c>
      <c r="N346" s="15">
        <f t="shared" si="78"/>
        <v>0</v>
      </c>
      <c r="O346" s="12">
        <v>36000</v>
      </c>
      <c r="P346" s="12">
        <f t="shared" si="75"/>
        <v>3000</v>
      </c>
      <c r="Q346" s="12">
        <f t="shared" si="76"/>
        <v>3000</v>
      </c>
    </row>
    <row r="347" spans="1:17" x14ac:dyDescent="0.3">
      <c r="A347" s="1">
        <f t="shared" si="79"/>
        <v>5</v>
      </c>
      <c r="B347" s="2" t="s">
        <v>312</v>
      </c>
      <c r="C347" s="3" t="s">
        <v>304</v>
      </c>
      <c r="D347" s="12" t="s">
        <v>40</v>
      </c>
      <c r="E347" s="12" t="s">
        <v>40</v>
      </c>
      <c r="F347" s="12"/>
      <c r="G347" s="12"/>
      <c r="H347" s="12" t="s">
        <v>40</v>
      </c>
      <c r="I347" s="12"/>
      <c r="J347" s="12"/>
      <c r="K347" s="12" t="s">
        <v>40</v>
      </c>
      <c r="L347" s="12">
        <v>58000</v>
      </c>
      <c r="M347" s="15">
        <f t="shared" si="77"/>
        <v>5</v>
      </c>
      <c r="N347" s="15">
        <f t="shared" si="78"/>
        <v>1</v>
      </c>
      <c r="O347" s="12">
        <v>58000</v>
      </c>
      <c r="P347" s="12">
        <f t="shared" si="75"/>
        <v>4833.333333333333</v>
      </c>
      <c r="Q347" s="12">
        <f t="shared" si="76"/>
        <v>4833.333333333333</v>
      </c>
    </row>
    <row r="348" spans="1:17" x14ac:dyDescent="0.3">
      <c r="A348" s="1">
        <f t="shared" si="79"/>
        <v>6</v>
      </c>
      <c r="B348" s="2">
        <v>41879544</v>
      </c>
      <c r="C348" s="3" t="s">
        <v>304</v>
      </c>
      <c r="D348" s="12"/>
      <c r="E348" s="12"/>
      <c r="F348" s="12"/>
      <c r="G348" s="12"/>
      <c r="H348" s="12"/>
      <c r="I348" s="12"/>
      <c r="J348" s="12"/>
      <c r="K348" s="12"/>
      <c r="L348" s="12">
        <v>0</v>
      </c>
      <c r="M348" s="15">
        <f t="shared" si="77"/>
        <v>0</v>
      </c>
      <c r="N348" s="15">
        <f t="shared" si="78"/>
        <v>0</v>
      </c>
      <c r="O348" s="20"/>
      <c r="P348" s="12">
        <f t="shared" si="75"/>
        <v>0</v>
      </c>
      <c r="Q348" s="20"/>
    </row>
    <row r="349" spans="1:17" x14ac:dyDescent="0.3">
      <c r="A349" s="1">
        <f t="shared" si="79"/>
        <v>7</v>
      </c>
      <c r="B349" s="2">
        <v>80668107</v>
      </c>
      <c r="C349" s="3" t="s">
        <v>304</v>
      </c>
      <c r="D349" s="12" t="s">
        <v>40</v>
      </c>
      <c r="E349" s="12" t="s">
        <v>40</v>
      </c>
      <c r="F349" s="12" t="s">
        <v>40</v>
      </c>
      <c r="G349" s="12"/>
      <c r="H349" s="12" t="s">
        <v>40</v>
      </c>
      <c r="I349" s="12"/>
      <c r="J349" s="12"/>
      <c r="K349" s="12"/>
      <c r="L349" s="12">
        <v>30000</v>
      </c>
      <c r="M349" s="15">
        <f t="shared" si="77"/>
        <v>7</v>
      </c>
      <c r="N349" s="15">
        <f t="shared" si="78"/>
        <v>0</v>
      </c>
      <c r="O349" s="12">
        <v>30000</v>
      </c>
      <c r="P349" s="12">
        <f t="shared" si="75"/>
        <v>2500</v>
      </c>
      <c r="Q349" s="12">
        <f t="shared" si="76"/>
        <v>2500</v>
      </c>
    </row>
    <row r="350" spans="1:17" x14ac:dyDescent="0.3">
      <c r="A350" s="1">
        <f t="shared" si="79"/>
        <v>8</v>
      </c>
      <c r="B350" s="10"/>
      <c r="C350" s="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6"/>
      <c r="O350" s="13"/>
      <c r="P350" s="13"/>
      <c r="Q350" s="13"/>
    </row>
    <row r="351" spans="1:17" x14ac:dyDescent="0.3">
      <c r="A351" s="1">
        <f t="shared" si="79"/>
        <v>9</v>
      </c>
      <c r="B351" s="2" t="s">
        <v>313</v>
      </c>
      <c r="C351" s="3" t="s">
        <v>304</v>
      </c>
      <c r="D351" s="12" t="s">
        <v>40</v>
      </c>
      <c r="E351" s="12" t="s">
        <v>40</v>
      </c>
      <c r="F351" s="12"/>
      <c r="G351" s="12"/>
      <c r="H351" s="12"/>
      <c r="I351" s="12"/>
      <c r="J351" s="12"/>
      <c r="K351" s="12"/>
      <c r="L351" s="12">
        <v>15600</v>
      </c>
      <c r="M351" s="15">
        <f t="shared" si="77"/>
        <v>2</v>
      </c>
      <c r="N351" s="15">
        <f t="shared" ref="N351:N359" si="80">+IF(K351="X",1,0)</f>
        <v>0</v>
      </c>
      <c r="O351" s="12">
        <v>15600</v>
      </c>
      <c r="P351" s="12">
        <f t="shared" ref="P351:P359" si="81">+L351/12</f>
        <v>1300</v>
      </c>
      <c r="Q351" s="12">
        <f t="shared" ref="Q351:Q359" si="82">+O351/12</f>
        <v>1300</v>
      </c>
    </row>
    <row r="352" spans="1:17" x14ac:dyDescent="0.3">
      <c r="A352" s="1">
        <f t="shared" si="79"/>
        <v>10</v>
      </c>
      <c r="B352" s="2" t="s">
        <v>306</v>
      </c>
      <c r="C352" s="3" t="s">
        <v>304</v>
      </c>
      <c r="D352" s="12" t="s">
        <v>40</v>
      </c>
      <c r="E352" s="12" t="s">
        <v>40</v>
      </c>
      <c r="F352" s="12"/>
      <c r="G352" s="12"/>
      <c r="H352" s="12"/>
      <c r="I352" s="12"/>
      <c r="J352" s="12"/>
      <c r="K352" s="12"/>
      <c r="L352" s="12">
        <v>33140</v>
      </c>
      <c r="M352" s="15">
        <f t="shared" si="77"/>
        <v>2</v>
      </c>
      <c r="N352" s="15">
        <f t="shared" si="80"/>
        <v>0</v>
      </c>
      <c r="O352" s="12">
        <v>33140</v>
      </c>
      <c r="P352" s="12">
        <f t="shared" si="81"/>
        <v>2761.6666666666665</v>
      </c>
      <c r="Q352" s="12">
        <f t="shared" si="82"/>
        <v>2761.6666666666665</v>
      </c>
    </row>
    <row r="353" spans="1:17" x14ac:dyDescent="0.3">
      <c r="A353" s="1">
        <f t="shared" si="79"/>
        <v>11</v>
      </c>
      <c r="B353" s="2" t="s">
        <v>314</v>
      </c>
      <c r="C353" s="3" t="s">
        <v>304</v>
      </c>
      <c r="D353" s="50" t="s">
        <v>40</v>
      </c>
      <c r="E353" s="50" t="s">
        <v>40</v>
      </c>
      <c r="F353" s="50"/>
      <c r="G353" s="50"/>
      <c r="H353" s="50" t="s">
        <v>40</v>
      </c>
      <c r="I353" s="50" t="s">
        <v>40</v>
      </c>
      <c r="J353" s="50" t="s">
        <v>897</v>
      </c>
      <c r="K353" s="12"/>
      <c r="L353" s="12">
        <v>178800</v>
      </c>
      <c r="M353" s="15">
        <f t="shared" si="77"/>
        <v>15</v>
      </c>
      <c r="N353" s="15">
        <f t="shared" si="80"/>
        <v>0</v>
      </c>
      <c r="O353" s="20"/>
      <c r="P353" s="12">
        <f t="shared" si="81"/>
        <v>14900</v>
      </c>
      <c r="Q353" s="20"/>
    </row>
    <row r="354" spans="1:17" x14ac:dyDescent="0.3">
      <c r="A354" s="1">
        <f t="shared" si="79"/>
        <v>12</v>
      </c>
      <c r="B354" s="10"/>
      <c r="C354" s="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6"/>
      <c r="O354" s="13"/>
      <c r="P354" s="13"/>
      <c r="Q354" s="13"/>
    </row>
    <row r="355" spans="1:17" x14ac:dyDescent="0.3">
      <c r="A355" s="1">
        <f t="shared" si="79"/>
        <v>13</v>
      </c>
      <c r="B355" s="2">
        <v>44315446</v>
      </c>
      <c r="C355" s="3" t="s">
        <v>304</v>
      </c>
      <c r="D355" s="12" t="s">
        <v>40</v>
      </c>
      <c r="E355" s="12" t="s">
        <v>40</v>
      </c>
      <c r="F355" s="12" t="s">
        <v>40</v>
      </c>
      <c r="G355" s="12"/>
      <c r="H355" s="12"/>
      <c r="I355" s="12"/>
      <c r="J355" s="12"/>
      <c r="K355" s="12"/>
      <c r="L355" s="12">
        <v>35424</v>
      </c>
      <c r="M355" s="15">
        <f t="shared" si="77"/>
        <v>4</v>
      </c>
      <c r="N355" s="15">
        <f t="shared" ref="N355" si="83">+IF(K355="X",1,0)</f>
        <v>0</v>
      </c>
      <c r="O355" s="12">
        <v>35424</v>
      </c>
      <c r="P355" s="12">
        <f t="shared" ref="P355" si="84">+L355/12</f>
        <v>2952</v>
      </c>
      <c r="Q355" s="12">
        <f t="shared" ref="Q355" si="85">+O355/12</f>
        <v>2952</v>
      </c>
    </row>
    <row r="356" spans="1:17" x14ac:dyDescent="0.3">
      <c r="A356" s="1">
        <f t="shared" si="79"/>
        <v>14</v>
      </c>
      <c r="B356" s="10"/>
      <c r="C356" s="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6"/>
      <c r="O356" s="13"/>
      <c r="P356" s="13"/>
      <c r="Q356" s="13"/>
    </row>
    <row r="357" spans="1:17" x14ac:dyDescent="0.3">
      <c r="A357" s="1">
        <f t="shared" si="79"/>
        <v>15</v>
      </c>
      <c r="B357" s="2" t="s">
        <v>315</v>
      </c>
      <c r="C357" s="3" t="s">
        <v>304</v>
      </c>
      <c r="D357" s="12" t="s">
        <v>40</v>
      </c>
      <c r="E357" s="12" t="s">
        <v>40</v>
      </c>
      <c r="F357" s="12"/>
      <c r="G357" s="12" t="s">
        <v>40</v>
      </c>
      <c r="H357" s="12"/>
      <c r="I357" s="12"/>
      <c r="J357" s="12"/>
      <c r="K357" s="12"/>
      <c r="L357" s="12">
        <v>60000</v>
      </c>
      <c r="M357" s="15">
        <f t="shared" si="77"/>
        <v>4</v>
      </c>
      <c r="N357" s="15">
        <f t="shared" ref="N357" si="86">+IF(K357="X",1,0)</f>
        <v>0</v>
      </c>
      <c r="O357" s="12">
        <v>60000</v>
      </c>
      <c r="P357" s="12">
        <f t="shared" ref="P357" si="87">+L357/12</f>
        <v>5000</v>
      </c>
      <c r="Q357" s="12">
        <f t="shared" ref="Q357" si="88">+O357/12</f>
        <v>5000</v>
      </c>
    </row>
    <row r="358" spans="1:17" x14ac:dyDescent="0.3">
      <c r="A358" s="1">
        <f t="shared" si="79"/>
        <v>16</v>
      </c>
      <c r="B358" s="2" t="s">
        <v>307</v>
      </c>
      <c r="C358" s="3" t="s">
        <v>304</v>
      </c>
      <c r="D358" s="12" t="s">
        <v>40</v>
      </c>
      <c r="E358" s="12" t="s">
        <v>40</v>
      </c>
      <c r="F358" s="12" t="s">
        <v>40</v>
      </c>
      <c r="G358" s="12"/>
      <c r="H358" s="12"/>
      <c r="I358" s="12"/>
      <c r="J358" s="12"/>
      <c r="K358" s="12"/>
      <c r="L358" s="12">
        <v>0</v>
      </c>
      <c r="M358" s="15">
        <f t="shared" si="77"/>
        <v>4</v>
      </c>
      <c r="N358" s="15">
        <f t="shared" si="80"/>
        <v>0</v>
      </c>
      <c r="O358" s="20"/>
      <c r="P358" s="12">
        <f t="shared" si="81"/>
        <v>0</v>
      </c>
      <c r="Q358" s="20"/>
    </row>
    <row r="359" spans="1:17" x14ac:dyDescent="0.3">
      <c r="A359" s="1">
        <f t="shared" si="79"/>
        <v>17</v>
      </c>
      <c r="B359" s="2" t="s">
        <v>316</v>
      </c>
      <c r="C359" s="3" t="s">
        <v>304</v>
      </c>
      <c r="D359" s="12" t="s">
        <v>40</v>
      </c>
      <c r="E359" s="12" t="s">
        <v>40</v>
      </c>
      <c r="F359" s="12"/>
      <c r="G359" s="12"/>
      <c r="H359" s="12" t="s">
        <v>40</v>
      </c>
      <c r="I359" s="12" t="s">
        <v>40</v>
      </c>
      <c r="J359" s="12"/>
      <c r="K359" s="12"/>
      <c r="L359" s="12">
        <v>40800</v>
      </c>
      <c r="M359" s="15">
        <f t="shared" si="77"/>
        <v>10</v>
      </c>
      <c r="N359" s="15">
        <f t="shared" si="80"/>
        <v>0</v>
      </c>
      <c r="O359" s="12">
        <v>40800</v>
      </c>
      <c r="P359" s="12">
        <f t="shared" si="81"/>
        <v>3400</v>
      </c>
      <c r="Q359" s="12">
        <f t="shared" si="82"/>
        <v>3400</v>
      </c>
    </row>
    <row r="360" spans="1:17" x14ac:dyDescent="0.3">
      <c r="A360" s="1">
        <f t="shared" si="79"/>
        <v>18</v>
      </c>
      <c r="B360" s="10"/>
      <c r="C360" s="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6"/>
      <c r="O360" s="13"/>
      <c r="P360" s="13"/>
      <c r="Q360" s="13"/>
    </row>
    <row r="361" spans="1:17" x14ac:dyDescent="0.3">
      <c r="A361" s="1">
        <f t="shared" si="79"/>
        <v>19</v>
      </c>
      <c r="B361" s="2" t="s">
        <v>305</v>
      </c>
      <c r="C361" s="3" t="s">
        <v>304</v>
      </c>
      <c r="D361" s="50" t="s">
        <v>40</v>
      </c>
      <c r="E361" s="50" t="s">
        <v>40</v>
      </c>
      <c r="F361" s="50"/>
      <c r="G361" s="50"/>
      <c r="H361" s="50" t="s">
        <v>40</v>
      </c>
      <c r="I361" s="50" t="s">
        <v>40</v>
      </c>
      <c r="J361" s="50" t="s">
        <v>897</v>
      </c>
      <c r="K361" s="12"/>
      <c r="L361" s="12">
        <v>42480</v>
      </c>
      <c r="M361" s="15">
        <f t="shared" si="77"/>
        <v>15</v>
      </c>
      <c r="N361" s="15">
        <f>+IF(K361="X",1,0)</f>
        <v>0</v>
      </c>
      <c r="O361" s="12">
        <v>42480</v>
      </c>
      <c r="P361" s="12">
        <f>+L361/12</f>
        <v>3540</v>
      </c>
      <c r="Q361" s="12">
        <f>+O361/12</f>
        <v>3540</v>
      </c>
    </row>
    <row r="362" spans="1:17" x14ac:dyDescent="0.3">
      <c r="A362" s="1">
        <f t="shared" si="79"/>
        <v>20</v>
      </c>
      <c r="B362" s="10"/>
      <c r="C362" s="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6"/>
      <c r="O362" s="13"/>
      <c r="P362" s="13"/>
      <c r="Q362" s="13"/>
    </row>
    <row r="363" spans="1:17" x14ac:dyDescent="0.3">
      <c r="A363" s="1">
        <f t="shared" si="79"/>
        <v>21</v>
      </c>
      <c r="B363" s="2" t="s">
        <v>317</v>
      </c>
      <c r="C363" s="3" t="s">
        <v>304</v>
      </c>
      <c r="D363" s="12" t="s">
        <v>40</v>
      </c>
      <c r="E363" s="12" t="s">
        <v>40</v>
      </c>
      <c r="F363" s="12"/>
      <c r="G363" s="12" t="s">
        <v>40</v>
      </c>
      <c r="H363" s="12" t="s">
        <v>40</v>
      </c>
      <c r="I363" s="12"/>
      <c r="J363" s="12"/>
      <c r="K363" s="12" t="s">
        <v>40</v>
      </c>
      <c r="L363" s="12">
        <v>120000</v>
      </c>
      <c r="M363" s="15">
        <f t="shared" si="77"/>
        <v>7</v>
      </c>
      <c r="N363" s="15">
        <f>+IF(K363="X",1,0)</f>
        <v>1</v>
      </c>
      <c r="O363" s="12">
        <v>120000</v>
      </c>
      <c r="P363" s="12">
        <f>+L363/12</f>
        <v>10000</v>
      </c>
      <c r="Q363" s="12">
        <f>+O363/12</f>
        <v>10000</v>
      </c>
    </row>
    <row r="364" spans="1:17" x14ac:dyDescent="0.3">
      <c r="A364" s="1">
        <f t="shared" si="79"/>
        <v>22</v>
      </c>
      <c r="B364" s="10"/>
      <c r="C364" s="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6"/>
      <c r="O364" s="13"/>
      <c r="P364" s="13"/>
      <c r="Q364" s="13"/>
    </row>
    <row r="365" spans="1:17" x14ac:dyDescent="0.3">
      <c r="A365" s="1">
        <f t="shared" si="79"/>
        <v>23</v>
      </c>
      <c r="B365" s="2" t="s">
        <v>309</v>
      </c>
      <c r="C365" s="3" t="s">
        <v>304</v>
      </c>
      <c r="D365" s="12" t="s">
        <v>40</v>
      </c>
      <c r="E365" s="12" t="s">
        <v>40</v>
      </c>
      <c r="F365" s="12"/>
      <c r="G365" s="12"/>
      <c r="H365" s="12" t="s">
        <v>40</v>
      </c>
      <c r="I365" s="12" t="s">
        <v>40</v>
      </c>
      <c r="J365" s="12"/>
      <c r="K365" s="12"/>
      <c r="L365" s="12">
        <v>118878.75</v>
      </c>
      <c r="M365" s="15">
        <f t="shared" si="77"/>
        <v>10</v>
      </c>
      <c r="N365" s="15">
        <f t="shared" ref="N365:N367" si="89">+IF(K365="X",1,0)</f>
        <v>0</v>
      </c>
      <c r="O365" s="12">
        <v>118878.75</v>
      </c>
      <c r="P365" s="12">
        <f t="shared" ref="P365:P367" si="90">+L365/12</f>
        <v>9906.5625</v>
      </c>
      <c r="Q365" s="12">
        <f t="shared" ref="Q365:Q367" si="91">+O365/12</f>
        <v>9906.5625</v>
      </c>
    </row>
    <row r="366" spans="1:17" x14ac:dyDescent="0.3">
      <c r="A366" s="1">
        <f t="shared" si="79"/>
        <v>24</v>
      </c>
      <c r="B366" s="10"/>
      <c r="C366" s="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6"/>
      <c r="O366" s="13"/>
      <c r="P366" s="13"/>
      <c r="Q366" s="13"/>
    </row>
    <row r="367" spans="1:17" x14ac:dyDescent="0.3">
      <c r="A367" s="1">
        <f t="shared" si="79"/>
        <v>25</v>
      </c>
      <c r="B367" s="2" t="s">
        <v>308</v>
      </c>
      <c r="C367" s="3" t="s">
        <v>304</v>
      </c>
      <c r="D367" s="50" t="s">
        <v>40</v>
      </c>
      <c r="E367" s="50" t="s">
        <v>40</v>
      </c>
      <c r="F367" s="50" t="s">
        <v>40</v>
      </c>
      <c r="G367" s="50" t="s">
        <v>40</v>
      </c>
      <c r="H367" s="50" t="s">
        <v>40</v>
      </c>
      <c r="I367" s="50" t="s">
        <v>40</v>
      </c>
      <c r="J367" s="50" t="s">
        <v>901</v>
      </c>
      <c r="K367" s="12"/>
      <c r="L367" s="12">
        <v>18000</v>
      </c>
      <c r="M367" s="15">
        <f t="shared" si="77"/>
        <v>17</v>
      </c>
      <c r="N367" s="15">
        <f t="shared" si="89"/>
        <v>0</v>
      </c>
      <c r="O367" s="12">
        <v>18000</v>
      </c>
      <c r="P367" s="12">
        <f t="shared" si="90"/>
        <v>1500</v>
      </c>
      <c r="Q367" s="12">
        <f t="shared" si="91"/>
        <v>1500</v>
      </c>
    </row>
    <row r="368" spans="1:17" x14ac:dyDescent="0.3">
      <c r="A368" s="1">
        <f t="shared" si="79"/>
        <v>26</v>
      </c>
      <c r="B368" s="10"/>
      <c r="C368" s="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6"/>
      <c r="O368" s="13"/>
      <c r="P368" s="13"/>
      <c r="Q368" s="13"/>
    </row>
    <row r="369" spans="1:21" x14ac:dyDescent="0.3">
      <c r="A369" s="1">
        <f t="shared" si="79"/>
        <v>27</v>
      </c>
      <c r="B369" s="10"/>
      <c r="C369" s="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6"/>
      <c r="O369" s="13"/>
      <c r="P369" s="13"/>
      <c r="Q369" s="13"/>
    </row>
    <row r="370" spans="1:21" x14ac:dyDescent="0.3">
      <c r="A370" s="1">
        <f t="shared" si="79"/>
        <v>28</v>
      </c>
      <c r="B370" s="10"/>
      <c r="C370" s="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6"/>
      <c r="O370" s="13"/>
      <c r="P370" s="13"/>
      <c r="Q370" s="13"/>
    </row>
    <row r="371" spans="1:21" x14ac:dyDescent="0.3">
      <c r="A371" s="1">
        <f t="shared" si="79"/>
        <v>29</v>
      </c>
      <c r="B371" s="10"/>
      <c r="C371" s="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6"/>
      <c r="O371" s="13"/>
      <c r="P371" s="13"/>
      <c r="Q371" s="13"/>
    </row>
    <row r="372" spans="1:21" x14ac:dyDescent="0.3">
      <c r="A372" s="1">
        <f t="shared" si="79"/>
        <v>30</v>
      </c>
      <c r="B372" s="10"/>
      <c r="C372" s="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6"/>
      <c r="O372" s="13"/>
      <c r="P372" s="13"/>
      <c r="Q372" s="13"/>
    </row>
    <row r="373" spans="1:21" x14ac:dyDescent="0.3">
      <c r="D373"/>
      <c r="E373"/>
      <c r="F373"/>
      <c r="G373"/>
      <c r="H373"/>
      <c r="I373"/>
      <c r="J373"/>
      <c r="L373" s="14">
        <f>+AVERAGE(L343:L372)</f>
        <v>53268.263888888891</v>
      </c>
      <c r="M373" s="14">
        <f>+AVERAGE(M343:M372)</f>
        <v>7.9444444444444446</v>
      </c>
      <c r="N373" s="14">
        <f>+SUM(N343:N372)</f>
        <v>2</v>
      </c>
      <c r="O373" s="14">
        <f>+AVERAGE(O343:O372)</f>
        <v>49260.716666666667</v>
      </c>
      <c r="P373" s="14">
        <f>+AVERAGE(P343:P372)</f>
        <v>4439.0219907407409</v>
      </c>
      <c r="Q373" s="14">
        <f>+AVERAGE(Q343:Q372)</f>
        <v>4105.0597222222223</v>
      </c>
    </row>
    <row r="374" spans="1:21" x14ac:dyDescent="0.3">
      <c r="D374"/>
      <c r="E374"/>
      <c r="F374"/>
      <c r="G374"/>
      <c r="H374"/>
      <c r="I374"/>
      <c r="J374"/>
      <c r="L374" s="14">
        <f>+STDEV(L343:L372)</f>
        <v>45845.143283929872</v>
      </c>
      <c r="M374" s="14">
        <f>+STDEV(M343:M372)</f>
        <v>5.3848613748307192</v>
      </c>
      <c r="N374" s="17"/>
      <c r="O374" s="14">
        <f>+STDEV(O343:O372)</f>
        <v>31659.080872700117</v>
      </c>
      <c r="P374" s="14">
        <f>+STDEV(P343:P372)</f>
        <v>3820.4286069941568</v>
      </c>
      <c r="Q374" s="14">
        <f>+STDEV(Q343:Q372)</f>
        <v>2638.2567393916775</v>
      </c>
    </row>
    <row r="375" spans="1:21" x14ac:dyDescent="0.3">
      <c r="D375"/>
      <c r="E375"/>
      <c r="F375"/>
      <c r="G375"/>
      <c r="H375"/>
      <c r="I375" s="15"/>
      <c r="J375" s="15"/>
      <c r="K375" s="11" t="s">
        <v>75</v>
      </c>
      <c r="L375" s="14">
        <f>+COUNTIF(L343:L372,0)</f>
        <v>2</v>
      </c>
      <c r="M375" s="14">
        <f>+COUNT(M343:M372)</f>
        <v>18</v>
      </c>
      <c r="P375" s="14">
        <f>+COUNTIF(P343:P372,0)</f>
        <v>2</v>
      </c>
    </row>
    <row r="376" spans="1:21" x14ac:dyDescent="0.3">
      <c r="D376"/>
      <c r="E376"/>
      <c r="F376"/>
      <c r="G376"/>
      <c r="H376"/>
      <c r="I376"/>
      <c r="J376"/>
    </row>
    <row r="377" spans="1:21" x14ac:dyDescent="0.3">
      <c r="A377" s="1">
        <v>1</v>
      </c>
      <c r="B377" s="4" t="s">
        <v>322</v>
      </c>
      <c r="C377" s="3" t="s">
        <v>318</v>
      </c>
      <c r="D377" s="12" t="s">
        <v>40</v>
      </c>
      <c r="E377" s="12" t="s">
        <v>40</v>
      </c>
      <c r="F377" s="12"/>
      <c r="G377" s="12"/>
      <c r="H377" s="12" t="s">
        <v>40</v>
      </c>
      <c r="I377" s="12"/>
      <c r="J377" s="12"/>
      <c r="K377" s="12"/>
      <c r="L377" s="12">
        <v>3399</v>
      </c>
      <c r="M377" s="15">
        <f>+IF(D377="X",1,0)+IF(E377="X",1,0)+IF(F377="X",2,0)+IF(G377="X",2,0)+IF(H377="X",3,IF(H377="Y",1.5,0))+IF(I377="X",5,IF(I377="Y",2.5,0))+IF(J377="X1",10,IF(J377="X2",5,IF(J377="X3",3,0)))</f>
        <v>5</v>
      </c>
      <c r="N377" s="15">
        <f>+IF(K377="X",1,0)</f>
        <v>0</v>
      </c>
      <c r="O377" s="12">
        <v>121000</v>
      </c>
      <c r="P377" s="12">
        <f t="shared" ref="P377:P403" si="92">+L377/12</f>
        <v>283.25</v>
      </c>
      <c r="Q377" s="12">
        <f t="shared" ref="Q377:Q404" si="93">+O377/12</f>
        <v>10083.333333333334</v>
      </c>
    </row>
    <row r="378" spans="1:21" x14ac:dyDescent="0.3">
      <c r="A378" s="1">
        <f>+A377+1</f>
        <v>2</v>
      </c>
      <c r="B378" s="2">
        <v>40767221</v>
      </c>
      <c r="C378" s="3" t="s">
        <v>318</v>
      </c>
      <c r="D378" s="12" t="s">
        <v>40</v>
      </c>
      <c r="E378" s="12" t="s">
        <v>40</v>
      </c>
      <c r="F378" s="12"/>
      <c r="G378" s="12"/>
      <c r="H378" s="12" t="s">
        <v>40</v>
      </c>
      <c r="I378" s="12"/>
      <c r="J378" s="12"/>
      <c r="K378" s="12" t="s">
        <v>40</v>
      </c>
      <c r="L378" s="12">
        <v>121000</v>
      </c>
      <c r="M378" s="15">
        <f t="shared" ref="M378:M406" si="94">+IF(D378="X",1,0)+IF(E378="X",1,0)+IF(F378="X",2,0)+IF(G378="X",2,0)+IF(H378="X",3,IF(H378="Y",1.5,0))+IF(I378="X",5,IF(I378="Y",2.5,0))+IF(J378="X1",10,IF(J378="X2",5,IF(J378="X3",3,0)))</f>
        <v>5</v>
      </c>
      <c r="N378" s="15">
        <f t="shared" ref="N378:N406" si="95">+IF(K378="X",1,0)</f>
        <v>1</v>
      </c>
      <c r="O378" s="12">
        <v>121000</v>
      </c>
      <c r="P378" s="12">
        <f t="shared" si="92"/>
        <v>10083.333333333334</v>
      </c>
      <c r="Q378" s="12">
        <f t="shared" si="93"/>
        <v>10083.333333333334</v>
      </c>
    </row>
    <row r="379" spans="1:21" x14ac:dyDescent="0.3">
      <c r="A379" s="1">
        <f t="shared" ref="A379:A406" si="96">+A378+1</f>
        <v>3</v>
      </c>
      <c r="B379" s="4" t="s">
        <v>323</v>
      </c>
      <c r="C379" s="3" t="s">
        <v>318</v>
      </c>
      <c r="D379" s="50" t="s">
        <v>40</v>
      </c>
      <c r="E379" s="50" t="s">
        <v>40</v>
      </c>
      <c r="F379" s="50"/>
      <c r="G379" s="50"/>
      <c r="H379" s="50" t="s">
        <v>40</v>
      </c>
      <c r="I379" s="50" t="s">
        <v>40</v>
      </c>
      <c r="J379" s="50" t="s">
        <v>896</v>
      </c>
      <c r="K379" s="12"/>
      <c r="L379" s="12">
        <v>343782</v>
      </c>
      <c r="M379" s="15">
        <f t="shared" si="94"/>
        <v>20</v>
      </c>
      <c r="N379" s="15">
        <f t="shared" si="95"/>
        <v>0</v>
      </c>
      <c r="O379" s="12">
        <v>343782</v>
      </c>
      <c r="P379" s="12">
        <f t="shared" si="92"/>
        <v>28648.5</v>
      </c>
      <c r="Q379" s="12">
        <f t="shared" si="93"/>
        <v>28648.5</v>
      </c>
    </row>
    <row r="380" spans="1:21" x14ac:dyDescent="0.3">
      <c r="A380" s="1">
        <f t="shared" si="96"/>
        <v>4</v>
      </c>
      <c r="B380" s="4" t="s">
        <v>324</v>
      </c>
      <c r="C380" s="3" t="s">
        <v>318</v>
      </c>
      <c r="D380" s="12" t="s">
        <v>40</v>
      </c>
      <c r="E380" s="12" t="s">
        <v>40</v>
      </c>
      <c r="F380" s="12"/>
      <c r="G380" s="12"/>
      <c r="H380" s="12" t="s">
        <v>40</v>
      </c>
      <c r="I380" s="12" t="s">
        <v>40</v>
      </c>
      <c r="J380" s="12"/>
      <c r="K380" s="12"/>
      <c r="L380" s="12">
        <v>162357</v>
      </c>
      <c r="M380" s="15">
        <f t="shared" si="94"/>
        <v>10</v>
      </c>
      <c r="N380" s="15">
        <f t="shared" si="95"/>
        <v>0</v>
      </c>
      <c r="O380" s="12">
        <v>162357</v>
      </c>
      <c r="P380" s="12">
        <f t="shared" si="92"/>
        <v>13529.75</v>
      </c>
      <c r="Q380" s="12">
        <f t="shared" si="93"/>
        <v>13529.75</v>
      </c>
      <c r="S380" t="s">
        <v>325</v>
      </c>
      <c r="T380" t="s">
        <v>151</v>
      </c>
    </row>
    <row r="381" spans="1:21" x14ac:dyDescent="0.3">
      <c r="A381" s="1">
        <f t="shared" si="96"/>
        <v>5</v>
      </c>
      <c r="B381" s="4" t="s">
        <v>326</v>
      </c>
      <c r="C381" s="3" t="s">
        <v>318</v>
      </c>
      <c r="D381" s="50" t="s">
        <v>40</v>
      </c>
      <c r="E381" s="50" t="s">
        <v>40</v>
      </c>
      <c r="F381" s="50"/>
      <c r="G381" s="50"/>
      <c r="H381" s="50" t="s">
        <v>40</v>
      </c>
      <c r="I381" s="50" t="s">
        <v>40</v>
      </c>
      <c r="J381" s="50" t="s">
        <v>897</v>
      </c>
      <c r="K381" s="12"/>
      <c r="L381" s="12">
        <v>46196</v>
      </c>
      <c r="M381" s="15">
        <f t="shared" si="94"/>
        <v>15</v>
      </c>
      <c r="N381" s="15">
        <f t="shared" si="95"/>
        <v>0</v>
      </c>
      <c r="O381" s="12">
        <v>46196</v>
      </c>
      <c r="P381" s="12">
        <f t="shared" si="92"/>
        <v>3849.6666666666665</v>
      </c>
      <c r="Q381" s="12">
        <f t="shared" si="93"/>
        <v>3849.6666666666665</v>
      </c>
    </row>
    <row r="382" spans="1:21" x14ac:dyDescent="0.3">
      <c r="A382" s="1">
        <f t="shared" si="96"/>
        <v>6</v>
      </c>
      <c r="B382" s="4" t="s">
        <v>327</v>
      </c>
      <c r="C382" s="3" t="s">
        <v>318</v>
      </c>
      <c r="D382" s="50" t="s">
        <v>40</v>
      </c>
      <c r="E382" s="50" t="s">
        <v>40</v>
      </c>
      <c r="F382" s="50"/>
      <c r="G382" s="50"/>
      <c r="H382" s="50" t="s">
        <v>40</v>
      </c>
      <c r="I382" s="50" t="s">
        <v>40</v>
      </c>
      <c r="J382" s="50" t="s">
        <v>897</v>
      </c>
      <c r="K382" s="12"/>
      <c r="L382" s="12">
        <v>559679</v>
      </c>
      <c r="M382" s="15">
        <f t="shared" si="94"/>
        <v>15</v>
      </c>
      <c r="N382" s="15">
        <f t="shared" si="95"/>
        <v>0</v>
      </c>
      <c r="O382" s="20"/>
      <c r="P382" s="12">
        <f t="shared" si="92"/>
        <v>46639.916666666664</v>
      </c>
      <c r="Q382" s="20"/>
    </row>
    <row r="383" spans="1:21" x14ac:dyDescent="0.3">
      <c r="A383" s="1">
        <f t="shared" si="96"/>
        <v>7</v>
      </c>
      <c r="B383" s="2">
        <v>25417613</v>
      </c>
      <c r="C383" s="3" t="s">
        <v>318</v>
      </c>
      <c r="D383" s="12" t="s">
        <v>40</v>
      </c>
      <c r="E383" s="12" t="s">
        <v>40</v>
      </c>
      <c r="F383" s="12" t="s">
        <v>40</v>
      </c>
      <c r="G383" s="12" t="s">
        <v>40</v>
      </c>
      <c r="H383" s="12" t="s">
        <v>40</v>
      </c>
      <c r="I383" s="12" t="s">
        <v>40</v>
      </c>
      <c r="J383" s="12"/>
      <c r="K383" s="12"/>
      <c r="L383" s="12">
        <v>2500</v>
      </c>
      <c r="M383" s="15">
        <f t="shared" si="94"/>
        <v>14</v>
      </c>
      <c r="N383" s="15">
        <f t="shared" si="95"/>
        <v>0</v>
      </c>
      <c r="O383" s="12">
        <v>2500</v>
      </c>
      <c r="P383" s="12">
        <f t="shared" si="92"/>
        <v>208.33333333333334</v>
      </c>
      <c r="Q383" s="12">
        <f t="shared" si="93"/>
        <v>208.33333333333334</v>
      </c>
    </row>
    <row r="384" spans="1:21" x14ac:dyDescent="0.3">
      <c r="A384" s="1">
        <f t="shared" si="96"/>
        <v>8</v>
      </c>
      <c r="B384" s="4" t="s">
        <v>328</v>
      </c>
      <c r="C384" s="3" t="s">
        <v>318</v>
      </c>
      <c r="D384" s="12" t="s">
        <v>40</v>
      </c>
      <c r="E384" s="12" t="s">
        <v>40</v>
      </c>
      <c r="F384" s="12"/>
      <c r="G384" s="12"/>
      <c r="H384" s="12" t="s">
        <v>40</v>
      </c>
      <c r="I384" s="12"/>
      <c r="J384" s="12"/>
      <c r="K384" s="12"/>
      <c r="L384" s="12">
        <v>60000</v>
      </c>
      <c r="M384" s="15">
        <f t="shared" si="94"/>
        <v>5</v>
      </c>
      <c r="N384" s="15">
        <f t="shared" si="95"/>
        <v>0</v>
      </c>
      <c r="O384" s="12">
        <v>60000</v>
      </c>
      <c r="P384" s="12">
        <f t="shared" si="92"/>
        <v>5000</v>
      </c>
      <c r="Q384" s="12">
        <f t="shared" si="93"/>
        <v>5000</v>
      </c>
      <c r="U384" t="s">
        <v>329</v>
      </c>
    </row>
    <row r="385" spans="1:17" x14ac:dyDescent="0.3">
      <c r="A385" s="1">
        <f t="shared" si="96"/>
        <v>9</v>
      </c>
      <c r="B385" s="2">
        <v>22103507</v>
      </c>
      <c r="C385" s="3" t="s">
        <v>318</v>
      </c>
      <c r="D385" s="12" t="s">
        <v>40</v>
      </c>
      <c r="E385" s="12" t="s">
        <v>40</v>
      </c>
      <c r="F385" s="12"/>
      <c r="G385" s="12"/>
      <c r="H385" s="12" t="s">
        <v>40</v>
      </c>
      <c r="I385" s="12"/>
      <c r="J385" s="12"/>
      <c r="K385" s="12"/>
      <c r="L385" s="12">
        <v>38000</v>
      </c>
      <c r="M385" s="15">
        <f t="shared" si="94"/>
        <v>5</v>
      </c>
      <c r="N385" s="15">
        <f t="shared" si="95"/>
        <v>0</v>
      </c>
      <c r="O385" s="12">
        <v>38000</v>
      </c>
      <c r="P385" s="12">
        <f t="shared" si="92"/>
        <v>3166.6666666666665</v>
      </c>
      <c r="Q385" s="12">
        <f t="shared" si="93"/>
        <v>3166.6666666666665</v>
      </c>
    </row>
    <row r="386" spans="1:17" x14ac:dyDescent="0.3">
      <c r="A386" s="1">
        <f t="shared" si="96"/>
        <v>10</v>
      </c>
      <c r="B386" s="4" t="s">
        <v>330</v>
      </c>
      <c r="C386" s="3" t="s">
        <v>318</v>
      </c>
      <c r="D386" s="50" t="s">
        <v>40</v>
      </c>
      <c r="E386" s="50" t="s">
        <v>40</v>
      </c>
      <c r="F386" s="50"/>
      <c r="G386" s="50"/>
      <c r="H386" s="50" t="s">
        <v>40</v>
      </c>
      <c r="I386" s="50"/>
      <c r="J386" s="50" t="s">
        <v>896</v>
      </c>
      <c r="K386" s="12"/>
      <c r="L386" s="12">
        <v>218400</v>
      </c>
      <c r="M386" s="15">
        <f t="shared" si="94"/>
        <v>15</v>
      </c>
      <c r="N386" s="15">
        <f t="shared" si="95"/>
        <v>0</v>
      </c>
      <c r="O386" s="12">
        <v>218400</v>
      </c>
      <c r="P386" s="12">
        <f t="shared" si="92"/>
        <v>18200</v>
      </c>
      <c r="Q386" s="12">
        <f t="shared" si="93"/>
        <v>18200</v>
      </c>
    </row>
    <row r="387" spans="1:17" x14ac:dyDescent="0.3">
      <c r="A387" s="1">
        <f t="shared" si="96"/>
        <v>11</v>
      </c>
      <c r="B387" s="2" t="s">
        <v>319</v>
      </c>
      <c r="C387" s="3" t="s">
        <v>318</v>
      </c>
      <c r="D387" s="12" t="s">
        <v>40</v>
      </c>
      <c r="E387" s="12" t="s">
        <v>40</v>
      </c>
      <c r="F387" s="12" t="s">
        <v>40</v>
      </c>
      <c r="G387" s="12"/>
      <c r="H387" s="12"/>
      <c r="I387" s="12"/>
      <c r="J387" s="12"/>
      <c r="K387" s="12"/>
      <c r="L387" s="12">
        <v>0</v>
      </c>
      <c r="M387" s="15">
        <f t="shared" si="94"/>
        <v>4</v>
      </c>
      <c r="N387" s="15">
        <f t="shared" si="95"/>
        <v>0</v>
      </c>
      <c r="O387" s="20"/>
      <c r="P387" s="12">
        <f t="shared" si="92"/>
        <v>0</v>
      </c>
      <c r="Q387" s="20"/>
    </row>
    <row r="388" spans="1:17" x14ac:dyDescent="0.3">
      <c r="A388" s="1">
        <f t="shared" si="96"/>
        <v>12</v>
      </c>
      <c r="B388" s="2" t="s">
        <v>320</v>
      </c>
      <c r="C388" s="3" t="s">
        <v>318</v>
      </c>
      <c r="D388" s="12" t="s">
        <v>40</v>
      </c>
      <c r="E388" s="12" t="s">
        <v>40</v>
      </c>
      <c r="F388" s="12"/>
      <c r="G388" s="12"/>
      <c r="H388" s="12" t="s">
        <v>40</v>
      </c>
      <c r="I388" s="12" t="s">
        <v>40</v>
      </c>
      <c r="J388" s="12"/>
      <c r="K388" s="12"/>
      <c r="L388" s="12">
        <v>103000</v>
      </c>
      <c r="M388" s="15">
        <f t="shared" si="94"/>
        <v>10</v>
      </c>
      <c r="N388" s="15">
        <f t="shared" si="95"/>
        <v>0</v>
      </c>
      <c r="O388" s="12">
        <v>103000</v>
      </c>
      <c r="P388" s="12">
        <f t="shared" si="92"/>
        <v>8583.3333333333339</v>
      </c>
      <c r="Q388" s="12">
        <f t="shared" si="93"/>
        <v>8583.3333333333339</v>
      </c>
    </row>
    <row r="389" spans="1:17" x14ac:dyDescent="0.3">
      <c r="A389" s="1">
        <f t="shared" si="96"/>
        <v>13</v>
      </c>
      <c r="B389" s="2">
        <v>21567095</v>
      </c>
      <c r="C389" s="3" t="s">
        <v>318</v>
      </c>
      <c r="D389" s="12" t="s">
        <v>40</v>
      </c>
      <c r="E389" s="12" t="s">
        <v>40</v>
      </c>
      <c r="F389" s="12"/>
      <c r="G389" s="12"/>
      <c r="H389" s="12"/>
      <c r="I389" s="12"/>
      <c r="J389" s="12"/>
      <c r="K389" s="12"/>
      <c r="L389" s="12">
        <v>7800</v>
      </c>
      <c r="M389" s="15">
        <f t="shared" si="94"/>
        <v>2</v>
      </c>
      <c r="N389" s="15">
        <f t="shared" si="95"/>
        <v>0</v>
      </c>
      <c r="O389" s="12">
        <v>7800</v>
      </c>
      <c r="P389" s="12">
        <f t="shared" si="92"/>
        <v>650</v>
      </c>
      <c r="Q389" s="12">
        <f t="shared" si="93"/>
        <v>650</v>
      </c>
    </row>
    <row r="390" spans="1:17" x14ac:dyDescent="0.3">
      <c r="A390" s="1">
        <f t="shared" si="96"/>
        <v>14</v>
      </c>
      <c r="B390" s="4" t="s">
        <v>331</v>
      </c>
      <c r="C390" s="3" t="s">
        <v>318</v>
      </c>
      <c r="D390" s="12" t="s">
        <v>40</v>
      </c>
      <c r="E390" s="12" t="s">
        <v>40</v>
      </c>
      <c r="F390" s="12"/>
      <c r="G390" s="12"/>
      <c r="H390" s="12"/>
      <c r="I390" s="12"/>
      <c r="J390" s="12"/>
      <c r="K390" s="12"/>
      <c r="L390" s="12">
        <v>4200</v>
      </c>
      <c r="M390" s="15">
        <f t="shared" si="94"/>
        <v>2</v>
      </c>
      <c r="N390" s="15">
        <f t="shared" si="95"/>
        <v>0</v>
      </c>
      <c r="O390" s="12">
        <v>4200</v>
      </c>
      <c r="P390" s="12">
        <f t="shared" si="92"/>
        <v>350</v>
      </c>
      <c r="Q390" s="12">
        <f t="shared" si="93"/>
        <v>350</v>
      </c>
    </row>
    <row r="391" spans="1:17" x14ac:dyDescent="0.3">
      <c r="A391" s="1">
        <f t="shared" si="96"/>
        <v>15</v>
      </c>
      <c r="B391" s="2" t="s">
        <v>321</v>
      </c>
      <c r="C391" s="3" t="s">
        <v>318</v>
      </c>
      <c r="D391" s="12" t="s">
        <v>40</v>
      </c>
      <c r="E391" s="12" t="s">
        <v>40</v>
      </c>
      <c r="F391" s="12"/>
      <c r="G391" s="12"/>
      <c r="H391" s="12"/>
      <c r="I391" s="12"/>
      <c r="J391" s="12"/>
      <c r="K391" s="12"/>
      <c r="L391" s="12">
        <v>0</v>
      </c>
      <c r="M391" s="15">
        <f t="shared" si="94"/>
        <v>2</v>
      </c>
      <c r="N391" s="15">
        <f t="shared" si="95"/>
        <v>0</v>
      </c>
      <c r="O391" s="20"/>
      <c r="P391" s="12">
        <f t="shared" si="92"/>
        <v>0</v>
      </c>
      <c r="Q391" s="20"/>
    </row>
    <row r="392" spans="1:17" x14ac:dyDescent="0.3">
      <c r="A392" s="1">
        <f t="shared" si="96"/>
        <v>16</v>
      </c>
      <c r="B392" s="2">
        <v>10160561</v>
      </c>
      <c r="C392" s="3" t="s">
        <v>318</v>
      </c>
      <c r="D392" s="12" t="s">
        <v>40</v>
      </c>
      <c r="E392" s="12" t="s">
        <v>40</v>
      </c>
      <c r="F392" s="12" t="s">
        <v>40</v>
      </c>
      <c r="G392" s="12"/>
      <c r="H392" s="12"/>
      <c r="I392" s="12"/>
      <c r="J392" s="12"/>
      <c r="K392" s="12"/>
      <c r="L392" s="12">
        <v>42188.639999999999</v>
      </c>
      <c r="M392" s="15">
        <f t="shared" si="94"/>
        <v>4</v>
      </c>
      <c r="N392" s="15">
        <f t="shared" si="95"/>
        <v>0</v>
      </c>
      <c r="O392" s="12">
        <v>42188.639999999999</v>
      </c>
      <c r="P392" s="12">
        <f t="shared" si="92"/>
        <v>3515.72</v>
      </c>
      <c r="Q392" s="12">
        <f t="shared" si="93"/>
        <v>3515.72</v>
      </c>
    </row>
    <row r="393" spans="1:17" x14ac:dyDescent="0.3">
      <c r="A393" s="1">
        <f t="shared" si="96"/>
        <v>17</v>
      </c>
      <c r="B393" s="2">
        <v>10762325</v>
      </c>
      <c r="C393" s="3" t="s">
        <v>318</v>
      </c>
      <c r="D393" s="12" t="s">
        <v>40</v>
      </c>
      <c r="E393" s="12" t="s">
        <v>40</v>
      </c>
      <c r="F393" s="12"/>
      <c r="G393" s="12"/>
      <c r="H393" s="12"/>
      <c r="I393" s="12"/>
      <c r="J393" s="12"/>
      <c r="K393" s="12"/>
      <c r="L393" s="12">
        <v>0</v>
      </c>
      <c r="M393" s="15">
        <f t="shared" si="94"/>
        <v>2</v>
      </c>
      <c r="N393" s="15">
        <f t="shared" si="95"/>
        <v>0</v>
      </c>
      <c r="O393" s="20"/>
      <c r="P393" s="12">
        <f t="shared" si="92"/>
        <v>0</v>
      </c>
      <c r="Q393" s="20"/>
    </row>
    <row r="394" spans="1:17" x14ac:dyDescent="0.3">
      <c r="A394" s="1">
        <f t="shared" si="96"/>
        <v>18</v>
      </c>
      <c r="B394" s="10"/>
      <c r="C394" s="9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6"/>
      <c r="O394" s="13"/>
      <c r="P394" s="13"/>
      <c r="Q394" s="13"/>
    </row>
    <row r="395" spans="1:17" x14ac:dyDescent="0.3">
      <c r="A395" s="1">
        <f t="shared" si="96"/>
        <v>19</v>
      </c>
      <c r="B395" s="10"/>
      <c r="C395" s="9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6"/>
      <c r="O395" s="13"/>
      <c r="P395" s="13"/>
      <c r="Q395" s="13"/>
    </row>
    <row r="396" spans="1:17" x14ac:dyDescent="0.3">
      <c r="A396" s="1">
        <f t="shared" si="96"/>
        <v>20</v>
      </c>
      <c r="B396" s="4" t="s">
        <v>332</v>
      </c>
      <c r="C396" s="3" t="s">
        <v>318</v>
      </c>
      <c r="D396" s="50" t="s">
        <v>40</v>
      </c>
      <c r="E396" s="50" t="s">
        <v>40</v>
      </c>
      <c r="F396" s="50"/>
      <c r="G396" s="50"/>
      <c r="H396" s="50" t="s">
        <v>40</v>
      </c>
      <c r="I396" s="50" t="s">
        <v>40</v>
      </c>
      <c r="J396" s="50" t="s">
        <v>897</v>
      </c>
      <c r="K396" s="12"/>
      <c r="L396" s="12">
        <v>147876</v>
      </c>
      <c r="M396" s="15">
        <f t="shared" si="94"/>
        <v>15</v>
      </c>
      <c r="N396" s="15">
        <f t="shared" si="95"/>
        <v>0</v>
      </c>
      <c r="O396" s="12">
        <v>147876</v>
      </c>
      <c r="P396" s="12">
        <f t="shared" si="92"/>
        <v>12323</v>
      </c>
      <c r="Q396" s="12">
        <f t="shared" si="93"/>
        <v>12323</v>
      </c>
    </row>
    <row r="397" spans="1:17" x14ac:dyDescent="0.3">
      <c r="A397" s="1">
        <f t="shared" si="96"/>
        <v>21</v>
      </c>
      <c r="B397" s="10"/>
      <c r="C397" s="9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6"/>
      <c r="O397" s="13"/>
      <c r="P397" s="13"/>
      <c r="Q397" s="13"/>
    </row>
    <row r="398" spans="1:17" x14ac:dyDescent="0.3">
      <c r="A398" s="1">
        <f t="shared" si="96"/>
        <v>22</v>
      </c>
      <c r="B398" s="2">
        <v>40469605</v>
      </c>
      <c r="C398" s="3" t="s">
        <v>318</v>
      </c>
      <c r="D398" s="12" t="s">
        <v>40</v>
      </c>
      <c r="E398" s="12" t="s">
        <v>40</v>
      </c>
      <c r="F398" s="12"/>
      <c r="G398" s="12"/>
      <c r="H398" s="12" t="s">
        <v>40</v>
      </c>
      <c r="I398" s="12" t="s">
        <v>40</v>
      </c>
      <c r="J398" s="12"/>
      <c r="K398" s="12"/>
      <c r="L398" s="12">
        <v>60000</v>
      </c>
      <c r="M398" s="15">
        <f t="shared" si="94"/>
        <v>10</v>
      </c>
      <c r="N398" s="15">
        <f t="shared" si="95"/>
        <v>0</v>
      </c>
      <c r="O398" s="12">
        <v>60000</v>
      </c>
      <c r="P398" s="12">
        <f t="shared" si="92"/>
        <v>5000</v>
      </c>
      <c r="Q398" s="12">
        <f t="shared" si="93"/>
        <v>5000</v>
      </c>
    </row>
    <row r="399" spans="1:17" x14ac:dyDescent="0.3">
      <c r="A399" s="1">
        <f t="shared" si="96"/>
        <v>23</v>
      </c>
      <c r="B399" s="10"/>
      <c r="C399" s="9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6"/>
      <c r="O399" s="13"/>
      <c r="P399" s="13"/>
      <c r="Q399" s="13"/>
    </row>
    <row r="400" spans="1:17" x14ac:dyDescent="0.3">
      <c r="A400" s="1">
        <f t="shared" si="96"/>
        <v>24</v>
      </c>
      <c r="B400" s="10"/>
      <c r="C400" s="9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6"/>
      <c r="O400" s="13"/>
      <c r="P400" s="13"/>
      <c r="Q400" s="13"/>
    </row>
    <row r="401" spans="1:21" x14ac:dyDescent="0.3">
      <c r="A401" s="1">
        <f t="shared" si="96"/>
        <v>25</v>
      </c>
      <c r="B401" s="2">
        <v>42077582</v>
      </c>
      <c r="C401" s="3" t="s">
        <v>318</v>
      </c>
      <c r="D401" s="12" t="s">
        <v>40</v>
      </c>
      <c r="E401" s="12" t="s">
        <v>40</v>
      </c>
      <c r="F401" s="12"/>
      <c r="G401" s="12"/>
      <c r="H401" s="12"/>
      <c r="I401" s="12"/>
      <c r="J401" s="12"/>
      <c r="K401" s="12"/>
      <c r="L401" s="12">
        <v>0</v>
      </c>
      <c r="M401" s="15">
        <f t="shared" si="94"/>
        <v>2</v>
      </c>
      <c r="N401" s="15">
        <f t="shared" si="95"/>
        <v>0</v>
      </c>
      <c r="O401" s="20"/>
      <c r="P401" s="12">
        <f t="shared" si="92"/>
        <v>0</v>
      </c>
      <c r="Q401" s="20"/>
    </row>
    <row r="402" spans="1:21" x14ac:dyDescent="0.3">
      <c r="A402" s="1">
        <f t="shared" si="96"/>
        <v>26</v>
      </c>
      <c r="B402" s="2">
        <v>32960241</v>
      </c>
      <c r="C402" s="3" t="s">
        <v>318</v>
      </c>
      <c r="D402" s="12" t="s">
        <v>40</v>
      </c>
      <c r="E402" s="12" t="s">
        <v>40</v>
      </c>
      <c r="F402" s="12"/>
      <c r="G402" s="12"/>
      <c r="H402" s="12"/>
      <c r="I402" s="12"/>
      <c r="J402" s="12"/>
      <c r="K402" s="12"/>
      <c r="L402" s="12">
        <v>33600</v>
      </c>
      <c r="M402" s="15">
        <f t="shared" si="94"/>
        <v>2</v>
      </c>
      <c r="N402" s="15">
        <f t="shared" si="95"/>
        <v>0</v>
      </c>
      <c r="O402" s="12">
        <v>33600</v>
      </c>
      <c r="P402" s="12">
        <f t="shared" si="92"/>
        <v>2800</v>
      </c>
      <c r="Q402" s="12">
        <f t="shared" si="93"/>
        <v>2800</v>
      </c>
    </row>
    <row r="403" spans="1:21" x14ac:dyDescent="0.3">
      <c r="A403" s="1">
        <f t="shared" si="96"/>
        <v>27</v>
      </c>
      <c r="B403" s="2">
        <v>25463894</v>
      </c>
      <c r="C403" s="3" t="s">
        <v>318</v>
      </c>
      <c r="D403" s="12" t="s">
        <v>40</v>
      </c>
      <c r="E403" s="12" t="s">
        <v>40</v>
      </c>
      <c r="F403" s="12"/>
      <c r="G403" s="12"/>
      <c r="H403" s="12"/>
      <c r="I403" s="12"/>
      <c r="J403" s="12"/>
      <c r="K403" s="12"/>
      <c r="L403" s="12">
        <v>0</v>
      </c>
      <c r="M403" s="15">
        <f t="shared" si="94"/>
        <v>2</v>
      </c>
      <c r="N403" s="15">
        <f t="shared" si="95"/>
        <v>0</v>
      </c>
      <c r="O403" s="20"/>
      <c r="P403" s="12">
        <f t="shared" si="92"/>
        <v>0</v>
      </c>
      <c r="Q403" s="20"/>
    </row>
    <row r="404" spans="1:21" x14ac:dyDescent="0.3">
      <c r="A404" s="1">
        <f t="shared" si="96"/>
        <v>28</v>
      </c>
      <c r="B404" s="2">
        <v>23012817</v>
      </c>
      <c r="C404" s="3" t="s">
        <v>318</v>
      </c>
      <c r="D404" s="12" t="s">
        <v>40</v>
      </c>
      <c r="E404" s="12" t="s">
        <v>40</v>
      </c>
      <c r="F404" s="12"/>
      <c r="G404" s="12"/>
      <c r="H404" s="12" t="s">
        <v>40</v>
      </c>
      <c r="I404" s="12" t="s">
        <v>40</v>
      </c>
      <c r="J404" s="12"/>
      <c r="K404" s="12"/>
      <c r="L404" s="12">
        <v>36000</v>
      </c>
      <c r="M404" s="15">
        <f t="shared" si="94"/>
        <v>10</v>
      </c>
      <c r="N404" s="15">
        <f t="shared" si="95"/>
        <v>0</v>
      </c>
      <c r="O404" s="12">
        <v>36000</v>
      </c>
      <c r="P404" s="12">
        <f>+L404/12</f>
        <v>3000</v>
      </c>
      <c r="Q404" s="12">
        <f t="shared" si="93"/>
        <v>3000</v>
      </c>
    </row>
    <row r="405" spans="1:21" x14ac:dyDescent="0.3">
      <c r="A405" s="1">
        <f t="shared" si="96"/>
        <v>29</v>
      </c>
      <c r="B405" s="10"/>
      <c r="C405" s="9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6"/>
      <c r="O405" s="13"/>
      <c r="P405" s="13"/>
      <c r="Q405" s="13"/>
    </row>
    <row r="406" spans="1:21" x14ac:dyDescent="0.3">
      <c r="A406" s="1">
        <f t="shared" si="96"/>
        <v>30</v>
      </c>
      <c r="B406" s="2">
        <v>31012948</v>
      </c>
      <c r="C406" s="3" t="s">
        <v>318</v>
      </c>
      <c r="D406" s="50" t="s">
        <v>40</v>
      </c>
      <c r="E406" s="50" t="s">
        <v>40</v>
      </c>
      <c r="F406" s="50"/>
      <c r="G406" s="50"/>
      <c r="H406" s="50" t="s">
        <v>40</v>
      </c>
      <c r="I406" s="50" t="s">
        <v>40</v>
      </c>
      <c r="J406" s="50" t="s">
        <v>897</v>
      </c>
      <c r="K406" s="12"/>
      <c r="L406" s="12">
        <v>101330</v>
      </c>
      <c r="M406" s="15">
        <f t="shared" si="94"/>
        <v>15</v>
      </c>
      <c r="N406" s="15">
        <f t="shared" si="95"/>
        <v>0</v>
      </c>
      <c r="O406" s="12">
        <v>101330</v>
      </c>
      <c r="P406" s="12">
        <f>+L406/12</f>
        <v>8444.1666666666661</v>
      </c>
      <c r="Q406" s="12">
        <f>+O406/12</f>
        <v>8444.1666666666661</v>
      </c>
    </row>
    <row r="407" spans="1:21" x14ac:dyDescent="0.3">
      <c r="D407"/>
      <c r="E407"/>
      <c r="F407"/>
      <c r="G407"/>
      <c r="H407"/>
      <c r="I407"/>
      <c r="J407"/>
      <c r="L407" s="14">
        <f>+AVERAGE(L377:L406)</f>
        <v>87137.818333333329</v>
      </c>
      <c r="M407" s="14">
        <f>+AVERAGE(M377:M406)</f>
        <v>7.958333333333333</v>
      </c>
      <c r="N407" s="14">
        <f>+SUM(N377:N406)</f>
        <v>1</v>
      </c>
      <c r="O407" s="14">
        <f>+AVERAGE(O377:O406)</f>
        <v>91623.868888888886</v>
      </c>
      <c r="P407" s="14">
        <f>+AVERAGE(P377:P406)</f>
        <v>7261.4848611111111</v>
      </c>
      <c r="Q407" s="14">
        <f>+AVERAGE(Q377:Q406)</f>
        <v>7635.3224074074078</v>
      </c>
    </row>
    <row r="408" spans="1:21" x14ac:dyDescent="0.3">
      <c r="D408"/>
      <c r="E408"/>
      <c r="F408"/>
      <c r="G408"/>
      <c r="H408"/>
      <c r="I408"/>
      <c r="J408"/>
      <c r="L408" s="14">
        <f>+STDEV(L377:L406)</f>
        <v>131168.21129318236</v>
      </c>
      <c r="M408" s="14">
        <f>+STDEV(M377:M406)</f>
        <v>5.7519687870794494</v>
      </c>
      <c r="N408" s="17"/>
      <c r="O408" s="14">
        <f>+STDEV(O377:O406)</f>
        <v>86849.884251682204</v>
      </c>
      <c r="P408" s="14">
        <f>+STDEV(P377:P406)</f>
        <v>10930.684274431864</v>
      </c>
      <c r="Q408" s="14">
        <f>+STDEV(Q377:Q406)</f>
        <v>7237.4903543068503</v>
      </c>
    </row>
    <row r="409" spans="1:21" x14ac:dyDescent="0.3">
      <c r="D409"/>
      <c r="E409"/>
      <c r="F409"/>
      <c r="G409"/>
      <c r="H409"/>
      <c r="I409" s="15"/>
      <c r="J409" s="15"/>
      <c r="K409" s="11" t="s">
        <v>75</v>
      </c>
      <c r="L409" s="14">
        <f>+COUNTIF(L377:L406,0)</f>
        <v>5</v>
      </c>
      <c r="M409" s="14">
        <f>+COUNT(M377:M406)</f>
        <v>24</v>
      </c>
      <c r="P409" s="14">
        <f>+COUNTIF(P377:P406,0)</f>
        <v>5</v>
      </c>
    </row>
    <row r="410" spans="1:21" x14ac:dyDescent="0.3">
      <c r="D410"/>
      <c r="E410"/>
      <c r="F410"/>
      <c r="G410"/>
      <c r="H410"/>
      <c r="I410"/>
      <c r="J410"/>
    </row>
    <row r="411" spans="1:21" x14ac:dyDescent="0.3">
      <c r="A411" s="1">
        <v>1</v>
      </c>
      <c r="B411" s="2" t="s">
        <v>334</v>
      </c>
      <c r="C411" s="3" t="s">
        <v>333</v>
      </c>
      <c r="D411" s="50" t="s">
        <v>40</v>
      </c>
      <c r="E411" s="50" t="s">
        <v>40</v>
      </c>
      <c r="F411" s="50"/>
      <c r="G411" s="50"/>
      <c r="H411" s="50" t="s">
        <v>40</v>
      </c>
      <c r="I411" s="50"/>
      <c r="J411" s="50" t="s">
        <v>896</v>
      </c>
      <c r="K411" s="12"/>
      <c r="L411" s="12">
        <v>129000</v>
      </c>
      <c r="M411" s="15">
        <f>+IF(D411="X",1,0)+IF(E411="X",1,0)+IF(F411="X",2,0)+IF(G411="X",2,0)+IF(H411="X",3,IF(H411="Y",1.5,0))+IF(I411="X",5,IF(I411="Y",2.5,0))+IF(J411="X1",10,IF(J411="X2",5,IF(J411="X3",3,0)))</f>
        <v>15</v>
      </c>
      <c r="N411" s="15">
        <f>+IF(K411="X",1,0)</f>
        <v>0</v>
      </c>
      <c r="O411" s="12">
        <v>542042.47</v>
      </c>
      <c r="P411" s="12">
        <f t="shared" ref="P411:P440" si="97">+L411/12</f>
        <v>10750</v>
      </c>
      <c r="Q411" s="12">
        <f t="shared" ref="Q411" si="98">+O411/12</f>
        <v>45170.205833333333</v>
      </c>
    </row>
    <row r="412" spans="1:21" x14ac:dyDescent="0.3">
      <c r="A412" s="1">
        <f>+A411+1</f>
        <v>2</v>
      </c>
      <c r="B412" s="2" t="s">
        <v>335</v>
      </c>
      <c r="C412" s="3" t="s">
        <v>333</v>
      </c>
      <c r="D412" s="12" t="s">
        <v>40</v>
      </c>
      <c r="E412" s="12" t="s">
        <v>40</v>
      </c>
      <c r="F412" s="12"/>
      <c r="G412" s="12"/>
      <c r="H412" s="12"/>
      <c r="I412" s="12"/>
      <c r="J412" s="12"/>
      <c r="K412" s="12"/>
      <c r="L412" s="12">
        <v>0</v>
      </c>
      <c r="M412" s="15">
        <f t="shared" ref="M412:M440" si="99">+IF(D412="X",1,0)+IF(E412="X",1,0)+IF(F412="X",2,0)+IF(G412="X",2,0)+IF(H412="X",3,IF(H412="Y",1.5,0))+IF(I412="X",5,IF(I412="Y",2.5,0))+IF(J412="X1",10,IF(J412="X2",5,IF(J412="X3",3,0)))</f>
        <v>2</v>
      </c>
      <c r="N412" s="15">
        <f t="shared" ref="N412:N440" si="100">+IF(K412="X",1,0)</f>
        <v>0</v>
      </c>
      <c r="O412" s="20"/>
      <c r="P412" s="12">
        <f t="shared" si="97"/>
        <v>0</v>
      </c>
      <c r="Q412" s="20"/>
      <c r="U412" t="s">
        <v>345</v>
      </c>
    </row>
    <row r="413" spans="1:21" x14ac:dyDescent="0.3">
      <c r="A413" s="1">
        <f t="shared" ref="A413:A440" si="101">+A412+1</f>
        <v>3</v>
      </c>
      <c r="B413" s="4" t="s">
        <v>346</v>
      </c>
      <c r="C413" s="3" t="s">
        <v>333</v>
      </c>
      <c r="D413" s="12" t="s">
        <v>40</v>
      </c>
      <c r="E413" s="12" t="s">
        <v>40</v>
      </c>
      <c r="F413" s="12"/>
      <c r="G413" s="12"/>
      <c r="H413" s="12" t="s">
        <v>40</v>
      </c>
      <c r="I413" s="12" t="s">
        <v>40</v>
      </c>
      <c r="J413" s="12"/>
      <c r="K413" s="12"/>
      <c r="L413" s="12">
        <v>542042.47</v>
      </c>
      <c r="M413" s="15">
        <f t="shared" si="99"/>
        <v>10</v>
      </c>
      <c r="N413" s="15">
        <f t="shared" si="100"/>
        <v>0</v>
      </c>
      <c r="O413" s="20"/>
      <c r="P413" s="12">
        <f t="shared" si="97"/>
        <v>45170.205833333333</v>
      </c>
      <c r="Q413" s="20"/>
    </row>
    <row r="414" spans="1:21" x14ac:dyDescent="0.3">
      <c r="A414" s="1">
        <f t="shared" si="101"/>
        <v>4</v>
      </c>
      <c r="B414" s="2" t="s">
        <v>336</v>
      </c>
      <c r="C414" s="3" t="s">
        <v>333</v>
      </c>
      <c r="D414" s="12" t="s">
        <v>40</v>
      </c>
      <c r="E414" s="12" t="s">
        <v>40</v>
      </c>
      <c r="F414" s="12"/>
      <c r="G414" s="12"/>
      <c r="H414" s="12" t="s">
        <v>40</v>
      </c>
      <c r="I414" s="12" t="s">
        <v>40</v>
      </c>
      <c r="J414" s="12"/>
      <c r="K414" s="12"/>
      <c r="L414" s="12">
        <v>119000</v>
      </c>
      <c r="M414" s="15">
        <f t="shared" si="99"/>
        <v>10</v>
      </c>
      <c r="N414" s="15">
        <f t="shared" si="100"/>
        <v>0</v>
      </c>
      <c r="O414" s="12">
        <v>119000</v>
      </c>
      <c r="P414" s="12">
        <f t="shared" si="97"/>
        <v>9916.6666666666661</v>
      </c>
      <c r="Q414" s="12">
        <f t="shared" ref="Q414:Q439" si="102">+O414/12</f>
        <v>9916.6666666666661</v>
      </c>
    </row>
    <row r="415" spans="1:21" x14ac:dyDescent="0.3">
      <c r="A415" s="1">
        <f t="shared" si="101"/>
        <v>5</v>
      </c>
      <c r="B415" s="4" t="s">
        <v>347</v>
      </c>
      <c r="C415" s="3" t="s">
        <v>333</v>
      </c>
      <c r="D415" s="50" t="s">
        <v>40</v>
      </c>
      <c r="E415" s="50" t="s">
        <v>40</v>
      </c>
      <c r="F415" s="50"/>
      <c r="G415" s="50"/>
      <c r="H415" s="50" t="s">
        <v>40</v>
      </c>
      <c r="I415" s="50" t="s">
        <v>40</v>
      </c>
      <c r="J415" s="50" t="s">
        <v>896</v>
      </c>
      <c r="K415" s="12"/>
      <c r="L415" s="12">
        <v>75299</v>
      </c>
      <c r="M415" s="15">
        <f t="shared" si="99"/>
        <v>20</v>
      </c>
      <c r="N415" s="15">
        <f t="shared" si="100"/>
        <v>0</v>
      </c>
      <c r="O415" s="12">
        <v>75299</v>
      </c>
      <c r="P415" s="12">
        <f t="shared" si="97"/>
        <v>6274.916666666667</v>
      </c>
      <c r="Q415" s="12">
        <f t="shared" si="102"/>
        <v>6274.916666666667</v>
      </c>
    </row>
    <row r="416" spans="1:21" x14ac:dyDescent="0.3">
      <c r="A416" s="1">
        <f t="shared" si="101"/>
        <v>6</v>
      </c>
      <c r="B416" s="2" t="s">
        <v>337</v>
      </c>
      <c r="C416" s="3" t="s">
        <v>333</v>
      </c>
      <c r="D416" s="12" t="s">
        <v>40</v>
      </c>
      <c r="E416" s="12" t="s">
        <v>40</v>
      </c>
      <c r="F416" s="12"/>
      <c r="G416" s="12"/>
      <c r="H416" s="12" t="s">
        <v>40</v>
      </c>
      <c r="I416" s="12" t="s">
        <v>40</v>
      </c>
      <c r="J416" s="12"/>
      <c r="K416" s="12"/>
      <c r="L416" s="12">
        <v>8000</v>
      </c>
      <c r="M416" s="15">
        <f t="shared" si="99"/>
        <v>10</v>
      </c>
      <c r="N416" s="15">
        <f t="shared" si="100"/>
        <v>0</v>
      </c>
      <c r="O416" s="12">
        <v>8000</v>
      </c>
      <c r="P416" s="12">
        <f t="shared" si="97"/>
        <v>666.66666666666663</v>
      </c>
      <c r="Q416" s="12">
        <f t="shared" si="102"/>
        <v>666.66666666666663</v>
      </c>
    </row>
    <row r="417" spans="1:17" x14ac:dyDescent="0.3">
      <c r="A417" s="1">
        <f t="shared" si="101"/>
        <v>7</v>
      </c>
      <c r="B417" s="2">
        <v>10271096</v>
      </c>
      <c r="C417" s="3" t="s">
        <v>333</v>
      </c>
      <c r="D417" s="12" t="s">
        <v>40</v>
      </c>
      <c r="E417" s="12" t="s">
        <v>40</v>
      </c>
      <c r="F417" s="12"/>
      <c r="G417" s="12"/>
      <c r="H417" s="12" t="s">
        <v>40</v>
      </c>
      <c r="I417" s="12" t="s">
        <v>40</v>
      </c>
      <c r="J417" s="12"/>
      <c r="K417" s="12"/>
      <c r="L417" s="12">
        <v>96695</v>
      </c>
      <c r="M417" s="15">
        <f t="shared" si="99"/>
        <v>10</v>
      </c>
      <c r="N417" s="15">
        <f t="shared" si="100"/>
        <v>0</v>
      </c>
      <c r="O417" s="12">
        <v>96695</v>
      </c>
      <c r="P417" s="12">
        <f t="shared" si="97"/>
        <v>8057.916666666667</v>
      </c>
      <c r="Q417" s="12">
        <f t="shared" si="102"/>
        <v>8057.916666666667</v>
      </c>
    </row>
    <row r="418" spans="1:17" x14ac:dyDescent="0.3">
      <c r="A418" s="1">
        <f t="shared" si="101"/>
        <v>8</v>
      </c>
      <c r="B418" s="2">
        <v>40422398</v>
      </c>
      <c r="C418" s="3" t="s">
        <v>333</v>
      </c>
      <c r="D418" s="50" t="s">
        <v>40</v>
      </c>
      <c r="E418" s="50" t="s">
        <v>40</v>
      </c>
      <c r="F418" s="50"/>
      <c r="G418" s="50"/>
      <c r="H418" s="50" t="s">
        <v>40</v>
      </c>
      <c r="I418" s="50" t="s">
        <v>40</v>
      </c>
      <c r="J418" s="50" t="s">
        <v>897</v>
      </c>
      <c r="K418" s="12"/>
      <c r="L418" s="12">
        <v>133167</v>
      </c>
      <c r="M418" s="15">
        <f t="shared" si="99"/>
        <v>15</v>
      </c>
      <c r="N418" s="15">
        <f t="shared" si="100"/>
        <v>0</v>
      </c>
      <c r="O418" s="12">
        <v>133167</v>
      </c>
      <c r="P418" s="12">
        <f t="shared" si="97"/>
        <v>11097.25</v>
      </c>
      <c r="Q418" s="12">
        <f t="shared" si="102"/>
        <v>11097.25</v>
      </c>
    </row>
    <row r="419" spans="1:17" x14ac:dyDescent="0.3">
      <c r="A419" s="1">
        <f t="shared" si="101"/>
        <v>9</v>
      </c>
      <c r="B419" s="4" t="s">
        <v>348</v>
      </c>
      <c r="C419" s="3" t="s">
        <v>333</v>
      </c>
      <c r="D419" s="12" t="s">
        <v>40</v>
      </c>
      <c r="E419" s="12" t="s">
        <v>40</v>
      </c>
      <c r="F419" s="12"/>
      <c r="G419" s="12"/>
      <c r="H419" s="12" t="s">
        <v>40</v>
      </c>
      <c r="I419" s="12"/>
      <c r="J419" s="12"/>
      <c r="K419" s="12"/>
      <c r="L419" s="12">
        <v>417802</v>
      </c>
      <c r="M419" s="15">
        <f t="shared" si="99"/>
        <v>5</v>
      </c>
      <c r="N419" s="15">
        <f t="shared" si="100"/>
        <v>0</v>
      </c>
      <c r="O419" s="12">
        <v>417802</v>
      </c>
      <c r="P419" s="12">
        <f t="shared" si="97"/>
        <v>34816.833333333336</v>
      </c>
      <c r="Q419" s="12">
        <f t="shared" si="102"/>
        <v>34816.833333333336</v>
      </c>
    </row>
    <row r="420" spans="1:17" x14ac:dyDescent="0.3">
      <c r="A420" s="1">
        <f t="shared" si="101"/>
        <v>10</v>
      </c>
      <c r="B420" s="4" t="s">
        <v>349</v>
      </c>
      <c r="C420" s="3" t="s">
        <v>333</v>
      </c>
      <c r="D420" s="12" t="s">
        <v>40</v>
      </c>
      <c r="E420" s="12" t="s">
        <v>40</v>
      </c>
      <c r="F420" s="12"/>
      <c r="G420" s="12"/>
      <c r="H420" s="12" t="s">
        <v>40</v>
      </c>
      <c r="I420" s="12"/>
      <c r="J420" s="12"/>
      <c r="K420" s="12"/>
      <c r="L420" s="12">
        <v>194000</v>
      </c>
      <c r="M420" s="15">
        <f t="shared" si="99"/>
        <v>5</v>
      </c>
      <c r="N420" s="15">
        <f t="shared" si="100"/>
        <v>0</v>
      </c>
      <c r="O420" s="12">
        <v>194000</v>
      </c>
      <c r="P420" s="12">
        <f t="shared" si="97"/>
        <v>16166.666666666666</v>
      </c>
      <c r="Q420" s="12">
        <f t="shared" si="102"/>
        <v>16166.666666666666</v>
      </c>
    </row>
    <row r="421" spans="1:17" x14ac:dyDescent="0.3">
      <c r="A421" s="1">
        <f t="shared" si="101"/>
        <v>11</v>
      </c>
      <c r="B421" s="2">
        <v>10336504</v>
      </c>
      <c r="C421" s="3" t="s">
        <v>333</v>
      </c>
      <c r="D421" s="12" t="s">
        <v>40</v>
      </c>
      <c r="E421" s="12" t="s">
        <v>40</v>
      </c>
      <c r="F421" s="12"/>
      <c r="G421" s="12"/>
      <c r="H421" s="12" t="s">
        <v>40</v>
      </c>
      <c r="I421" s="12"/>
      <c r="J421" s="12"/>
      <c r="K421" s="12"/>
      <c r="L421" s="12">
        <v>80000</v>
      </c>
      <c r="M421" s="15">
        <f t="shared" si="99"/>
        <v>5</v>
      </c>
      <c r="N421" s="15">
        <f t="shared" si="100"/>
        <v>0</v>
      </c>
      <c r="O421" s="12">
        <v>80000</v>
      </c>
      <c r="P421" s="12">
        <f t="shared" si="97"/>
        <v>6666.666666666667</v>
      </c>
      <c r="Q421" s="12">
        <f t="shared" si="102"/>
        <v>6666.666666666667</v>
      </c>
    </row>
    <row r="422" spans="1:17" x14ac:dyDescent="0.3">
      <c r="A422" s="1">
        <f t="shared" si="101"/>
        <v>12</v>
      </c>
      <c r="B422" s="2" t="s">
        <v>338</v>
      </c>
      <c r="C422" s="3" t="s">
        <v>333</v>
      </c>
      <c r="D422" s="12" t="s">
        <v>40</v>
      </c>
      <c r="E422" s="12" t="s">
        <v>40</v>
      </c>
      <c r="F422" s="12"/>
      <c r="G422" s="12"/>
      <c r="H422" s="12" t="s">
        <v>40</v>
      </c>
      <c r="I422" s="12"/>
      <c r="J422" s="12"/>
      <c r="K422" s="12"/>
      <c r="L422" s="12">
        <v>38000</v>
      </c>
      <c r="M422" s="15">
        <f t="shared" si="99"/>
        <v>5</v>
      </c>
      <c r="N422" s="15">
        <f t="shared" si="100"/>
        <v>0</v>
      </c>
      <c r="O422" s="12">
        <v>38000</v>
      </c>
      <c r="P422" s="12">
        <f t="shared" si="97"/>
        <v>3166.6666666666665</v>
      </c>
      <c r="Q422" s="12">
        <f t="shared" si="102"/>
        <v>3166.6666666666665</v>
      </c>
    </row>
    <row r="423" spans="1:17" x14ac:dyDescent="0.3">
      <c r="A423" s="1">
        <f t="shared" si="101"/>
        <v>13</v>
      </c>
      <c r="B423" s="4" t="s">
        <v>350</v>
      </c>
      <c r="C423" s="3" t="s">
        <v>333</v>
      </c>
      <c r="D423" s="12" t="s">
        <v>40</v>
      </c>
      <c r="E423" s="12" t="s">
        <v>40</v>
      </c>
      <c r="F423" s="12"/>
      <c r="G423" s="12"/>
      <c r="H423" s="12"/>
      <c r="I423" s="12"/>
      <c r="J423" s="12"/>
      <c r="K423" s="12"/>
      <c r="L423" s="12">
        <v>70000</v>
      </c>
      <c r="M423" s="15">
        <f t="shared" si="99"/>
        <v>2</v>
      </c>
      <c r="N423" s="15">
        <f t="shared" si="100"/>
        <v>0</v>
      </c>
      <c r="O423" s="12">
        <v>70000</v>
      </c>
      <c r="P423" s="12">
        <f t="shared" si="97"/>
        <v>5833.333333333333</v>
      </c>
      <c r="Q423" s="12">
        <f t="shared" si="102"/>
        <v>5833.333333333333</v>
      </c>
    </row>
    <row r="424" spans="1:17" x14ac:dyDescent="0.3">
      <c r="A424" s="1">
        <f t="shared" si="101"/>
        <v>14</v>
      </c>
      <c r="B424" s="2" t="s">
        <v>339</v>
      </c>
      <c r="C424" s="3" t="s">
        <v>333</v>
      </c>
      <c r="D424" s="12" t="s">
        <v>40</v>
      </c>
      <c r="E424" s="12" t="s">
        <v>40</v>
      </c>
      <c r="F424" s="12"/>
      <c r="G424" s="12"/>
      <c r="H424" s="12" t="s">
        <v>40</v>
      </c>
      <c r="I424" s="12"/>
      <c r="J424" s="12"/>
      <c r="K424" s="12"/>
      <c r="L424" s="12">
        <v>9600</v>
      </c>
      <c r="M424" s="15">
        <f t="shared" si="99"/>
        <v>5</v>
      </c>
      <c r="N424" s="15">
        <f t="shared" si="100"/>
        <v>0</v>
      </c>
      <c r="O424" s="12">
        <v>9600</v>
      </c>
      <c r="P424" s="12">
        <f t="shared" si="97"/>
        <v>800</v>
      </c>
      <c r="Q424" s="12">
        <f t="shared" si="102"/>
        <v>800</v>
      </c>
    </row>
    <row r="425" spans="1:17" x14ac:dyDescent="0.3">
      <c r="A425" s="1">
        <f t="shared" si="101"/>
        <v>15</v>
      </c>
      <c r="B425" s="4" t="s">
        <v>351</v>
      </c>
      <c r="C425" s="3" t="s">
        <v>333</v>
      </c>
      <c r="D425" s="50" t="s">
        <v>40</v>
      </c>
      <c r="E425" s="50" t="s">
        <v>40</v>
      </c>
      <c r="F425" s="50"/>
      <c r="G425" s="50"/>
      <c r="H425" s="50" t="s">
        <v>40</v>
      </c>
      <c r="I425" s="50" t="s">
        <v>40</v>
      </c>
      <c r="J425" s="50" t="s">
        <v>897</v>
      </c>
      <c r="K425" s="12"/>
      <c r="L425" s="12">
        <v>200744.44</v>
      </c>
      <c r="M425" s="15">
        <f t="shared" si="99"/>
        <v>15</v>
      </c>
      <c r="N425" s="15">
        <f t="shared" si="100"/>
        <v>0</v>
      </c>
      <c r="O425" s="12">
        <v>200744.44</v>
      </c>
      <c r="P425" s="12">
        <f t="shared" si="97"/>
        <v>16728.703333333335</v>
      </c>
      <c r="Q425" s="12">
        <f t="shared" si="102"/>
        <v>16728.703333333335</v>
      </c>
    </row>
    <row r="426" spans="1:17" x14ac:dyDescent="0.3">
      <c r="A426" s="1">
        <f t="shared" si="101"/>
        <v>16</v>
      </c>
      <c r="B426" s="2">
        <v>15449983</v>
      </c>
      <c r="C426" s="3" t="s">
        <v>333</v>
      </c>
      <c r="D426" s="12" t="s">
        <v>40</v>
      </c>
      <c r="E426" s="12" t="s">
        <v>40</v>
      </c>
      <c r="F426" s="12"/>
      <c r="G426" s="12"/>
      <c r="H426" s="12"/>
      <c r="I426" s="12"/>
      <c r="J426" s="12"/>
      <c r="K426" s="12"/>
      <c r="L426" s="12">
        <v>13560</v>
      </c>
      <c r="M426" s="15">
        <f t="shared" si="99"/>
        <v>2</v>
      </c>
      <c r="N426" s="15">
        <f t="shared" si="100"/>
        <v>0</v>
      </c>
      <c r="O426" s="12">
        <v>13560</v>
      </c>
      <c r="P426" s="12">
        <f t="shared" si="97"/>
        <v>1130</v>
      </c>
      <c r="Q426" s="12">
        <f t="shared" si="102"/>
        <v>1130</v>
      </c>
    </row>
    <row r="427" spans="1:17" x14ac:dyDescent="0.3">
      <c r="A427" s="1">
        <f t="shared" si="101"/>
        <v>17</v>
      </c>
      <c r="B427" s="28" t="s">
        <v>352</v>
      </c>
      <c r="C427" s="3" t="s">
        <v>333</v>
      </c>
      <c r="D427" s="50" t="s">
        <v>40</v>
      </c>
      <c r="E427" s="50" t="s">
        <v>40</v>
      </c>
      <c r="F427" s="50"/>
      <c r="G427" s="50"/>
      <c r="H427" s="50" t="s">
        <v>40</v>
      </c>
      <c r="I427" s="50" t="s">
        <v>40</v>
      </c>
      <c r="J427" s="50" t="s">
        <v>897</v>
      </c>
      <c r="K427" s="12"/>
      <c r="L427" s="12">
        <v>252000</v>
      </c>
      <c r="M427" s="15">
        <f t="shared" si="99"/>
        <v>15</v>
      </c>
      <c r="N427" s="15">
        <f t="shared" si="100"/>
        <v>0</v>
      </c>
      <c r="O427" s="12">
        <v>252000</v>
      </c>
      <c r="P427" s="12">
        <f t="shared" si="97"/>
        <v>21000</v>
      </c>
      <c r="Q427" s="12">
        <f t="shared" si="102"/>
        <v>21000</v>
      </c>
    </row>
    <row r="428" spans="1:17" x14ac:dyDescent="0.3">
      <c r="A428" s="1">
        <f t="shared" si="101"/>
        <v>18</v>
      </c>
      <c r="B428" s="2" t="s">
        <v>340</v>
      </c>
      <c r="C428" s="3" t="s">
        <v>333</v>
      </c>
      <c r="D428" s="12" t="s">
        <v>40</v>
      </c>
      <c r="E428" s="12" t="s">
        <v>40</v>
      </c>
      <c r="F428" s="12"/>
      <c r="G428" s="12"/>
      <c r="H428" s="12"/>
      <c r="I428" s="12"/>
      <c r="J428" s="12"/>
      <c r="K428" s="12"/>
      <c r="L428" s="12">
        <v>13560</v>
      </c>
      <c r="M428" s="15">
        <f t="shared" si="99"/>
        <v>2</v>
      </c>
      <c r="N428" s="15">
        <f t="shared" si="100"/>
        <v>0</v>
      </c>
      <c r="O428" s="12">
        <v>13560</v>
      </c>
      <c r="P428" s="12">
        <f t="shared" si="97"/>
        <v>1130</v>
      </c>
      <c r="Q428" s="12">
        <f t="shared" si="102"/>
        <v>1130</v>
      </c>
    </row>
    <row r="429" spans="1:17" x14ac:dyDescent="0.3">
      <c r="A429" s="1">
        <f t="shared" si="101"/>
        <v>19</v>
      </c>
      <c r="B429" s="2" t="s">
        <v>341</v>
      </c>
      <c r="C429" s="3" t="s">
        <v>333</v>
      </c>
      <c r="D429" s="12" t="s">
        <v>40</v>
      </c>
      <c r="E429" s="12" t="s">
        <v>40</v>
      </c>
      <c r="F429" s="12"/>
      <c r="G429" s="12"/>
      <c r="H429" s="12" t="s">
        <v>40</v>
      </c>
      <c r="I429" s="12" t="s">
        <v>40</v>
      </c>
      <c r="J429" s="12"/>
      <c r="K429" s="12"/>
      <c r="L429" s="12">
        <v>37000</v>
      </c>
      <c r="M429" s="15">
        <f t="shared" si="99"/>
        <v>10</v>
      </c>
      <c r="N429" s="15">
        <f t="shared" si="100"/>
        <v>0</v>
      </c>
      <c r="O429" s="12">
        <v>37000</v>
      </c>
      <c r="P429" s="12">
        <f t="shared" si="97"/>
        <v>3083.3333333333335</v>
      </c>
      <c r="Q429" s="12">
        <f t="shared" si="102"/>
        <v>3083.3333333333335</v>
      </c>
    </row>
    <row r="430" spans="1:17" x14ac:dyDescent="0.3">
      <c r="A430" s="1">
        <f t="shared" si="101"/>
        <v>20</v>
      </c>
      <c r="B430" s="2" t="s">
        <v>342</v>
      </c>
      <c r="C430" s="3" t="s">
        <v>333</v>
      </c>
      <c r="D430" s="12" t="s">
        <v>40</v>
      </c>
      <c r="E430" s="12" t="s">
        <v>40</v>
      </c>
      <c r="F430" s="12"/>
      <c r="G430" s="12"/>
      <c r="H430" s="12"/>
      <c r="I430" s="12"/>
      <c r="J430" s="12"/>
      <c r="K430" s="12"/>
      <c r="L430" s="12">
        <v>13560</v>
      </c>
      <c r="M430" s="15">
        <f t="shared" si="99"/>
        <v>2</v>
      </c>
      <c r="N430" s="15">
        <f t="shared" si="100"/>
        <v>0</v>
      </c>
      <c r="O430" s="12">
        <v>13560</v>
      </c>
      <c r="P430" s="12">
        <f t="shared" si="97"/>
        <v>1130</v>
      </c>
      <c r="Q430" s="12">
        <f t="shared" si="102"/>
        <v>1130</v>
      </c>
    </row>
    <row r="431" spans="1:17" x14ac:dyDescent="0.3">
      <c r="A431" s="1">
        <f t="shared" si="101"/>
        <v>21</v>
      </c>
      <c r="B431" s="10"/>
      <c r="C431" s="9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6"/>
      <c r="O431" s="13"/>
      <c r="P431" s="13"/>
      <c r="Q431" s="13"/>
    </row>
    <row r="432" spans="1:17" x14ac:dyDescent="0.3">
      <c r="A432" s="1">
        <f t="shared" si="101"/>
        <v>22</v>
      </c>
      <c r="B432" s="10"/>
      <c r="C432" s="9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6"/>
      <c r="O432" s="13"/>
      <c r="P432" s="13"/>
      <c r="Q432" s="13"/>
    </row>
    <row r="433" spans="1:17" x14ac:dyDescent="0.3">
      <c r="A433" s="1">
        <f t="shared" si="101"/>
        <v>23</v>
      </c>
      <c r="B433" s="2">
        <v>10490414</v>
      </c>
      <c r="C433" s="3" t="s">
        <v>333</v>
      </c>
      <c r="D433" s="12" t="s">
        <v>40</v>
      </c>
      <c r="E433" s="12" t="s">
        <v>40</v>
      </c>
      <c r="F433" s="12"/>
      <c r="G433" s="12"/>
      <c r="H433" s="12"/>
      <c r="I433" s="12"/>
      <c r="J433" s="12"/>
      <c r="K433" s="12"/>
      <c r="L433" s="12">
        <v>42397</v>
      </c>
      <c r="M433" s="15">
        <f t="shared" si="99"/>
        <v>2</v>
      </c>
      <c r="N433" s="15">
        <f t="shared" si="100"/>
        <v>0</v>
      </c>
      <c r="O433" s="12">
        <v>42397</v>
      </c>
      <c r="P433" s="12">
        <f t="shared" si="97"/>
        <v>3533.0833333333335</v>
      </c>
      <c r="Q433" s="12">
        <f t="shared" si="102"/>
        <v>3533.0833333333335</v>
      </c>
    </row>
    <row r="434" spans="1:17" x14ac:dyDescent="0.3">
      <c r="A434" s="1">
        <f t="shared" si="101"/>
        <v>24</v>
      </c>
      <c r="B434" s="10"/>
      <c r="C434" s="9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6"/>
      <c r="O434" s="13"/>
      <c r="P434" s="13"/>
      <c r="Q434" s="13"/>
    </row>
    <row r="435" spans="1:17" x14ac:dyDescent="0.3">
      <c r="A435" s="1">
        <f t="shared" si="101"/>
        <v>25</v>
      </c>
      <c r="B435" s="2">
        <v>10006370</v>
      </c>
      <c r="C435" s="3" t="s">
        <v>333</v>
      </c>
      <c r="D435" s="12" t="s">
        <v>40</v>
      </c>
      <c r="E435" s="12" t="s">
        <v>40</v>
      </c>
      <c r="F435" s="12"/>
      <c r="G435" s="12"/>
      <c r="H435" s="12" t="s">
        <v>40</v>
      </c>
      <c r="I435" s="12" t="s">
        <v>40</v>
      </c>
      <c r="J435" s="12"/>
      <c r="K435" s="12"/>
      <c r="L435" s="12">
        <v>258000</v>
      </c>
      <c r="M435" s="15">
        <f t="shared" si="99"/>
        <v>10</v>
      </c>
      <c r="N435" s="15">
        <f t="shared" si="100"/>
        <v>0</v>
      </c>
      <c r="O435" s="12">
        <v>258000</v>
      </c>
      <c r="P435" s="12">
        <f t="shared" si="97"/>
        <v>21500</v>
      </c>
      <c r="Q435" s="12">
        <f t="shared" si="102"/>
        <v>21500</v>
      </c>
    </row>
    <row r="436" spans="1:17" x14ac:dyDescent="0.3">
      <c r="A436" s="1">
        <f t="shared" si="101"/>
        <v>26</v>
      </c>
      <c r="B436" s="2">
        <v>40095926</v>
      </c>
      <c r="C436" s="3" t="s">
        <v>333</v>
      </c>
      <c r="D436" s="50" t="s">
        <v>40</v>
      </c>
      <c r="E436" s="50" t="s">
        <v>40</v>
      </c>
      <c r="F436" s="50"/>
      <c r="G436" s="50"/>
      <c r="H436" s="50" t="s">
        <v>40</v>
      </c>
      <c r="I436" s="50" t="s">
        <v>40</v>
      </c>
      <c r="J436" s="50" t="s">
        <v>897</v>
      </c>
      <c r="K436" s="12"/>
      <c r="L436" s="12">
        <v>70000</v>
      </c>
      <c r="M436" s="15">
        <f t="shared" si="99"/>
        <v>15</v>
      </c>
      <c r="N436" s="15">
        <f t="shared" si="100"/>
        <v>0</v>
      </c>
      <c r="O436" s="12">
        <v>70000</v>
      </c>
      <c r="P436" s="12">
        <f t="shared" si="97"/>
        <v>5833.333333333333</v>
      </c>
      <c r="Q436" s="12">
        <f t="shared" si="102"/>
        <v>5833.333333333333</v>
      </c>
    </row>
    <row r="437" spans="1:17" x14ac:dyDescent="0.3">
      <c r="A437" s="1">
        <f t="shared" si="101"/>
        <v>27</v>
      </c>
      <c r="B437" s="2" t="s">
        <v>343</v>
      </c>
      <c r="C437" s="3" t="s">
        <v>333</v>
      </c>
      <c r="D437" s="12" t="s">
        <v>40</v>
      </c>
      <c r="E437" s="12" t="s">
        <v>40</v>
      </c>
      <c r="F437" s="12"/>
      <c r="G437" s="12"/>
      <c r="H437" s="12"/>
      <c r="I437" s="12"/>
      <c r="J437" s="12"/>
      <c r="K437" s="12"/>
      <c r="L437" s="12">
        <v>36000</v>
      </c>
      <c r="M437" s="15">
        <f t="shared" si="99"/>
        <v>2</v>
      </c>
      <c r="N437" s="15">
        <f t="shared" si="100"/>
        <v>0</v>
      </c>
      <c r="O437" s="12">
        <v>36000</v>
      </c>
      <c r="P437" s="12">
        <f t="shared" si="97"/>
        <v>3000</v>
      </c>
      <c r="Q437" s="12">
        <f t="shared" si="102"/>
        <v>3000</v>
      </c>
    </row>
    <row r="438" spans="1:17" x14ac:dyDescent="0.3">
      <c r="A438" s="1">
        <f t="shared" si="101"/>
        <v>28</v>
      </c>
      <c r="B438" s="2">
        <v>16002270</v>
      </c>
      <c r="C438" s="3" t="s">
        <v>333</v>
      </c>
      <c r="D438" s="12" t="s">
        <v>40</v>
      </c>
      <c r="E438" s="12" t="s">
        <v>40</v>
      </c>
      <c r="F438" s="12"/>
      <c r="G438" s="12"/>
      <c r="H438" s="12" t="s">
        <v>40</v>
      </c>
      <c r="I438" s="12"/>
      <c r="J438" s="12"/>
      <c r="K438" s="12"/>
      <c r="L438" s="12">
        <v>92000</v>
      </c>
      <c r="M438" s="15">
        <f t="shared" si="99"/>
        <v>5</v>
      </c>
      <c r="N438" s="15">
        <f t="shared" si="100"/>
        <v>0</v>
      </c>
      <c r="O438" s="12">
        <v>92000</v>
      </c>
      <c r="P438" s="12">
        <f t="shared" si="97"/>
        <v>7666.666666666667</v>
      </c>
      <c r="Q438" s="12">
        <f t="shared" si="102"/>
        <v>7666.666666666667</v>
      </c>
    </row>
    <row r="439" spans="1:17" x14ac:dyDescent="0.3">
      <c r="A439" s="1">
        <f t="shared" si="101"/>
        <v>29</v>
      </c>
      <c r="B439" s="2" t="s">
        <v>344</v>
      </c>
      <c r="C439" s="3" t="s">
        <v>333</v>
      </c>
      <c r="D439" s="12" t="s">
        <v>40</v>
      </c>
      <c r="E439" s="12" t="s">
        <v>40</v>
      </c>
      <c r="F439" s="12"/>
      <c r="G439" s="12"/>
      <c r="H439" s="12"/>
      <c r="I439" s="12"/>
      <c r="J439" s="12"/>
      <c r="K439" s="12"/>
      <c r="L439" s="12">
        <v>21600</v>
      </c>
      <c r="M439" s="15">
        <f t="shared" si="99"/>
        <v>2</v>
      </c>
      <c r="N439" s="15">
        <f t="shared" si="100"/>
        <v>0</v>
      </c>
      <c r="O439" s="12">
        <v>21600</v>
      </c>
      <c r="P439" s="12">
        <f t="shared" si="97"/>
        <v>1800</v>
      </c>
      <c r="Q439" s="12">
        <f t="shared" si="102"/>
        <v>1800</v>
      </c>
    </row>
    <row r="440" spans="1:17" x14ac:dyDescent="0.3">
      <c r="A440" s="1">
        <f t="shared" si="101"/>
        <v>30</v>
      </c>
      <c r="B440" s="2">
        <v>28313802</v>
      </c>
      <c r="C440" s="3" t="s">
        <v>333</v>
      </c>
      <c r="D440" s="12" t="s">
        <v>40</v>
      </c>
      <c r="E440" s="12" t="s">
        <v>40</v>
      </c>
      <c r="F440" s="12"/>
      <c r="G440" s="12"/>
      <c r="H440" s="12"/>
      <c r="I440" s="12"/>
      <c r="J440" s="12"/>
      <c r="K440" s="12"/>
      <c r="L440" s="12">
        <v>0</v>
      </c>
      <c r="M440" s="15">
        <f t="shared" si="99"/>
        <v>2</v>
      </c>
      <c r="N440" s="15">
        <f t="shared" si="100"/>
        <v>0</v>
      </c>
      <c r="O440" s="20"/>
      <c r="P440" s="12">
        <f t="shared" si="97"/>
        <v>0</v>
      </c>
      <c r="Q440" s="20"/>
    </row>
    <row r="441" spans="1:17" x14ac:dyDescent="0.3">
      <c r="B441" s="29"/>
      <c r="D441"/>
      <c r="E441"/>
      <c r="F441"/>
      <c r="G441"/>
      <c r="H441"/>
      <c r="I441"/>
      <c r="J441"/>
      <c r="L441" s="14">
        <f>+AVERAGE(L411:L440)</f>
        <v>109741.73740740742</v>
      </c>
      <c r="M441" s="14">
        <f>+AVERAGE(M411:M440)</f>
        <v>7.5185185185185182</v>
      </c>
      <c r="N441" s="14">
        <f>+SUM(N411:N440)</f>
        <v>0</v>
      </c>
      <c r="O441" s="14">
        <f>+AVERAGE(O411:O440)</f>
        <v>118084.45458333334</v>
      </c>
      <c r="P441" s="14">
        <f>+AVERAGE(P411:P440)</f>
        <v>9145.1447839506181</v>
      </c>
      <c r="Q441" s="14">
        <f>+AVERAGE(Q411:Q440)</f>
        <v>9840.3712152777789</v>
      </c>
    </row>
    <row r="442" spans="1:17" x14ac:dyDescent="0.3">
      <c r="D442"/>
      <c r="E442"/>
      <c r="F442"/>
      <c r="G442"/>
      <c r="H442"/>
      <c r="I442"/>
      <c r="J442"/>
      <c r="L442" s="14">
        <f>+STDEV(L411:L440)</f>
        <v>131046.57397486776</v>
      </c>
      <c r="M442" s="14">
        <f>+STDEV(M411:M440)</f>
        <v>5.4938453001823939</v>
      </c>
      <c r="N442" s="17"/>
      <c r="O442" s="14">
        <f>+STDEV(O411:O440)</f>
        <v>135193.18182267196</v>
      </c>
      <c r="P442" s="14">
        <f>+STDEV(P411:P440)</f>
        <v>10920.547831238981</v>
      </c>
      <c r="Q442" s="14">
        <f>+STDEV(Q411:Q440)</f>
        <v>11266.098485222665</v>
      </c>
    </row>
    <row r="443" spans="1:17" x14ac:dyDescent="0.3">
      <c r="D443"/>
      <c r="E443"/>
      <c r="F443"/>
      <c r="G443"/>
      <c r="H443"/>
      <c r="I443" s="15"/>
      <c r="J443" s="15"/>
      <c r="K443" s="11" t="s">
        <v>75</v>
      </c>
      <c r="L443" s="14">
        <f>+COUNTIF(L411:L440,0)</f>
        <v>2</v>
      </c>
      <c r="M443" s="14">
        <f>+COUNT(M411:M440)</f>
        <v>27</v>
      </c>
      <c r="P443" s="14">
        <f>+COUNTIF(P411:P440,0)</f>
        <v>2</v>
      </c>
    </row>
    <row r="444" spans="1:17" x14ac:dyDescent="0.3">
      <c r="D444"/>
      <c r="E444"/>
      <c r="F444"/>
      <c r="G444"/>
      <c r="H444"/>
      <c r="I444"/>
      <c r="J444"/>
    </row>
    <row r="445" spans="1:17" x14ac:dyDescent="0.3">
      <c r="A445" s="1">
        <v>1</v>
      </c>
      <c r="B445" s="2">
        <v>16468258</v>
      </c>
      <c r="C445" s="3" t="s">
        <v>353</v>
      </c>
      <c r="D445" s="12" t="s">
        <v>40</v>
      </c>
      <c r="E445" s="12" t="s">
        <v>40</v>
      </c>
      <c r="F445" s="12"/>
      <c r="G445" s="12"/>
      <c r="H445" s="12" t="s">
        <v>40</v>
      </c>
      <c r="I445" s="12" t="s">
        <v>40</v>
      </c>
      <c r="J445" s="12"/>
      <c r="K445" s="12"/>
      <c r="L445" s="12">
        <v>769014.91</v>
      </c>
      <c r="M445" s="15">
        <f>+IF(D445="X",1,0)+IF(E445="X",1,0)+IF(F445="X",2,0)+IF(G445="X",2,0)+IF(H445="X",3,IF(H445="Y",1.5,0))+IF(I445="X",5,IF(I445="Y",2.5,0))+IF(J445="X1",10,IF(J445="X2",5,IF(J445="X3",3,0)))</f>
        <v>10</v>
      </c>
      <c r="N445" s="15">
        <f>+IF(K445="X",1,0)</f>
        <v>0</v>
      </c>
      <c r="O445" s="20"/>
      <c r="P445" s="12">
        <f t="shared" ref="P445:P474" si="103">+L445/12</f>
        <v>64084.575833333336</v>
      </c>
      <c r="Q445" s="20"/>
    </row>
    <row r="446" spans="1:17" x14ac:dyDescent="0.3">
      <c r="A446" s="1">
        <f>+A445+1</f>
        <v>2</v>
      </c>
      <c r="B446" s="2" t="s">
        <v>354</v>
      </c>
      <c r="C446" s="3" t="s">
        <v>353</v>
      </c>
      <c r="D446" s="12" t="s">
        <v>40</v>
      </c>
      <c r="E446" s="12" t="s">
        <v>40</v>
      </c>
      <c r="F446" s="12"/>
      <c r="G446" s="12"/>
      <c r="H446" s="12" t="s">
        <v>40</v>
      </c>
      <c r="I446" s="12" t="s">
        <v>40</v>
      </c>
      <c r="J446" s="12"/>
      <c r="K446" s="12"/>
      <c r="L446" s="12">
        <v>17658</v>
      </c>
      <c r="M446" s="15">
        <f t="shared" ref="M446:M474" si="104">+IF(D446="X",1,0)+IF(E446="X",1,0)+IF(F446="X",2,0)+IF(G446="X",2,0)+IF(H446="X",3,IF(H446="Y",1.5,0))+IF(I446="X",5,IF(I446="Y",2.5,0))+IF(J446="X1",10,IF(J446="X2",5,IF(J446="X3",3,0)))</f>
        <v>10</v>
      </c>
      <c r="N446" s="15">
        <f t="shared" ref="N446:N474" si="105">+IF(K446="X",1,0)</f>
        <v>0</v>
      </c>
      <c r="O446" s="12">
        <v>17658</v>
      </c>
      <c r="P446" s="12">
        <f t="shared" si="103"/>
        <v>1471.5</v>
      </c>
      <c r="Q446" s="12">
        <f t="shared" ref="Q446:Q474" si="106">+O446/12</f>
        <v>1471.5</v>
      </c>
    </row>
    <row r="447" spans="1:17" x14ac:dyDescent="0.3">
      <c r="A447" s="1">
        <f t="shared" ref="A447:A474" si="107">+A446+1</f>
        <v>3</v>
      </c>
      <c r="B447" s="2" t="s">
        <v>355</v>
      </c>
      <c r="C447" s="3" t="s">
        <v>353</v>
      </c>
      <c r="D447" s="12" t="s">
        <v>40</v>
      </c>
      <c r="E447" s="12" t="s">
        <v>40</v>
      </c>
      <c r="F447" s="12" t="s">
        <v>40</v>
      </c>
      <c r="G447" s="12" t="s">
        <v>40</v>
      </c>
      <c r="H447" s="12" t="s">
        <v>40</v>
      </c>
      <c r="I447" s="12" t="s">
        <v>40</v>
      </c>
      <c r="J447" s="12"/>
      <c r="K447" s="12"/>
      <c r="L447" s="12">
        <v>1763.6</v>
      </c>
      <c r="M447" s="15">
        <f t="shared" si="104"/>
        <v>14</v>
      </c>
      <c r="N447" s="15">
        <f t="shared" si="105"/>
        <v>0</v>
      </c>
      <c r="O447" s="12">
        <v>1763.6</v>
      </c>
      <c r="P447" s="12">
        <f t="shared" si="103"/>
        <v>146.96666666666667</v>
      </c>
      <c r="Q447" s="12">
        <f t="shared" si="106"/>
        <v>146.96666666666667</v>
      </c>
    </row>
    <row r="448" spans="1:17" x14ac:dyDescent="0.3">
      <c r="A448" s="1">
        <f t="shared" si="107"/>
        <v>4</v>
      </c>
      <c r="B448" s="2" t="s">
        <v>356</v>
      </c>
      <c r="C448" s="3" t="s">
        <v>353</v>
      </c>
      <c r="D448" s="12" t="s">
        <v>40</v>
      </c>
      <c r="E448" s="12" t="s">
        <v>40</v>
      </c>
      <c r="F448" s="12"/>
      <c r="G448" s="12"/>
      <c r="H448" s="12" t="s">
        <v>40</v>
      </c>
      <c r="I448" s="12"/>
      <c r="J448" s="12"/>
      <c r="K448" s="12"/>
      <c r="L448" s="12">
        <v>77456.039999999994</v>
      </c>
      <c r="M448" s="15">
        <f t="shared" si="104"/>
        <v>5</v>
      </c>
      <c r="N448" s="15">
        <f t="shared" si="105"/>
        <v>0</v>
      </c>
      <c r="O448" s="12">
        <v>77456.039999999994</v>
      </c>
      <c r="P448" s="12">
        <f t="shared" si="103"/>
        <v>6454.6699999999992</v>
      </c>
      <c r="Q448" s="12">
        <f t="shared" si="106"/>
        <v>6454.6699999999992</v>
      </c>
    </row>
    <row r="449" spans="1:21" x14ac:dyDescent="0.3">
      <c r="A449" s="1">
        <f t="shared" si="107"/>
        <v>5</v>
      </c>
      <c r="B449" s="2" t="s">
        <v>357</v>
      </c>
      <c r="C449" s="3" t="s">
        <v>353</v>
      </c>
      <c r="D449" s="12" t="s">
        <v>40</v>
      </c>
      <c r="E449" s="12" t="s">
        <v>40</v>
      </c>
      <c r="F449" s="12"/>
      <c r="G449" s="12"/>
      <c r="H449" s="12" t="s">
        <v>40</v>
      </c>
      <c r="I449" s="12" t="s">
        <v>40</v>
      </c>
      <c r="J449" s="12"/>
      <c r="K449" s="12"/>
      <c r="L449" s="12">
        <v>411650</v>
      </c>
      <c r="M449" s="15">
        <f t="shared" si="104"/>
        <v>10</v>
      </c>
      <c r="N449" s="15">
        <f t="shared" si="105"/>
        <v>0</v>
      </c>
      <c r="O449" s="12">
        <v>411650</v>
      </c>
      <c r="P449" s="12">
        <f t="shared" si="103"/>
        <v>34304.166666666664</v>
      </c>
      <c r="Q449" s="12">
        <f t="shared" si="106"/>
        <v>34304.166666666664</v>
      </c>
      <c r="R449" t="s">
        <v>140</v>
      </c>
    </row>
    <row r="450" spans="1:21" x14ac:dyDescent="0.3">
      <c r="A450" s="1">
        <f t="shared" si="107"/>
        <v>6</v>
      </c>
      <c r="B450" s="2" t="s">
        <v>358</v>
      </c>
      <c r="C450" s="3" t="s">
        <v>353</v>
      </c>
      <c r="D450" s="12" t="s">
        <v>40</v>
      </c>
      <c r="E450" s="12" t="s">
        <v>40</v>
      </c>
      <c r="F450" s="12"/>
      <c r="G450" s="12"/>
      <c r="H450" s="12" t="s">
        <v>40</v>
      </c>
      <c r="I450" s="12" t="s">
        <v>40</v>
      </c>
      <c r="J450" s="12"/>
      <c r="K450" s="12"/>
      <c r="L450" s="12">
        <v>49605</v>
      </c>
      <c r="M450" s="15">
        <f t="shared" si="104"/>
        <v>10</v>
      </c>
      <c r="N450" s="15">
        <f t="shared" si="105"/>
        <v>0</v>
      </c>
      <c r="O450" s="12">
        <v>49605</v>
      </c>
      <c r="P450" s="12">
        <f t="shared" si="103"/>
        <v>4133.75</v>
      </c>
      <c r="Q450" s="12">
        <f t="shared" si="106"/>
        <v>4133.75</v>
      </c>
    </row>
    <row r="451" spans="1:21" x14ac:dyDescent="0.3">
      <c r="A451" s="1">
        <f t="shared" si="107"/>
        <v>7</v>
      </c>
      <c r="B451" s="2" t="s">
        <v>359</v>
      </c>
      <c r="C451" s="3" t="s">
        <v>353</v>
      </c>
      <c r="D451" s="12" t="s">
        <v>40</v>
      </c>
      <c r="E451" s="12" t="s">
        <v>40</v>
      </c>
      <c r="F451" s="12"/>
      <c r="G451" s="12"/>
      <c r="H451" s="12"/>
      <c r="I451" s="12"/>
      <c r="J451" s="12"/>
      <c r="K451" s="12"/>
      <c r="L451" s="12">
        <v>0</v>
      </c>
      <c r="M451" s="15">
        <f t="shared" si="104"/>
        <v>2</v>
      </c>
      <c r="N451" s="15">
        <f t="shared" si="105"/>
        <v>0</v>
      </c>
      <c r="O451" s="20"/>
      <c r="P451" s="12">
        <f t="shared" si="103"/>
        <v>0</v>
      </c>
      <c r="Q451" s="20"/>
    </row>
    <row r="452" spans="1:21" x14ac:dyDescent="0.3">
      <c r="A452" s="1">
        <f t="shared" si="107"/>
        <v>8</v>
      </c>
      <c r="B452" s="2" t="s">
        <v>360</v>
      </c>
      <c r="C452" s="3" t="s">
        <v>353</v>
      </c>
      <c r="D452" s="12" t="s">
        <v>40</v>
      </c>
      <c r="E452" s="12" t="s">
        <v>40</v>
      </c>
      <c r="F452" s="12"/>
      <c r="G452" s="12"/>
      <c r="H452" s="12" t="s">
        <v>40</v>
      </c>
      <c r="I452" s="12" t="s">
        <v>40</v>
      </c>
      <c r="J452" s="12"/>
      <c r="K452" s="12"/>
      <c r="L452" s="12">
        <v>54324</v>
      </c>
      <c r="M452" s="15">
        <f t="shared" si="104"/>
        <v>10</v>
      </c>
      <c r="N452" s="15">
        <f t="shared" si="105"/>
        <v>0</v>
      </c>
      <c r="O452" s="12">
        <v>54324</v>
      </c>
      <c r="P452" s="12">
        <f t="shared" si="103"/>
        <v>4527</v>
      </c>
      <c r="Q452" s="12">
        <f t="shared" si="106"/>
        <v>4527</v>
      </c>
    </row>
    <row r="453" spans="1:21" x14ac:dyDescent="0.3">
      <c r="A453" s="1">
        <f t="shared" si="107"/>
        <v>9</v>
      </c>
      <c r="B453" s="2" t="s">
        <v>361</v>
      </c>
      <c r="C453" s="3" t="s">
        <v>353</v>
      </c>
      <c r="D453" s="12" t="s">
        <v>40</v>
      </c>
      <c r="E453" s="12" t="s">
        <v>40</v>
      </c>
      <c r="F453" s="12"/>
      <c r="G453" s="12"/>
      <c r="H453" s="12" t="s">
        <v>40</v>
      </c>
      <c r="I453" s="12"/>
      <c r="J453" s="12"/>
      <c r="K453" s="12"/>
      <c r="L453" s="12">
        <v>50200</v>
      </c>
      <c r="M453" s="15">
        <f t="shared" si="104"/>
        <v>5</v>
      </c>
      <c r="N453" s="15">
        <f t="shared" si="105"/>
        <v>0</v>
      </c>
      <c r="O453" s="12">
        <v>50200</v>
      </c>
      <c r="P453" s="12">
        <f t="shared" si="103"/>
        <v>4183.333333333333</v>
      </c>
      <c r="Q453" s="12">
        <f t="shared" si="106"/>
        <v>4183.333333333333</v>
      </c>
    </row>
    <row r="454" spans="1:21" x14ac:dyDescent="0.3">
      <c r="A454" s="1">
        <f t="shared" si="107"/>
        <v>10</v>
      </c>
      <c r="B454" s="2" t="s">
        <v>362</v>
      </c>
      <c r="C454" s="3" t="s">
        <v>353</v>
      </c>
      <c r="D454" s="12" t="s">
        <v>40</v>
      </c>
      <c r="E454" s="12" t="s">
        <v>40</v>
      </c>
      <c r="F454" s="12" t="s">
        <v>40</v>
      </c>
      <c r="G454" s="12"/>
      <c r="H454" s="12"/>
      <c r="I454" s="12"/>
      <c r="J454" s="12"/>
      <c r="K454" s="12"/>
      <c r="L454" s="12">
        <v>12000</v>
      </c>
      <c r="M454" s="15">
        <f t="shared" si="104"/>
        <v>4</v>
      </c>
      <c r="N454" s="15">
        <f t="shared" si="105"/>
        <v>0</v>
      </c>
      <c r="O454" s="12">
        <v>12000</v>
      </c>
      <c r="P454" s="12">
        <f t="shared" si="103"/>
        <v>1000</v>
      </c>
      <c r="Q454" s="12">
        <f t="shared" si="106"/>
        <v>1000</v>
      </c>
    </row>
    <row r="455" spans="1:21" x14ac:dyDescent="0.3">
      <c r="A455" s="1">
        <f t="shared" si="107"/>
        <v>11</v>
      </c>
      <c r="B455" s="2" t="s">
        <v>363</v>
      </c>
      <c r="C455" s="3" t="s">
        <v>353</v>
      </c>
      <c r="D455" s="12" t="s">
        <v>40</v>
      </c>
      <c r="E455" s="12" t="s">
        <v>40</v>
      </c>
      <c r="F455" s="12"/>
      <c r="G455" s="12"/>
      <c r="H455" s="12"/>
      <c r="I455" s="12"/>
      <c r="J455" s="12"/>
      <c r="K455" s="12"/>
      <c r="L455" s="12">
        <v>15000</v>
      </c>
      <c r="M455" s="15">
        <f t="shared" si="104"/>
        <v>2</v>
      </c>
      <c r="N455" s="15">
        <f t="shared" si="105"/>
        <v>0</v>
      </c>
      <c r="O455" s="12">
        <v>15000</v>
      </c>
      <c r="P455" s="12">
        <f t="shared" si="103"/>
        <v>1250</v>
      </c>
      <c r="Q455" s="12">
        <f t="shared" si="106"/>
        <v>1250</v>
      </c>
    </row>
    <row r="456" spans="1:21" x14ac:dyDescent="0.3">
      <c r="A456" s="1">
        <f t="shared" si="107"/>
        <v>12</v>
      </c>
      <c r="B456" s="10"/>
      <c r="C456" s="9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6"/>
      <c r="O456" s="13"/>
      <c r="P456" s="13"/>
      <c r="Q456" s="13"/>
    </row>
    <row r="457" spans="1:21" x14ac:dyDescent="0.3">
      <c r="A457" s="1">
        <f t="shared" si="107"/>
        <v>13</v>
      </c>
      <c r="B457" s="2" t="s">
        <v>364</v>
      </c>
      <c r="C457" s="3" t="s">
        <v>353</v>
      </c>
      <c r="D457" s="12" t="s">
        <v>40</v>
      </c>
      <c r="E457" s="12" t="s">
        <v>40</v>
      </c>
      <c r="F457" s="12"/>
      <c r="G457" s="12"/>
      <c r="H457" s="12" t="s">
        <v>40</v>
      </c>
      <c r="I457" s="12" t="s">
        <v>40</v>
      </c>
      <c r="J457" s="12"/>
      <c r="K457" s="12"/>
      <c r="L457" s="12">
        <v>267531</v>
      </c>
      <c r="M457" s="15">
        <f t="shared" si="104"/>
        <v>10</v>
      </c>
      <c r="N457" s="15">
        <f t="shared" si="105"/>
        <v>0</v>
      </c>
      <c r="O457" s="12">
        <v>267531</v>
      </c>
      <c r="P457" s="12">
        <f t="shared" si="103"/>
        <v>22294.25</v>
      </c>
      <c r="Q457" s="12">
        <f t="shared" si="106"/>
        <v>22294.25</v>
      </c>
      <c r="U457" t="s">
        <v>365</v>
      </c>
    </row>
    <row r="458" spans="1:21" x14ac:dyDescent="0.3">
      <c r="A458" s="1">
        <f t="shared" si="107"/>
        <v>14</v>
      </c>
      <c r="B458" s="2" t="s">
        <v>366</v>
      </c>
      <c r="C458" s="3" t="s">
        <v>353</v>
      </c>
      <c r="D458" s="12" t="s">
        <v>40</v>
      </c>
      <c r="E458" s="12" t="s">
        <v>40</v>
      </c>
      <c r="F458" s="12"/>
      <c r="G458" s="12"/>
      <c r="H458" s="12" t="s">
        <v>40</v>
      </c>
      <c r="I458" s="12" t="s">
        <v>40</v>
      </c>
      <c r="J458" s="12"/>
      <c r="K458" s="12"/>
      <c r="L458" s="12">
        <v>33000</v>
      </c>
      <c r="M458" s="15">
        <f t="shared" si="104"/>
        <v>10</v>
      </c>
      <c r="N458" s="15">
        <f t="shared" si="105"/>
        <v>0</v>
      </c>
      <c r="O458" s="12">
        <v>33000</v>
      </c>
      <c r="P458" s="12">
        <f t="shared" si="103"/>
        <v>2750</v>
      </c>
      <c r="Q458" s="12">
        <f t="shared" si="106"/>
        <v>2750</v>
      </c>
    </row>
    <row r="459" spans="1:21" x14ac:dyDescent="0.3">
      <c r="A459" s="1">
        <f t="shared" si="107"/>
        <v>15</v>
      </c>
      <c r="B459" s="2" t="s">
        <v>367</v>
      </c>
      <c r="C459" s="3" t="s">
        <v>353</v>
      </c>
      <c r="D459" s="12" t="s">
        <v>40</v>
      </c>
      <c r="E459" s="12" t="s">
        <v>40</v>
      </c>
      <c r="F459" s="12"/>
      <c r="G459" s="12"/>
      <c r="H459" s="12"/>
      <c r="I459" s="12"/>
      <c r="J459" s="12"/>
      <c r="K459" s="12"/>
      <c r="L459" s="12">
        <v>0</v>
      </c>
      <c r="M459" s="15">
        <f t="shared" si="104"/>
        <v>2</v>
      </c>
      <c r="N459" s="15">
        <f t="shared" si="105"/>
        <v>0</v>
      </c>
      <c r="O459" s="20"/>
      <c r="P459" s="12">
        <f t="shared" si="103"/>
        <v>0</v>
      </c>
      <c r="Q459" s="20"/>
    </row>
    <row r="460" spans="1:21" x14ac:dyDescent="0.3">
      <c r="A460" s="1">
        <f t="shared" si="107"/>
        <v>16</v>
      </c>
      <c r="B460" s="2" t="s">
        <v>368</v>
      </c>
      <c r="C460" s="3" t="s">
        <v>353</v>
      </c>
      <c r="D460" s="12" t="s">
        <v>40</v>
      </c>
      <c r="E460" s="12" t="s">
        <v>40</v>
      </c>
      <c r="F460" s="12"/>
      <c r="G460" s="12"/>
      <c r="H460" s="12" t="s">
        <v>40</v>
      </c>
      <c r="I460" s="12"/>
      <c r="J460" s="12"/>
      <c r="K460" s="12"/>
      <c r="L460" s="12">
        <v>71916</v>
      </c>
      <c r="M460" s="15">
        <f t="shared" si="104"/>
        <v>5</v>
      </c>
      <c r="N460" s="15">
        <f t="shared" si="105"/>
        <v>0</v>
      </c>
      <c r="O460" s="12">
        <v>71916</v>
      </c>
      <c r="P460" s="12">
        <f t="shared" si="103"/>
        <v>5993</v>
      </c>
      <c r="Q460" s="12">
        <f t="shared" si="106"/>
        <v>5993</v>
      </c>
    </row>
    <row r="461" spans="1:21" x14ac:dyDescent="0.3">
      <c r="A461" s="1">
        <f t="shared" si="107"/>
        <v>17</v>
      </c>
      <c r="B461" s="2" t="s">
        <v>369</v>
      </c>
      <c r="C461" s="3" t="s">
        <v>353</v>
      </c>
      <c r="D461" s="12" t="s">
        <v>40</v>
      </c>
      <c r="E461" s="12" t="s">
        <v>40</v>
      </c>
      <c r="F461" s="12"/>
      <c r="G461" s="12"/>
      <c r="H461" s="12"/>
      <c r="I461" s="12"/>
      <c r="J461" s="12"/>
      <c r="K461" s="12"/>
      <c r="L461" s="12">
        <v>0</v>
      </c>
      <c r="M461" s="15">
        <f t="shared" si="104"/>
        <v>2</v>
      </c>
      <c r="N461" s="15">
        <f t="shared" si="105"/>
        <v>0</v>
      </c>
      <c r="O461" s="20"/>
      <c r="P461" s="12">
        <f t="shared" si="103"/>
        <v>0</v>
      </c>
      <c r="Q461" s="20"/>
      <c r="U461" t="s">
        <v>370</v>
      </c>
    </row>
    <row r="462" spans="1:21" x14ac:dyDescent="0.3">
      <c r="A462" s="1">
        <f t="shared" si="107"/>
        <v>18</v>
      </c>
      <c r="B462" s="2" t="s">
        <v>371</v>
      </c>
      <c r="C462" s="3" t="s">
        <v>353</v>
      </c>
      <c r="D462" s="12" t="s">
        <v>40</v>
      </c>
      <c r="E462" s="12" t="s">
        <v>40</v>
      </c>
      <c r="F462" s="12"/>
      <c r="G462" s="12"/>
      <c r="H462" s="12"/>
      <c r="I462" s="12"/>
      <c r="J462" s="12"/>
      <c r="K462" s="12"/>
      <c r="L462" s="12">
        <v>0</v>
      </c>
      <c r="M462" s="15">
        <f t="shared" si="104"/>
        <v>2</v>
      </c>
      <c r="N462" s="15">
        <f t="shared" si="105"/>
        <v>0</v>
      </c>
      <c r="O462" s="20"/>
      <c r="P462" s="12">
        <f t="shared" si="103"/>
        <v>0</v>
      </c>
      <c r="Q462" s="20"/>
    </row>
    <row r="463" spans="1:21" x14ac:dyDescent="0.3">
      <c r="A463" s="1">
        <f t="shared" si="107"/>
        <v>19</v>
      </c>
      <c r="B463" s="2" t="s">
        <v>372</v>
      </c>
      <c r="C463" s="3" t="s">
        <v>353</v>
      </c>
      <c r="D463" s="12" t="s">
        <v>40</v>
      </c>
      <c r="E463" s="12" t="s">
        <v>40</v>
      </c>
      <c r="F463" s="12"/>
      <c r="G463" s="12"/>
      <c r="H463" s="12"/>
      <c r="I463" s="12"/>
      <c r="J463" s="12"/>
      <c r="K463" s="12"/>
      <c r="L463" s="12">
        <v>17400</v>
      </c>
      <c r="M463" s="15">
        <f t="shared" si="104"/>
        <v>2</v>
      </c>
      <c r="N463" s="15">
        <f t="shared" si="105"/>
        <v>0</v>
      </c>
      <c r="O463" s="12">
        <v>17400</v>
      </c>
      <c r="P463" s="12">
        <f t="shared" si="103"/>
        <v>1450</v>
      </c>
      <c r="Q463" s="12">
        <f t="shared" si="106"/>
        <v>1450</v>
      </c>
    </row>
    <row r="464" spans="1:21" x14ac:dyDescent="0.3">
      <c r="A464" s="1">
        <f t="shared" si="107"/>
        <v>20</v>
      </c>
      <c r="B464" s="2" t="s">
        <v>373</v>
      </c>
      <c r="C464" s="3" t="s">
        <v>353</v>
      </c>
      <c r="D464" s="12" t="s">
        <v>40</v>
      </c>
      <c r="E464" s="12" t="s">
        <v>40</v>
      </c>
      <c r="F464" s="12"/>
      <c r="G464" s="12"/>
      <c r="H464" s="12" t="s">
        <v>40</v>
      </c>
      <c r="I464" s="12"/>
      <c r="J464" s="12"/>
      <c r="K464" s="12"/>
      <c r="L464" s="12">
        <v>177326.49</v>
      </c>
      <c r="M464" s="15">
        <f t="shared" si="104"/>
        <v>5</v>
      </c>
      <c r="N464" s="15">
        <f t="shared" si="105"/>
        <v>0</v>
      </c>
      <c r="O464" s="12">
        <v>177326.49</v>
      </c>
      <c r="P464" s="12">
        <f t="shared" si="103"/>
        <v>14777.207499999999</v>
      </c>
      <c r="Q464" s="12">
        <f t="shared" si="106"/>
        <v>14777.207499999999</v>
      </c>
    </row>
    <row r="465" spans="1:21" x14ac:dyDescent="0.3">
      <c r="A465" s="1">
        <f t="shared" si="107"/>
        <v>21</v>
      </c>
      <c r="B465" s="2" t="s">
        <v>374</v>
      </c>
      <c r="C465" s="3" t="s">
        <v>353</v>
      </c>
      <c r="D465" s="12" t="s">
        <v>40</v>
      </c>
      <c r="E465" s="12" t="s">
        <v>40</v>
      </c>
      <c r="F465" s="12"/>
      <c r="G465" s="12"/>
      <c r="H465" s="12" t="s">
        <v>40</v>
      </c>
      <c r="I465" s="12"/>
      <c r="J465" s="12"/>
      <c r="K465" s="12"/>
      <c r="L465" s="12">
        <v>30000</v>
      </c>
      <c r="M465" s="15">
        <f t="shared" si="104"/>
        <v>5</v>
      </c>
      <c r="N465" s="15">
        <f t="shared" si="105"/>
        <v>0</v>
      </c>
      <c r="O465" s="12">
        <v>30000</v>
      </c>
      <c r="P465" s="12">
        <f t="shared" si="103"/>
        <v>2500</v>
      </c>
      <c r="Q465" s="12">
        <f t="shared" si="106"/>
        <v>2500</v>
      </c>
      <c r="S465" t="s">
        <v>375</v>
      </c>
      <c r="T465" t="s">
        <v>151</v>
      </c>
    </row>
    <row r="466" spans="1:21" x14ac:dyDescent="0.3">
      <c r="A466" s="1">
        <f t="shared" si="107"/>
        <v>22</v>
      </c>
      <c r="B466" s="2" t="s">
        <v>376</v>
      </c>
      <c r="C466" s="3" t="s">
        <v>353</v>
      </c>
      <c r="D466" s="12" t="s">
        <v>40</v>
      </c>
      <c r="E466" s="12" t="s">
        <v>40</v>
      </c>
      <c r="F466" s="12"/>
      <c r="G466" s="12"/>
      <c r="H466" s="12"/>
      <c r="I466" s="12"/>
      <c r="J466" s="12"/>
      <c r="K466" s="12"/>
      <c r="L466" s="12">
        <v>0</v>
      </c>
      <c r="M466" s="15">
        <f t="shared" si="104"/>
        <v>2</v>
      </c>
      <c r="N466" s="15">
        <f t="shared" si="105"/>
        <v>0</v>
      </c>
      <c r="O466" s="20"/>
      <c r="P466" s="12">
        <f t="shared" si="103"/>
        <v>0</v>
      </c>
      <c r="Q466" s="20"/>
    </row>
    <row r="467" spans="1:21" x14ac:dyDescent="0.3">
      <c r="A467" s="1">
        <f t="shared" si="107"/>
        <v>23</v>
      </c>
      <c r="B467" s="2" t="s">
        <v>377</v>
      </c>
      <c r="C467" s="3" t="s">
        <v>353</v>
      </c>
      <c r="D467" s="12" t="s">
        <v>40</v>
      </c>
      <c r="E467" s="12" t="s">
        <v>40</v>
      </c>
      <c r="F467" s="12"/>
      <c r="G467" s="12"/>
      <c r="H467" s="12"/>
      <c r="I467" s="12"/>
      <c r="J467" s="12"/>
      <c r="K467" s="12"/>
      <c r="L467" s="12">
        <v>0</v>
      </c>
      <c r="M467" s="15">
        <f t="shared" si="104"/>
        <v>2</v>
      </c>
      <c r="N467" s="15">
        <f t="shared" si="105"/>
        <v>0</v>
      </c>
      <c r="O467" s="20"/>
      <c r="P467" s="12">
        <f t="shared" si="103"/>
        <v>0</v>
      </c>
      <c r="Q467" s="20"/>
    </row>
    <row r="468" spans="1:21" x14ac:dyDescent="0.3">
      <c r="A468" s="1">
        <f t="shared" si="107"/>
        <v>24</v>
      </c>
      <c r="B468" s="2" t="s">
        <v>378</v>
      </c>
      <c r="C468" s="3" t="s">
        <v>353</v>
      </c>
      <c r="D468" s="12" t="s">
        <v>40</v>
      </c>
      <c r="E468" s="12" t="s">
        <v>40</v>
      </c>
      <c r="F468" s="12"/>
      <c r="G468" s="12"/>
      <c r="H468" s="12"/>
      <c r="I468" s="12"/>
      <c r="J468" s="12"/>
      <c r="K468" s="12"/>
      <c r="L468" s="12">
        <v>0</v>
      </c>
      <c r="M468" s="15">
        <f t="shared" si="104"/>
        <v>2</v>
      </c>
      <c r="N468" s="15">
        <f t="shared" si="105"/>
        <v>0</v>
      </c>
      <c r="O468" s="20"/>
      <c r="P468" s="12">
        <f t="shared" si="103"/>
        <v>0</v>
      </c>
      <c r="Q468" s="20"/>
    </row>
    <row r="469" spans="1:21" x14ac:dyDescent="0.3">
      <c r="A469" s="1">
        <f t="shared" si="107"/>
        <v>25</v>
      </c>
      <c r="B469" s="2" t="s">
        <v>379</v>
      </c>
      <c r="C469" s="3" t="s">
        <v>353</v>
      </c>
      <c r="D469" s="12" t="s">
        <v>40</v>
      </c>
      <c r="E469" s="12" t="s">
        <v>40</v>
      </c>
      <c r="F469" s="12"/>
      <c r="G469" s="12"/>
      <c r="H469" s="12" t="s">
        <v>40</v>
      </c>
      <c r="I469" s="12"/>
      <c r="J469" s="12"/>
      <c r="K469" s="12"/>
      <c r="L469" s="12">
        <v>70400</v>
      </c>
      <c r="M469" s="15">
        <f t="shared" si="104"/>
        <v>5</v>
      </c>
      <c r="N469" s="15">
        <f t="shared" si="105"/>
        <v>0</v>
      </c>
      <c r="O469" s="12">
        <v>70400</v>
      </c>
      <c r="P469" s="12">
        <f t="shared" si="103"/>
        <v>5866.666666666667</v>
      </c>
      <c r="Q469" s="12">
        <f t="shared" si="106"/>
        <v>5866.666666666667</v>
      </c>
    </row>
    <row r="470" spans="1:21" x14ac:dyDescent="0.3">
      <c r="A470" s="1">
        <f t="shared" si="107"/>
        <v>26</v>
      </c>
      <c r="B470" s="2" t="s">
        <v>380</v>
      </c>
      <c r="C470" s="3" t="s">
        <v>353</v>
      </c>
      <c r="D470" s="12" t="s">
        <v>40</v>
      </c>
      <c r="E470" s="12" t="s">
        <v>40</v>
      </c>
      <c r="F470" s="12"/>
      <c r="G470" s="12"/>
      <c r="H470" s="12"/>
      <c r="I470" s="12"/>
      <c r="J470" s="12"/>
      <c r="K470" s="12"/>
      <c r="L470" s="12">
        <v>20400</v>
      </c>
      <c r="M470" s="15">
        <f t="shared" si="104"/>
        <v>2</v>
      </c>
      <c r="N470" s="15">
        <f t="shared" si="105"/>
        <v>0</v>
      </c>
      <c r="O470" s="12">
        <v>20400</v>
      </c>
      <c r="P470" s="12">
        <f t="shared" si="103"/>
        <v>1700</v>
      </c>
      <c r="Q470" s="12">
        <f t="shared" si="106"/>
        <v>1700</v>
      </c>
    </row>
    <row r="471" spans="1:21" x14ac:dyDescent="0.3">
      <c r="A471" s="1">
        <f t="shared" si="107"/>
        <v>27</v>
      </c>
      <c r="B471" s="2" t="s">
        <v>381</v>
      </c>
      <c r="C471" s="3" t="s">
        <v>353</v>
      </c>
      <c r="D471" s="12" t="s">
        <v>40</v>
      </c>
      <c r="E471" s="12" t="s">
        <v>40</v>
      </c>
      <c r="F471" s="12"/>
      <c r="G471" s="12"/>
      <c r="H471" s="12" t="s">
        <v>40</v>
      </c>
      <c r="I471" s="12" t="s">
        <v>40</v>
      </c>
      <c r="J471" s="12"/>
      <c r="K471" s="12"/>
      <c r="L471" s="12">
        <v>117494</v>
      </c>
      <c r="M471" s="15">
        <f t="shared" si="104"/>
        <v>10</v>
      </c>
      <c r="N471" s="15">
        <f t="shared" si="105"/>
        <v>0</v>
      </c>
      <c r="O471" s="12">
        <v>117494</v>
      </c>
      <c r="P471" s="12">
        <f t="shared" si="103"/>
        <v>9791.1666666666661</v>
      </c>
      <c r="Q471" s="12">
        <f t="shared" si="106"/>
        <v>9791.1666666666661</v>
      </c>
    </row>
    <row r="472" spans="1:21" x14ac:dyDescent="0.3">
      <c r="A472" s="1">
        <f t="shared" si="107"/>
        <v>28</v>
      </c>
      <c r="B472" s="2" t="s">
        <v>382</v>
      </c>
      <c r="C472" s="3" t="s">
        <v>353</v>
      </c>
      <c r="D472" s="12" t="s">
        <v>40</v>
      </c>
      <c r="E472" s="12" t="s">
        <v>40</v>
      </c>
      <c r="F472" s="12"/>
      <c r="G472" s="12"/>
      <c r="H472" s="12"/>
      <c r="I472" s="12"/>
      <c r="J472" s="12"/>
      <c r="K472" s="12"/>
      <c r="L472" s="12">
        <v>92953.32</v>
      </c>
      <c r="M472" s="15">
        <f t="shared" si="104"/>
        <v>2</v>
      </c>
      <c r="N472" s="15">
        <f t="shared" si="105"/>
        <v>0</v>
      </c>
      <c r="O472" s="12">
        <v>92953.32</v>
      </c>
      <c r="P472" s="12">
        <f t="shared" si="103"/>
        <v>7746.1100000000006</v>
      </c>
      <c r="Q472" s="12">
        <f t="shared" si="106"/>
        <v>7746.1100000000006</v>
      </c>
      <c r="U472" t="s">
        <v>383</v>
      </c>
    </row>
    <row r="473" spans="1:21" x14ac:dyDescent="0.3">
      <c r="A473" s="1">
        <f t="shared" si="107"/>
        <v>29</v>
      </c>
      <c r="B473" s="10"/>
      <c r="C473" s="9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6"/>
      <c r="O473" s="13"/>
      <c r="P473" s="13"/>
      <c r="Q473" s="13"/>
    </row>
    <row r="474" spans="1:21" x14ac:dyDescent="0.3">
      <c r="A474" s="1">
        <f t="shared" si="107"/>
        <v>30</v>
      </c>
      <c r="B474" s="2" t="s">
        <v>384</v>
      </c>
      <c r="C474" s="3" t="s">
        <v>353</v>
      </c>
      <c r="D474" s="12" t="s">
        <v>40</v>
      </c>
      <c r="E474" s="12" t="s">
        <v>40</v>
      </c>
      <c r="F474" s="12"/>
      <c r="G474" s="12"/>
      <c r="H474" s="12" t="s">
        <v>40</v>
      </c>
      <c r="I474" s="12" t="s">
        <v>40</v>
      </c>
      <c r="J474" s="12"/>
      <c r="K474" s="12"/>
      <c r="L474" s="12">
        <v>3000</v>
      </c>
      <c r="M474" s="15">
        <f t="shared" si="104"/>
        <v>10</v>
      </c>
      <c r="N474" s="15">
        <f t="shared" si="105"/>
        <v>0</v>
      </c>
      <c r="O474" s="12">
        <v>3000</v>
      </c>
      <c r="P474" s="12">
        <f t="shared" si="103"/>
        <v>250</v>
      </c>
      <c r="Q474" s="12">
        <f t="shared" si="106"/>
        <v>250</v>
      </c>
    </row>
    <row r="475" spans="1:21" x14ac:dyDescent="0.3">
      <c r="B475" s="29"/>
      <c r="D475"/>
      <c r="E475"/>
      <c r="F475"/>
      <c r="G475"/>
      <c r="H475"/>
      <c r="I475"/>
      <c r="J475"/>
      <c r="L475" s="14">
        <f>+AVERAGE(L445:L474)</f>
        <v>84289.01285714285</v>
      </c>
      <c r="M475" s="14">
        <f>+AVERAGE(M445:M474)</f>
        <v>5.7142857142857144</v>
      </c>
      <c r="N475" s="14">
        <f>+SUM(N445:N474)</f>
        <v>0</v>
      </c>
      <c r="O475" s="14">
        <f>+AVERAGE(O445:O474)</f>
        <v>79553.872500000012</v>
      </c>
      <c r="P475" s="14">
        <f>+AVERAGE(P445:P474)</f>
        <v>7024.084404761903</v>
      </c>
      <c r="Q475" s="14">
        <f>+AVERAGE(Q445:Q474)</f>
        <v>6629.4893750000001</v>
      </c>
    </row>
    <row r="476" spans="1:21" x14ac:dyDescent="0.3">
      <c r="D476"/>
      <c r="E476"/>
      <c r="F476"/>
      <c r="G476"/>
      <c r="H476"/>
      <c r="I476"/>
      <c r="J476"/>
      <c r="L476" s="14">
        <f>+STDEV(L445:L474)</f>
        <v>162712.26776764303</v>
      </c>
      <c r="M476" s="14">
        <f>+STDEV(M445:M474)</f>
        <v>3.8089285249183273</v>
      </c>
      <c r="N476" s="17"/>
      <c r="O476" s="14">
        <f>+STDEV(O445:O474)</f>
        <v>101515.40383380221</v>
      </c>
      <c r="P476" s="14">
        <f>+STDEV(P445:P474)</f>
        <v>13559.35564730359</v>
      </c>
      <c r="Q476" s="14">
        <f>+STDEV(Q445:Q474)</f>
        <v>8459.6169861501839</v>
      </c>
    </row>
    <row r="477" spans="1:21" x14ac:dyDescent="0.3">
      <c r="D477"/>
      <c r="E477"/>
      <c r="F477"/>
      <c r="G477"/>
      <c r="H477"/>
      <c r="I477" s="15"/>
      <c r="J477" s="15"/>
      <c r="K477" s="11" t="s">
        <v>75</v>
      </c>
      <c r="L477" s="14">
        <f>+COUNTIF(L445:L474,0)</f>
        <v>7</v>
      </c>
      <c r="M477" s="14">
        <f>+COUNT(M445:M474)</f>
        <v>28</v>
      </c>
      <c r="P477" s="14">
        <f>+COUNTIF(P445:P474,0)</f>
        <v>7</v>
      </c>
    </row>
    <row r="478" spans="1:21" x14ac:dyDescent="0.3">
      <c r="D478"/>
      <c r="E478"/>
      <c r="F478"/>
      <c r="G478"/>
      <c r="H478"/>
      <c r="I478"/>
      <c r="J478"/>
    </row>
    <row r="479" spans="1:21" x14ac:dyDescent="0.3">
      <c r="A479" s="1">
        <v>1</v>
      </c>
      <c r="B479" s="1" t="s">
        <v>386</v>
      </c>
      <c r="C479" s="3" t="s">
        <v>385</v>
      </c>
      <c r="D479" s="12" t="s">
        <v>40</v>
      </c>
      <c r="E479" s="12" t="s">
        <v>40</v>
      </c>
      <c r="F479" s="12"/>
      <c r="G479" s="12"/>
      <c r="H479" s="12" t="s">
        <v>40</v>
      </c>
      <c r="I479" s="12" t="s">
        <v>40</v>
      </c>
      <c r="J479" s="12"/>
      <c r="K479" s="12" t="s">
        <v>40</v>
      </c>
      <c r="L479" s="12">
        <v>117684</v>
      </c>
      <c r="M479" s="15">
        <f>+IF(D479="X",1,0)+IF(E479="X",1,0)+IF(F479="X",2,0)+IF(G479="X",2,0)+IF(H479="X",3,IF(H479="Y",1.5,0))+IF(I479="X",5,IF(I479="Y",2.5,0))+IF(J479="X1",10,IF(J479="X2",5,IF(J479="X3",3,0)))</f>
        <v>10</v>
      </c>
      <c r="N479" s="15">
        <f>+IF(K479="X",1,0)</f>
        <v>1</v>
      </c>
      <c r="O479" s="12">
        <v>164424.09</v>
      </c>
      <c r="P479" s="12">
        <f t="shared" ref="P479:P508" si="108">+L479/12</f>
        <v>9807</v>
      </c>
      <c r="Q479" s="12">
        <f t="shared" ref="Q479:Q508" si="109">+O479/12</f>
        <v>13702.0075</v>
      </c>
    </row>
    <row r="480" spans="1:21" x14ac:dyDescent="0.3">
      <c r="A480" s="1">
        <f>+A479+1</f>
        <v>2</v>
      </c>
      <c r="B480" s="27" t="s">
        <v>387</v>
      </c>
      <c r="C480" s="3" t="s">
        <v>385</v>
      </c>
      <c r="D480" s="12" t="s">
        <v>40</v>
      </c>
      <c r="E480" s="12" t="s">
        <v>40</v>
      </c>
      <c r="F480" s="12"/>
      <c r="G480" s="12"/>
      <c r="H480" s="12" t="s">
        <v>40</v>
      </c>
      <c r="I480" s="12" t="s">
        <v>40</v>
      </c>
      <c r="J480" s="12"/>
      <c r="K480" s="12"/>
      <c r="L480" s="12">
        <v>347076</v>
      </c>
      <c r="M480" s="15">
        <f t="shared" ref="M480:M508" si="110">+IF(D480="X",1,0)+IF(E480="X",1,0)+IF(F480="X",2,0)+IF(G480="X",2,0)+IF(H480="X",3,IF(H480="Y",1.5,0))+IF(I480="X",5,IF(I480="Y",2.5,0))+IF(J480="X1",10,IF(J480="X2",5,IF(J480="X3",3,0)))</f>
        <v>10</v>
      </c>
      <c r="N480" s="15">
        <f t="shared" ref="N480:N508" si="111">+IF(K480="X",1,0)</f>
        <v>0</v>
      </c>
      <c r="O480" s="12">
        <v>347076</v>
      </c>
      <c r="P480" s="12">
        <f t="shared" si="108"/>
        <v>28923</v>
      </c>
      <c r="Q480" s="12">
        <f t="shared" si="109"/>
        <v>28923</v>
      </c>
      <c r="U480" t="s">
        <v>388</v>
      </c>
    </row>
    <row r="481" spans="1:21" x14ac:dyDescent="0.3">
      <c r="A481" s="1">
        <f t="shared" ref="A481:A508" si="112">+A480+1</f>
        <v>3</v>
      </c>
      <c r="B481" s="1" t="s">
        <v>389</v>
      </c>
      <c r="C481" s="3" t="s">
        <v>385</v>
      </c>
      <c r="D481" s="12" t="s">
        <v>40</v>
      </c>
      <c r="E481" s="12" t="s">
        <v>40</v>
      </c>
      <c r="F481" s="12"/>
      <c r="G481" s="12"/>
      <c r="H481" s="12" t="s">
        <v>40</v>
      </c>
      <c r="I481" s="12" t="s">
        <v>40</v>
      </c>
      <c r="J481" s="12"/>
      <c r="K481" s="12"/>
      <c r="L481" s="12">
        <v>164424.09</v>
      </c>
      <c r="M481" s="15">
        <f t="shared" si="110"/>
        <v>10</v>
      </c>
      <c r="N481" s="15">
        <f t="shared" si="111"/>
        <v>0</v>
      </c>
      <c r="O481" s="12">
        <v>164424.09</v>
      </c>
      <c r="P481" s="12">
        <f t="shared" si="108"/>
        <v>13702.0075</v>
      </c>
      <c r="Q481" s="12">
        <f t="shared" si="109"/>
        <v>13702.0075</v>
      </c>
      <c r="U481" t="s">
        <v>390</v>
      </c>
    </row>
    <row r="482" spans="1:21" x14ac:dyDescent="0.3">
      <c r="A482" s="1">
        <f t="shared" si="112"/>
        <v>4</v>
      </c>
      <c r="B482" s="27" t="s">
        <v>391</v>
      </c>
      <c r="C482" s="3" t="s">
        <v>385</v>
      </c>
      <c r="D482" s="12" t="s">
        <v>40</v>
      </c>
      <c r="E482" s="12" t="s">
        <v>40</v>
      </c>
      <c r="F482" s="12"/>
      <c r="G482" s="12"/>
      <c r="H482" s="12" t="s">
        <v>40</v>
      </c>
      <c r="I482" s="12"/>
      <c r="J482" s="12"/>
      <c r="K482" s="12"/>
      <c r="L482" s="12">
        <v>442917.99</v>
      </c>
      <c r="M482" s="15">
        <f t="shared" si="110"/>
        <v>5</v>
      </c>
      <c r="N482" s="15">
        <f t="shared" si="111"/>
        <v>0</v>
      </c>
      <c r="O482" s="20"/>
      <c r="P482" s="12">
        <f t="shared" si="108"/>
        <v>36909.832499999997</v>
      </c>
      <c r="Q482" s="20"/>
      <c r="R482" t="s">
        <v>140</v>
      </c>
    </row>
    <row r="483" spans="1:21" x14ac:dyDescent="0.3">
      <c r="A483" s="1">
        <f t="shared" si="112"/>
        <v>5</v>
      </c>
      <c r="B483" s="1" t="s">
        <v>392</v>
      </c>
      <c r="C483" s="3" t="s">
        <v>385</v>
      </c>
      <c r="D483" s="12" t="s">
        <v>40</v>
      </c>
      <c r="E483" s="12" t="s">
        <v>40</v>
      </c>
      <c r="F483" s="12"/>
      <c r="G483" s="12"/>
      <c r="H483" s="12" t="s">
        <v>40</v>
      </c>
      <c r="I483" s="12" t="s">
        <v>40</v>
      </c>
      <c r="J483" s="12"/>
      <c r="K483" s="12"/>
      <c r="L483" s="12">
        <v>51480</v>
      </c>
      <c r="M483" s="15">
        <f t="shared" si="110"/>
        <v>10</v>
      </c>
      <c r="N483" s="15">
        <f t="shared" si="111"/>
        <v>0</v>
      </c>
      <c r="O483" s="12">
        <v>51480</v>
      </c>
      <c r="P483" s="12">
        <f t="shared" si="108"/>
        <v>4290</v>
      </c>
      <c r="Q483" s="12">
        <f t="shared" si="109"/>
        <v>4290</v>
      </c>
    </row>
    <row r="484" spans="1:21" x14ac:dyDescent="0.3">
      <c r="A484" s="1">
        <f t="shared" si="112"/>
        <v>6</v>
      </c>
      <c r="B484" s="27">
        <v>10129700</v>
      </c>
      <c r="C484" s="3" t="s">
        <v>385</v>
      </c>
      <c r="D484" s="12" t="s">
        <v>40</v>
      </c>
      <c r="E484" s="12" t="s">
        <v>40</v>
      </c>
      <c r="F484" s="12"/>
      <c r="G484" s="12"/>
      <c r="H484" s="12"/>
      <c r="I484" s="12"/>
      <c r="J484" s="12"/>
      <c r="K484" s="12"/>
      <c r="L484" s="12">
        <v>343007.5</v>
      </c>
      <c r="M484" s="15">
        <f t="shared" si="110"/>
        <v>2</v>
      </c>
      <c r="N484" s="15">
        <f t="shared" si="111"/>
        <v>0</v>
      </c>
      <c r="O484" s="12">
        <v>343007.5</v>
      </c>
      <c r="P484" s="12">
        <f t="shared" si="108"/>
        <v>28583.958333333332</v>
      </c>
      <c r="Q484" s="12">
        <f t="shared" si="109"/>
        <v>28583.958333333332</v>
      </c>
      <c r="R484" t="s">
        <v>401</v>
      </c>
    </row>
    <row r="485" spans="1:21" x14ac:dyDescent="0.3">
      <c r="A485" s="1">
        <f t="shared" si="112"/>
        <v>7</v>
      </c>
      <c r="B485" s="2">
        <v>10613285</v>
      </c>
      <c r="C485" s="3" t="s">
        <v>385</v>
      </c>
      <c r="D485" s="12" t="s">
        <v>40</v>
      </c>
      <c r="E485" s="12" t="s">
        <v>40</v>
      </c>
      <c r="F485" s="12"/>
      <c r="G485" s="12"/>
      <c r="H485" s="12"/>
      <c r="I485" s="12"/>
      <c r="J485" s="12"/>
      <c r="K485" s="12"/>
      <c r="L485" s="12">
        <v>71280</v>
      </c>
      <c r="M485" s="15">
        <f t="shared" si="110"/>
        <v>2</v>
      </c>
      <c r="N485" s="15">
        <f t="shared" si="111"/>
        <v>0</v>
      </c>
      <c r="O485" s="12">
        <v>71280</v>
      </c>
      <c r="P485" s="12">
        <f t="shared" si="108"/>
        <v>5940</v>
      </c>
      <c r="Q485" s="12">
        <f t="shared" si="109"/>
        <v>5940</v>
      </c>
      <c r="U485" t="s">
        <v>402</v>
      </c>
    </row>
    <row r="486" spans="1:21" x14ac:dyDescent="0.3">
      <c r="A486" s="1">
        <f t="shared" si="112"/>
        <v>8</v>
      </c>
      <c r="B486" s="2" t="s">
        <v>393</v>
      </c>
      <c r="C486" s="3" t="s">
        <v>385</v>
      </c>
      <c r="D486" s="50" t="s">
        <v>40</v>
      </c>
      <c r="E486" s="50" t="s">
        <v>40</v>
      </c>
      <c r="F486" s="50"/>
      <c r="G486" s="50"/>
      <c r="H486" s="50" t="s">
        <v>40</v>
      </c>
      <c r="I486" s="50"/>
      <c r="J486" s="50" t="s">
        <v>896</v>
      </c>
      <c r="K486" s="12"/>
      <c r="L486" s="12">
        <v>269221</v>
      </c>
      <c r="M486" s="15">
        <f t="shared" si="110"/>
        <v>15</v>
      </c>
      <c r="N486" s="15">
        <f t="shared" si="111"/>
        <v>0</v>
      </c>
      <c r="O486" s="12">
        <v>269221</v>
      </c>
      <c r="P486" s="12">
        <f t="shared" si="108"/>
        <v>22435.083333333332</v>
      </c>
      <c r="Q486" s="12">
        <f t="shared" si="109"/>
        <v>22435.083333333332</v>
      </c>
      <c r="S486" t="s">
        <v>76</v>
      </c>
      <c r="T486" t="s">
        <v>151</v>
      </c>
    </row>
    <row r="487" spans="1:21" x14ac:dyDescent="0.3">
      <c r="A487" s="1">
        <f t="shared" si="112"/>
        <v>9</v>
      </c>
      <c r="B487" s="2">
        <v>23999250</v>
      </c>
      <c r="C487" s="3" t="s">
        <v>385</v>
      </c>
      <c r="D487" s="12" t="s">
        <v>40</v>
      </c>
      <c r="E487" s="12" t="s">
        <v>40</v>
      </c>
      <c r="F487" s="12"/>
      <c r="G487" s="12"/>
      <c r="H487" s="12" t="s">
        <v>40</v>
      </c>
      <c r="I487" s="12"/>
      <c r="J487" s="12"/>
      <c r="K487" s="12"/>
      <c r="L487" s="12">
        <v>65388</v>
      </c>
      <c r="M487" s="15">
        <f t="shared" si="110"/>
        <v>5</v>
      </c>
      <c r="N487" s="15">
        <f t="shared" si="111"/>
        <v>0</v>
      </c>
      <c r="O487" s="12">
        <v>65388</v>
      </c>
      <c r="P487" s="12">
        <f t="shared" si="108"/>
        <v>5449</v>
      </c>
      <c r="Q487" s="12">
        <f t="shared" si="109"/>
        <v>5449</v>
      </c>
      <c r="S487" t="s">
        <v>150</v>
      </c>
      <c r="T487" t="s">
        <v>151</v>
      </c>
    </row>
    <row r="488" spans="1:21" x14ac:dyDescent="0.3">
      <c r="A488" s="1">
        <f t="shared" si="112"/>
        <v>10</v>
      </c>
      <c r="B488" s="2" t="s">
        <v>394</v>
      </c>
      <c r="C488" s="3" t="s">
        <v>385</v>
      </c>
      <c r="D488" s="12" t="s">
        <v>40</v>
      </c>
      <c r="E488" s="12" t="s">
        <v>40</v>
      </c>
      <c r="F488" s="12"/>
      <c r="G488" s="12"/>
      <c r="H488" s="12" t="s">
        <v>40</v>
      </c>
      <c r="I488" s="12" t="s">
        <v>40</v>
      </c>
      <c r="J488" s="12"/>
      <c r="K488" s="12"/>
      <c r="L488" s="12">
        <v>178196.65</v>
      </c>
      <c r="M488" s="15">
        <f t="shared" si="110"/>
        <v>10</v>
      </c>
      <c r="N488" s="15">
        <f t="shared" si="111"/>
        <v>0</v>
      </c>
      <c r="O488" s="12">
        <v>178196.65</v>
      </c>
      <c r="P488" s="12">
        <f t="shared" si="108"/>
        <v>14849.720833333333</v>
      </c>
      <c r="Q488" s="12">
        <f t="shared" si="109"/>
        <v>14849.720833333333</v>
      </c>
      <c r="U488" t="s">
        <v>403</v>
      </c>
    </row>
    <row r="489" spans="1:21" x14ac:dyDescent="0.3">
      <c r="A489" s="1">
        <f t="shared" si="112"/>
        <v>11</v>
      </c>
      <c r="B489" s="4" t="s">
        <v>404</v>
      </c>
      <c r="C489" s="3" t="s">
        <v>385</v>
      </c>
      <c r="D489" s="50" t="s">
        <v>40</v>
      </c>
      <c r="E489" s="50" t="s">
        <v>40</v>
      </c>
      <c r="F489" s="50"/>
      <c r="G489" s="50"/>
      <c r="H489" s="50" t="s">
        <v>40</v>
      </c>
      <c r="I489" s="50" t="s">
        <v>40</v>
      </c>
      <c r="J489" s="50" t="s">
        <v>897</v>
      </c>
      <c r="K489" s="12"/>
      <c r="L489" s="12">
        <v>92017</v>
      </c>
      <c r="M489" s="15">
        <f t="shared" si="110"/>
        <v>15</v>
      </c>
      <c r="N489" s="15">
        <f t="shared" si="111"/>
        <v>0</v>
      </c>
      <c r="O489" s="12">
        <v>92017</v>
      </c>
      <c r="P489" s="12">
        <f t="shared" si="108"/>
        <v>7668.083333333333</v>
      </c>
      <c r="Q489" s="12">
        <f t="shared" si="109"/>
        <v>7668.083333333333</v>
      </c>
      <c r="U489" t="s">
        <v>405</v>
      </c>
    </row>
    <row r="490" spans="1:21" x14ac:dyDescent="0.3">
      <c r="A490" s="1">
        <f t="shared" si="112"/>
        <v>12</v>
      </c>
      <c r="B490" s="10"/>
      <c r="C490" s="9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6"/>
      <c r="O490" s="13"/>
      <c r="P490" s="13"/>
      <c r="Q490" s="13"/>
    </row>
    <row r="491" spans="1:21" x14ac:dyDescent="0.3">
      <c r="A491" s="1">
        <f t="shared" si="112"/>
        <v>13</v>
      </c>
      <c r="B491" s="4" t="s">
        <v>406</v>
      </c>
      <c r="C491" s="3" t="s">
        <v>385</v>
      </c>
      <c r="D491" s="12" t="s">
        <v>40</v>
      </c>
      <c r="E491" s="12" t="s">
        <v>40</v>
      </c>
      <c r="F491" s="12"/>
      <c r="G491" s="12"/>
      <c r="H491" s="12" t="s">
        <v>40</v>
      </c>
      <c r="I491" s="12"/>
      <c r="J491" s="12"/>
      <c r="K491" s="12"/>
      <c r="L491" s="12">
        <v>12300</v>
      </c>
      <c r="M491" s="15">
        <f t="shared" si="110"/>
        <v>5</v>
      </c>
      <c r="N491" s="15">
        <f t="shared" si="111"/>
        <v>0</v>
      </c>
      <c r="O491" s="12">
        <v>12300</v>
      </c>
      <c r="P491" s="12">
        <f t="shared" si="108"/>
        <v>1025</v>
      </c>
      <c r="Q491" s="12">
        <f t="shared" si="109"/>
        <v>1025</v>
      </c>
    </row>
    <row r="492" spans="1:21" x14ac:dyDescent="0.3">
      <c r="A492" s="1">
        <f t="shared" si="112"/>
        <v>14</v>
      </c>
      <c r="B492" s="2" t="s">
        <v>395</v>
      </c>
      <c r="C492" s="3" t="s">
        <v>385</v>
      </c>
      <c r="D492" s="12" t="s">
        <v>40</v>
      </c>
      <c r="E492" s="12" t="s">
        <v>40</v>
      </c>
      <c r="F492" s="12"/>
      <c r="G492" s="12"/>
      <c r="H492" s="12" t="s">
        <v>40</v>
      </c>
      <c r="I492" s="12"/>
      <c r="J492" s="12"/>
      <c r="K492" s="12"/>
      <c r="L492" s="12">
        <v>0</v>
      </c>
      <c r="M492" s="15">
        <f t="shared" si="110"/>
        <v>5</v>
      </c>
      <c r="N492" s="15">
        <f t="shared" si="111"/>
        <v>0</v>
      </c>
      <c r="O492" s="20"/>
      <c r="P492" s="12">
        <f t="shared" si="108"/>
        <v>0</v>
      </c>
      <c r="Q492" s="20"/>
    </row>
    <row r="493" spans="1:21" x14ac:dyDescent="0.3">
      <c r="A493" s="1">
        <f t="shared" si="112"/>
        <v>15</v>
      </c>
      <c r="B493" s="4" t="s">
        <v>407</v>
      </c>
      <c r="C493" s="3" t="s">
        <v>385</v>
      </c>
      <c r="D493" s="12" t="s">
        <v>40</v>
      </c>
      <c r="E493" s="12" t="s">
        <v>40</v>
      </c>
      <c r="F493" s="12"/>
      <c r="G493" s="12"/>
      <c r="H493" s="12" t="s">
        <v>40</v>
      </c>
      <c r="I493" s="12" t="s">
        <v>40</v>
      </c>
      <c r="J493" s="12"/>
      <c r="K493" s="12"/>
      <c r="L493" s="12">
        <v>130319</v>
      </c>
      <c r="M493" s="15">
        <f t="shared" si="110"/>
        <v>10</v>
      </c>
      <c r="N493" s="15">
        <f t="shared" si="111"/>
        <v>0</v>
      </c>
      <c r="O493" s="12">
        <v>130319</v>
      </c>
      <c r="P493" s="12">
        <f t="shared" si="108"/>
        <v>10859.916666666666</v>
      </c>
      <c r="Q493" s="12">
        <f t="shared" si="109"/>
        <v>10859.916666666666</v>
      </c>
    </row>
    <row r="494" spans="1:21" x14ac:dyDescent="0.3">
      <c r="A494" s="1">
        <f t="shared" si="112"/>
        <v>16</v>
      </c>
      <c r="B494" s="4" t="s">
        <v>408</v>
      </c>
      <c r="C494" s="3" t="s">
        <v>385</v>
      </c>
      <c r="D494" s="12" t="s">
        <v>40</v>
      </c>
      <c r="E494" s="12" t="s">
        <v>40</v>
      </c>
      <c r="F494" s="12" t="s">
        <v>40</v>
      </c>
      <c r="G494" s="12" t="s">
        <v>40</v>
      </c>
      <c r="H494" s="12"/>
      <c r="I494" s="12"/>
      <c r="J494" s="12"/>
      <c r="K494" s="12"/>
      <c r="L494" s="12">
        <v>12300</v>
      </c>
      <c r="M494" s="15">
        <f t="shared" si="110"/>
        <v>6</v>
      </c>
      <c r="N494" s="15">
        <f t="shared" si="111"/>
        <v>0</v>
      </c>
      <c r="O494" s="12">
        <v>12300</v>
      </c>
      <c r="P494" s="12">
        <f t="shared" si="108"/>
        <v>1025</v>
      </c>
      <c r="Q494" s="12">
        <f t="shared" si="109"/>
        <v>1025</v>
      </c>
    </row>
    <row r="495" spans="1:21" x14ac:dyDescent="0.3">
      <c r="A495" s="1">
        <f t="shared" si="112"/>
        <v>17</v>
      </c>
      <c r="B495" s="4" t="s">
        <v>409</v>
      </c>
      <c r="C495" s="3" t="s">
        <v>385</v>
      </c>
      <c r="D495" s="12" t="s">
        <v>40</v>
      </c>
      <c r="E495" s="12" t="s">
        <v>40</v>
      </c>
      <c r="F495" s="12"/>
      <c r="G495" s="12"/>
      <c r="H495" s="12" t="s">
        <v>40</v>
      </c>
      <c r="I495" s="12" t="s">
        <v>40</v>
      </c>
      <c r="J495" s="12"/>
      <c r="K495" s="12"/>
      <c r="L495" s="12">
        <v>68350</v>
      </c>
      <c r="M495" s="15">
        <f t="shared" si="110"/>
        <v>10</v>
      </c>
      <c r="N495" s="15">
        <f t="shared" si="111"/>
        <v>0</v>
      </c>
      <c r="O495" s="12">
        <v>68350</v>
      </c>
      <c r="P495" s="12">
        <f t="shared" si="108"/>
        <v>5695.833333333333</v>
      </c>
      <c r="Q495" s="12">
        <f t="shared" si="109"/>
        <v>5695.833333333333</v>
      </c>
      <c r="U495" t="s">
        <v>410</v>
      </c>
    </row>
    <row r="496" spans="1:21" x14ac:dyDescent="0.3">
      <c r="A496" s="1">
        <f t="shared" si="112"/>
        <v>18</v>
      </c>
      <c r="B496" s="2">
        <v>32838183</v>
      </c>
      <c r="C496" s="3" t="s">
        <v>385</v>
      </c>
      <c r="D496" s="12" t="s">
        <v>40</v>
      </c>
      <c r="E496" s="12" t="s">
        <v>40</v>
      </c>
      <c r="F496" s="12"/>
      <c r="G496" s="12" t="s">
        <v>40</v>
      </c>
      <c r="H496" s="12" t="s">
        <v>40</v>
      </c>
      <c r="I496" s="12"/>
      <c r="J496" s="12"/>
      <c r="K496" s="12" t="s">
        <v>40</v>
      </c>
      <c r="L496" s="12">
        <v>55000</v>
      </c>
      <c r="M496" s="15">
        <f t="shared" si="110"/>
        <v>7</v>
      </c>
      <c r="N496" s="15">
        <f t="shared" si="111"/>
        <v>1</v>
      </c>
      <c r="O496" s="12">
        <v>55000</v>
      </c>
      <c r="P496" s="12">
        <f t="shared" si="108"/>
        <v>4583.333333333333</v>
      </c>
      <c r="Q496" s="12">
        <f t="shared" si="109"/>
        <v>4583.333333333333</v>
      </c>
      <c r="S496" t="s">
        <v>411</v>
      </c>
      <c r="T496" t="s">
        <v>151</v>
      </c>
    </row>
    <row r="497" spans="1:21" x14ac:dyDescent="0.3">
      <c r="A497" s="1">
        <f t="shared" si="112"/>
        <v>19</v>
      </c>
      <c r="B497" s="2" t="s">
        <v>396</v>
      </c>
      <c r="C497" s="3" t="s">
        <v>385</v>
      </c>
      <c r="D497" s="12" t="s">
        <v>40</v>
      </c>
      <c r="E497" s="12" t="s">
        <v>40</v>
      </c>
      <c r="F497" s="12"/>
      <c r="G497" s="12"/>
      <c r="H497" s="12" t="s">
        <v>40</v>
      </c>
      <c r="I497" s="12" t="s">
        <v>40</v>
      </c>
      <c r="J497" s="12"/>
      <c r="K497" s="12"/>
      <c r="L497" s="12">
        <v>96000</v>
      </c>
      <c r="M497" s="15">
        <f t="shared" si="110"/>
        <v>10</v>
      </c>
      <c r="N497" s="15">
        <f t="shared" si="111"/>
        <v>0</v>
      </c>
      <c r="O497" s="12">
        <v>96000</v>
      </c>
      <c r="P497" s="12">
        <f t="shared" si="108"/>
        <v>8000</v>
      </c>
      <c r="Q497" s="12">
        <f t="shared" si="109"/>
        <v>8000</v>
      </c>
    </row>
    <row r="498" spans="1:21" x14ac:dyDescent="0.3">
      <c r="A498" s="1">
        <f t="shared" si="112"/>
        <v>20</v>
      </c>
      <c r="B498" s="2" t="s">
        <v>397</v>
      </c>
      <c r="C498" s="3" t="s">
        <v>385</v>
      </c>
      <c r="D498" s="50" t="s">
        <v>40</v>
      </c>
      <c r="E498" s="50" t="s">
        <v>40</v>
      </c>
      <c r="F498" s="50"/>
      <c r="G498" s="50"/>
      <c r="H498" s="50" t="s">
        <v>40</v>
      </c>
      <c r="I498" s="50" t="s">
        <v>40</v>
      </c>
      <c r="J498" s="50" t="s">
        <v>897</v>
      </c>
      <c r="K498" s="12"/>
      <c r="L498" s="12">
        <v>145428</v>
      </c>
      <c r="M498" s="15">
        <f t="shared" si="110"/>
        <v>15</v>
      </c>
      <c r="N498" s="15">
        <f t="shared" si="111"/>
        <v>0</v>
      </c>
      <c r="O498" s="12">
        <v>145428</v>
      </c>
      <c r="P498" s="12">
        <f t="shared" si="108"/>
        <v>12119</v>
      </c>
      <c r="Q498" s="12">
        <f t="shared" si="109"/>
        <v>12119</v>
      </c>
    </row>
    <row r="499" spans="1:21" x14ac:dyDescent="0.3">
      <c r="A499" s="1">
        <f t="shared" si="112"/>
        <v>21</v>
      </c>
      <c r="B499" s="2">
        <v>31649147</v>
      </c>
      <c r="C499" s="3" t="s">
        <v>385</v>
      </c>
      <c r="D499" s="12" t="s">
        <v>40</v>
      </c>
      <c r="E499" s="12" t="s">
        <v>40</v>
      </c>
      <c r="F499" s="12"/>
      <c r="G499" s="12"/>
      <c r="H499" s="12" t="s">
        <v>40</v>
      </c>
      <c r="I499" s="12"/>
      <c r="J499" s="12"/>
      <c r="K499" s="12"/>
      <c r="L499" s="12">
        <v>42000</v>
      </c>
      <c r="M499" s="15">
        <f t="shared" si="110"/>
        <v>5</v>
      </c>
      <c r="N499" s="15">
        <f t="shared" si="111"/>
        <v>0</v>
      </c>
      <c r="O499" s="12">
        <v>42000</v>
      </c>
      <c r="P499" s="12">
        <f t="shared" si="108"/>
        <v>3500</v>
      </c>
      <c r="Q499" s="12">
        <f t="shared" si="109"/>
        <v>3500</v>
      </c>
      <c r="U499" t="s">
        <v>412</v>
      </c>
    </row>
    <row r="500" spans="1:21" x14ac:dyDescent="0.3">
      <c r="A500" s="1">
        <f t="shared" si="112"/>
        <v>22</v>
      </c>
      <c r="B500" s="2">
        <v>33262869</v>
      </c>
      <c r="C500" s="3" t="s">
        <v>385</v>
      </c>
      <c r="D500" s="12" t="s">
        <v>40</v>
      </c>
      <c r="E500" s="12" t="s">
        <v>40</v>
      </c>
      <c r="F500" s="12"/>
      <c r="G500" s="12"/>
      <c r="H500" s="12" t="s">
        <v>40</v>
      </c>
      <c r="I500" s="12"/>
      <c r="J500" s="12"/>
      <c r="K500" s="12"/>
      <c r="L500" s="12">
        <v>12300</v>
      </c>
      <c r="M500" s="15">
        <f t="shared" si="110"/>
        <v>5</v>
      </c>
      <c r="N500" s="15">
        <f t="shared" si="111"/>
        <v>0</v>
      </c>
      <c r="O500" s="12">
        <v>12300</v>
      </c>
      <c r="P500" s="12">
        <f t="shared" si="108"/>
        <v>1025</v>
      </c>
      <c r="Q500" s="12">
        <f t="shared" si="109"/>
        <v>1025</v>
      </c>
    </row>
    <row r="501" spans="1:21" x14ac:dyDescent="0.3">
      <c r="A501" s="1">
        <f t="shared" si="112"/>
        <v>23</v>
      </c>
      <c r="B501" s="2" t="s">
        <v>398</v>
      </c>
      <c r="C501" s="3" t="s">
        <v>385</v>
      </c>
      <c r="D501" s="12" t="s">
        <v>40</v>
      </c>
      <c r="E501" s="12" t="s">
        <v>40</v>
      </c>
      <c r="F501" s="12"/>
      <c r="G501" s="12"/>
      <c r="H501" s="12" t="s">
        <v>40</v>
      </c>
      <c r="I501" s="12" t="s">
        <v>40</v>
      </c>
      <c r="J501" s="12"/>
      <c r="K501" s="12" t="s">
        <v>40</v>
      </c>
      <c r="L501" s="12">
        <v>0</v>
      </c>
      <c r="M501" s="15">
        <f t="shared" si="110"/>
        <v>10</v>
      </c>
      <c r="N501" s="15">
        <f t="shared" si="111"/>
        <v>1</v>
      </c>
      <c r="O501" s="20"/>
      <c r="P501" s="12">
        <f t="shared" si="108"/>
        <v>0</v>
      </c>
      <c r="Q501" s="20"/>
    </row>
    <row r="502" spans="1:21" x14ac:dyDescent="0.3">
      <c r="A502" s="1">
        <f t="shared" si="112"/>
        <v>24</v>
      </c>
      <c r="B502" s="2" t="s">
        <v>399</v>
      </c>
      <c r="C502" s="3" t="s">
        <v>385</v>
      </c>
      <c r="D502" s="12" t="s">
        <v>40</v>
      </c>
      <c r="E502" s="12" t="s">
        <v>40</v>
      </c>
      <c r="F502" s="12"/>
      <c r="G502" s="12"/>
      <c r="H502" s="12" t="s">
        <v>40</v>
      </c>
      <c r="I502" s="12"/>
      <c r="J502" s="12"/>
      <c r="K502" s="12"/>
      <c r="L502" s="12">
        <v>12300</v>
      </c>
      <c r="M502" s="15">
        <f t="shared" si="110"/>
        <v>5</v>
      </c>
      <c r="N502" s="15">
        <f t="shared" si="111"/>
        <v>0</v>
      </c>
      <c r="O502" s="12">
        <v>12300</v>
      </c>
      <c r="P502" s="12">
        <f t="shared" si="108"/>
        <v>1025</v>
      </c>
      <c r="Q502" s="12">
        <f t="shared" si="109"/>
        <v>1025</v>
      </c>
    </row>
    <row r="503" spans="1:21" x14ac:dyDescent="0.3">
      <c r="A503" s="1">
        <f t="shared" si="112"/>
        <v>25</v>
      </c>
      <c r="B503" s="4" t="s">
        <v>413</v>
      </c>
      <c r="C503" s="3" t="s">
        <v>385</v>
      </c>
      <c r="D503" s="50" t="s">
        <v>40</v>
      </c>
      <c r="E503" s="50" t="s">
        <v>40</v>
      </c>
      <c r="F503" s="50"/>
      <c r="G503" s="50"/>
      <c r="H503" s="50" t="s">
        <v>40</v>
      </c>
      <c r="I503" s="50" t="s">
        <v>40</v>
      </c>
      <c r="J503" s="50" t="s">
        <v>897</v>
      </c>
      <c r="K503" s="12"/>
      <c r="L503" s="12">
        <v>10362</v>
      </c>
      <c r="M503" s="15">
        <f t="shared" si="110"/>
        <v>15</v>
      </c>
      <c r="N503" s="15">
        <f t="shared" si="111"/>
        <v>0</v>
      </c>
      <c r="O503" s="12">
        <v>10362</v>
      </c>
      <c r="P503" s="12">
        <f t="shared" si="108"/>
        <v>863.5</v>
      </c>
      <c r="Q503" s="12">
        <f t="shared" si="109"/>
        <v>863.5</v>
      </c>
    </row>
    <row r="504" spans="1:21" x14ac:dyDescent="0.3">
      <c r="A504" s="1">
        <f t="shared" si="112"/>
        <v>26</v>
      </c>
      <c r="B504" s="10"/>
      <c r="C504" s="9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6"/>
      <c r="O504" s="13"/>
      <c r="P504" s="13"/>
      <c r="Q504" s="13"/>
    </row>
    <row r="505" spans="1:21" x14ac:dyDescent="0.3">
      <c r="A505" s="1">
        <f t="shared" si="112"/>
        <v>27</v>
      </c>
      <c r="B505" s="2" t="s">
        <v>400</v>
      </c>
      <c r="C505" s="3" t="s">
        <v>385</v>
      </c>
      <c r="D505" s="12" t="s">
        <v>40</v>
      </c>
      <c r="E505" s="12" t="s">
        <v>40</v>
      </c>
      <c r="F505" s="12"/>
      <c r="G505" s="12"/>
      <c r="H505" s="12" t="s">
        <v>40</v>
      </c>
      <c r="I505" s="12"/>
      <c r="J505" s="12"/>
      <c r="K505" s="12"/>
      <c r="L505" s="12">
        <v>119746.17</v>
      </c>
      <c r="M505" s="15">
        <f t="shared" si="110"/>
        <v>5</v>
      </c>
      <c r="N505" s="15">
        <f t="shared" si="111"/>
        <v>0</v>
      </c>
      <c r="O505" s="12">
        <v>119746.17</v>
      </c>
      <c r="P505" s="12">
        <f t="shared" si="108"/>
        <v>9978.8474999999999</v>
      </c>
      <c r="Q505" s="12">
        <f t="shared" si="109"/>
        <v>9978.8474999999999</v>
      </c>
    </row>
    <row r="506" spans="1:21" x14ac:dyDescent="0.3">
      <c r="A506" s="1">
        <f t="shared" si="112"/>
        <v>28</v>
      </c>
      <c r="B506" s="2">
        <v>20040086</v>
      </c>
      <c r="C506" s="3" t="s">
        <v>385</v>
      </c>
      <c r="D506" s="12" t="s">
        <v>40</v>
      </c>
      <c r="E506" s="12" t="s">
        <v>40</v>
      </c>
      <c r="F506" s="12"/>
      <c r="G506" s="12"/>
      <c r="H506" s="12" t="s">
        <v>40</v>
      </c>
      <c r="I506" s="12"/>
      <c r="J506" s="12"/>
      <c r="K506" s="12"/>
      <c r="L506" s="12">
        <v>65400</v>
      </c>
      <c r="M506" s="15">
        <f t="shared" si="110"/>
        <v>5</v>
      </c>
      <c r="N506" s="15">
        <f t="shared" si="111"/>
        <v>0</v>
      </c>
      <c r="O506" s="12">
        <v>65400</v>
      </c>
      <c r="P506" s="12">
        <f t="shared" si="108"/>
        <v>5450</v>
      </c>
      <c r="Q506" s="12">
        <f t="shared" si="109"/>
        <v>5450</v>
      </c>
    </row>
    <row r="507" spans="1:21" x14ac:dyDescent="0.3">
      <c r="A507" s="1">
        <f t="shared" si="112"/>
        <v>29</v>
      </c>
      <c r="B507" s="2">
        <v>19909824</v>
      </c>
      <c r="C507" s="3" t="s">
        <v>385</v>
      </c>
      <c r="D507" s="12" t="s">
        <v>40</v>
      </c>
      <c r="E507" s="12" t="s">
        <v>40</v>
      </c>
      <c r="F507" s="12"/>
      <c r="G507" s="12"/>
      <c r="H507" s="12" t="s">
        <v>40</v>
      </c>
      <c r="I507" s="12"/>
      <c r="J507" s="12"/>
      <c r="K507" s="12"/>
      <c r="L507" s="12">
        <v>0</v>
      </c>
      <c r="M507" s="15">
        <f t="shared" si="110"/>
        <v>5</v>
      </c>
      <c r="N507" s="15">
        <f t="shared" si="111"/>
        <v>0</v>
      </c>
      <c r="O507" s="20"/>
      <c r="P507" s="12">
        <f t="shared" si="108"/>
        <v>0</v>
      </c>
      <c r="Q507" s="20"/>
    </row>
    <row r="508" spans="1:21" x14ac:dyDescent="0.3">
      <c r="A508" s="1">
        <f t="shared" si="112"/>
        <v>30</v>
      </c>
      <c r="B508" s="2">
        <v>41128349</v>
      </c>
      <c r="C508" s="3" t="s">
        <v>385</v>
      </c>
      <c r="D508" s="12" t="s">
        <v>40</v>
      </c>
      <c r="E508" s="12" t="s">
        <v>40</v>
      </c>
      <c r="F508" s="12"/>
      <c r="G508" s="12"/>
      <c r="H508" s="12" t="s">
        <v>40</v>
      </c>
      <c r="I508" s="12"/>
      <c r="J508" s="12"/>
      <c r="K508" s="12"/>
      <c r="L508" s="12">
        <v>12300</v>
      </c>
      <c r="M508" s="15">
        <f t="shared" si="110"/>
        <v>5</v>
      </c>
      <c r="N508" s="15">
        <f t="shared" si="111"/>
        <v>0</v>
      </c>
      <c r="O508" s="12">
        <v>12300</v>
      </c>
      <c r="P508" s="12">
        <f t="shared" si="108"/>
        <v>1025</v>
      </c>
      <c r="Q508" s="12">
        <f t="shared" si="109"/>
        <v>1025</v>
      </c>
    </row>
    <row r="509" spans="1:21" x14ac:dyDescent="0.3">
      <c r="B509" s="29"/>
      <c r="D509"/>
      <c r="E509"/>
      <c r="F509"/>
      <c r="G509"/>
      <c r="H509"/>
      <c r="I509"/>
      <c r="J509"/>
      <c r="L509" s="14">
        <f>+AVERAGE(L479:L508)</f>
        <v>104885.62142857142</v>
      </c>
      <c r="M509" s="14">
        <f>+AVERAGE(M479:M508)</f>
        <v>7.9285714285714288</v>
      </c>
      <c r="N509" s="14">
        <f>+SUM(N479:N508)</f>
        <v>3</v>
      </c>
      <c r="O509" s="14">
        <f>+AVERAGE(O479:O508)</f>
        <v>105859.14583333333</v>
      </c>
      <c r="P509" s="14">
        <f>+AVERAGE(P479:P508)</f>
        <v>8740.4684523809519</v>
      </c>
      <c r="Q509" s="14">
        <f>+AVERAGE(Q479:Q508)</f>
        <v>8821.5954861111113</v>
      </c>
    </row>
    <row r="510" spans="1:21" x14ac:dyDescent="0.3">
      <c r="D510"/>
      <c r="E510"/>
      <c r="F510"/>
      <c r="G510"/>
      <c r="H510"/>
      <c r="I510"/>
      <c r="J510"/>
      <c r="L510" s="14">
        <f>+STDEV(L479:L508)</f>
        <v>116769.18668281693</v>
      </c>
      <c r="M510" s="14">
        <f>+STDEV(M479:M508)</f>
        <v>3.8866206537067787</v>
      </c>
      <c r="N510" s="17"/>
      <c r="O510" s="14">
        <f>+STDEV(O479:O508)</f>
        <v>98738.913892470271</v>
      </c>
      <c r="P510" s="14">
        <f>+STDEV(P479:P508)</f>
        <v>9730.7655569014078</v>
      </c>
      <c r="Q510" s="14">
        <f>+STDEV(Q479:Q508)</f>
        <v>8228.2428243725226</v>
      </c>
    </row>
    <row r="511" spans="1:21" x14ac:dyDescent="0.3">
      <c r="D511"/>
      <c r="E511"/>
      <c r="F511"/>
      <c r="G511"/>
      <c r="H511"/>
      <c r="I511" s="15"/>
      <c r="J511" s="15"/>
      <c r="K511" s="11" t="s">
        <v>75</v>
      </c>
      <c r="L511" s="14">
        <f>+COUNTIF(L479:L508,0)</f>
        <v>3</v>
      </c>
      <c r="M511" s="14">
        <f>+COUNT(M479:M508)</f>
        <v>28</v>
      </c>
      <c r="P511" s="14">
        <f>+COUNTIF(P479:P508,0)</f>
        <v>3</v>
      </c>
    </row>
    <row r="512" spans="1:21" x14ac:dyDescent="0.3">
      <c r="D512"/>
      <c r="E512"/>
      <c r="F512"/>
      <c r="G512"/>
      <c r="H512"/>
      <c r="I512"/>
      <c r="J512"/>
    </row>
    <row r="513" spans="1:21" x14ac:dyDescent="0.3">
      <c r="A513" s="1">
        <v>1</v>
      </c>
      <c r="B513" s="2" t="s">
        <v>416</v>
      </c>
      <c r="C513" s="3" t="s">
        <v>415</v>
      </c>
      <c r="D513" s="12" t="s">
        <v>40</v>
      </c>
      <c r="E513" s="12" t="s">
        <v>40</v>
      </c>
      <c r="F513" s="12"/>
      <c r="G513" s="12"/>
      <c r="H513" s="12" t="s">
        <v>40</v>
      </c>
      <c r="I513" s="12"/>
      <c r="J513" s="12"/>
      <c r="K513" s="12" t="s">
        <v>40</v>
      </c>
      <c r="L513" s="12">
        <v>50000</v>
      </c>
      <c r="M513" s="15">
        <f>+IF(D513="X",1,0)+IF(E513="X",1,0)+IF(F513="X",2,0)+IF(G513="X",2,0)+IF(H513="X",3,IF(H513="Y",1.5,0))+IF(I513="X",5,IF(I513="Y",2.5,0))+IF(J513="X1",10,IF(J513="X2",5,IF(J513="X3",3,0)))</f>
        <v>5</v>
      </c>
      <c r="N513" s="15">
        <f>+IF(K513="X",1,0)</f>
        <v>1</v>
      </c>
      <c r="O513" s="12">
        <v>58062</v>
      </c>
      <c r="P513" s="12">
        <f t="shared" ref="P513:P542" si="113">+L513/12</f>
        <v>4166.666666666667</v>
      </c>
      <c r="Q513" s="12">
        <f t="shared" ref="Q513" si="114">+O513/12</f>
        <v>4838.5</v>
      </c>
    </row>
    <row r="514" spans="1:21" x14ac:dyDescent="0.3">
      <c r="A514" s="1">
        <f>+A513+1</f>
        <v>2</v>
      </c>
      <c r="B514" s="2" t="s">
        <v>417</v>
      </c>
      <c r="C514" s="3" t="s">
        <v>415</v>
      </c>
      <c r="D514" s="12" t="s">
        <v>40</v>
      </c>
      <c r="E514" s="12" t="s">
        <v>40</v>
      </c>
      <c r="F514" s="12"/>
      <c r="G514" s="12"/>
      <c r="H514" s="12" t="s">
        <v>40</v>
      </c>
      <c r="I514" s="12"/>
      <c r="J514" s="12"/>
      <c r="K514" s="12"/>
      <c r="L514" s="12">
        <v>4500000</v>
      </c>
      <c r="M514" s="15">
        <f t="shared" ref="M514:M542" si="115">+IF(D514="X",1,0)+IF(E514="X",1,0)+IF(F514="X",2,0)+IF(G514="X",2,0)+IF(H514="X",3,IF(H514="Y",1.5,0))+IF(I514="X",5,IF(I514="Y",2.5,0))+IF(J514="X1",10,IF(J514="X2",5,IF(J514="X3",3,0)))</f>
        <v>5</v>
      </c>
      <c r="N514" s="15">
        <f t="shared" ref="N514:N542" si="116">+IF(K514="X",1,0)</f>
        <v>0</v>
      </c>
      <c r="O514" s="20"/>
      <c r="P514" s="12">
        <f t="shared" si="113"/>
        <v>375000</v>
      </c>
      <c r="Q514" s="20"/>
      <c r="S514" t="s">
        <v>325</v>
      </c>
      <c r="T514" t="s">
        <v>151</v>
      </c>
    </row>
    <row r="515" spans="1:21" x14ac:dyDescent="0.3">
      <c r="A515" s="1">
        <f t="shared" ref="A515:A542" si="117">+A514+1</f>
        <v>3</v>
      </c>
      <c r="B515" s="2" t="s">
        <v>418</v>
      </c>
      <c r="C515" s="3" t="s">
        <v>415</v>
      </c>
      <c r="D515" s="12" t="s">
        <v>40</v>
      </c>
      <c r="E515" s="12" t="s">
        <v>40</v>
      </c>
      <c r="F515" s="12" t="s">
        <v>40</v>
      </c>
      <c r="G515" s="12"/>
      <c r="H515" s="12" t="s">
        <v>40</v>
      </c>
      <c r="I515" s="12"/>
      <c r="J515" s="12"/>
      <c r="K515" s="12" t="s">
        <v>40</v>
      </c>
      <c r="L515" s="12">
        <v>58062</v>
      </c>
      <c r="M515" s="15">
        <f t="shared" si="115"/>
        <v>7</v>
      </c>
      <c r="N515" s="15">
        <f t="shared" si="116"/>
        <v>1</v>
      </c>
      <c r="O515" s="12">
        <v>58062</v>
      </c>
      <c r="P515" s="12">
        <f t="shared" si="113"/>
        <v>4838.5</v>
      </c>
      <c r="Q515" s="12">
        <f t="shared" ref="Q515:Q542" si="118">+O515/12</f>
        <v>4838.5</v>
      </c>
    </row>
    <row r="516" spans="1:21" x14ac:dyDescent="0.3">
      <c r="A516" s="1">
        <f t="shared" si="117"/>
        <v>4</v>
      </c>
      <c r="B516" s="2" t="s">
        <v>419</v>
      </c>
      <c r="C516" s="3" t="s">
        <v>415</v>
      </c>
      <c r="D516" s="12" t="s">
        <v>40</v>
      </c>
      <c r="E516" s="12" t="s">
        <v>40</v>
      </c>
      <c r="F516" s="12"/>
      <c r="G516" s="12"/>
      <c r="H516" s="12"/>
      <c r="I516" s="12"/>
      <c r="J516" s="12"/>
      <c r="K516" s="12"/>
      <c r="L516" s="12">
        <v>0</v>
      </c>
      <c r="M516" s="15">
        <f t="shared" si="115"/>
        <v>2</v>
      </c>
      <c r="N516" s="15">
        <f t="shared" si="116"/>
        <v>0</v>
      </c>
      <c r="O516" s="20"/>
      <c r="P516" s="12">
        <f t="shared" si="113"/>
        <v>0</v>
      </c>
      <c r="Q516" s="20"/>
    </row>
    <row r="517" spans="1:21" x14ac:dyDescent="0.3">
      <c r="A517" s="1">
        <f t="shared" si="117"/>
        <v>5</v>
      </c>
      <c r="B517" s="2" t="s">
        <v>420</v>
      </c>
      <c r="C517" s="3" t="s">
        <v>415</v>
      </c>
      <c r="D517" s="12" t="s">
        <v>40</v>
      </c>
      <c r="E517" s="12" t="s">
        <v>40</v>
      </c>
      <c r="F517" s="12"/>
      <c r="G517" s="12"/>
      <c r="H517" s="12" t="s">
        <v>40</v>
      </c>
      <c r="I517" s="12" t="s">
        <v>40</v>
      </c>
      <c r="J517" s="12"/>
      <c r="K517" s="12"/>
      <c r="L517" s="12">
        <v>198269</v>
      </c>
      <c r="M517" s="15">
        <f t="shared" si="115"/>
        <v>10</v>
      </c>
      <c r="N517" s="15">
        <f t="shared" si="116"/>
        <v>0</v>
      </c>
      <c r="O517" s="12">
        <v>198269</v>
      </c>
      <c r="P517" s="12">
        <f t="shared" si="113"/>
        <v>16522.416666666668</v>
      </c>
      <c r="Q517" s="12">
        <f t="shared" si="118"/>
        <v>16522.416666666668</v>
      </c>
      <c r="U517" t="s">
        <v>421</v>
      </c>
    </row>
    <row r="518" spans="1:21" x14ac:dyDescent="0.3">
      <c r="A518" s="1">
        <f t="shared" si="117"/>
        <v>6</v>
      </c>
      <c r="B518" s="2">
        <v>10342732</v>
      </c>
      <c r="C518" s="3" t="s">
        <v>415</v>
      </c>
      <c r="D518" s="12" t="s">
        <v>40</v>
      </c>
      <c r="E518" s="12" t="s">
        <v>40</v>
      </c>
      <c r="F518" s="12"/>
      <c r="G518" s="12"/>
      <c r="H518" s="12" t="s">
        <v>40</v>
      </c>
      <c r="I518" s="12" t="s">
        <v>40</v>
      </c>
      <c r="J518" s="12"/>
      <c r="K518" s="12"/>
      <c r="L518" s="12">
        <v>232522</v>
      </c>
      <c r="M518" s="15">
        <f t="shared" si="115"/>
        <v>10</v>
      </c>
      <c r="N518" s="15">
        <f t="shared" si="116"/>
        <v>0</v>
      </c>
      <c r="O518" s="12">
        <v>232522</v>
      </c>
      <c r="P518" s="12">
        <f t="shared" si="113"/>
        <v>19376.833333333332</v>
      </c>
      <c r="Q518" s="12">
        <f t="shared" si="118"/>
        <v>19376.833333333332</v>
      </c>
    </row>
    <row r="519" spans="1:21" x14ac:dyDescent="0.3">
      <c r="A519" s="1">
        <f t="shared" si="117"/>
        <v>7</v>
      </c>
      <c r="B519" s="2" t="s">
        <v>422</v>
      </c>
      <c r="C519" s="3" t="s">
        <v>415</v>
      </c>
      <c r="D519" s="12" t="s">
        <v>40</v>
      </c>
      <c r="E519" s="12" t="s">
        <v>40</v>
      </c>
      <c r="F519" s="12"/>
      <c r="G519" s="12"/>
      <c r="H519" s="12" t="s">
        <v>40</v>
      </c>
      <c r="I519" s="12" t="s">
        <v>40</v>
      </c>
      <c r="J519" s="12"/>
      <c r="K519" s="12"/>
      <c r="L519" s="12">
        <v>150921</v>
      </c>
      <c r="M519" s="15">
        <f t="shared" si="115"/>
        <v>10</v>
      </c>
      <c r="N519" s="15">
        <f t="shared" si="116"/>
        <v>0</v>
      </c>
      <c r="O519" s="12">
        <v>150921</v>
      </c>
      <c r="P519" s="12">
        <f t="shared" si="113"/>
        <v>12576.75</v>
      </c>
      <c r="Q519" s="12">
        <f t="shared" si="118"/>
        <v>12576.75</v>
      </c>
    </row>
    <row r="520" spans="1:21" x14ac:dyDescent="0.3">
      <c r="A520" s="1">
        <f t="shared" si="117"/>
        <v>8</v>
      </c>
      <c r="B520" s="2" t="s">
        <v>423</v>
      </c>
      <c r="C520" s="3" t="s">
        <v>415</v>
      </c>
      <c r="D520" s="12" t="s">
        <v>40</v>
      </c>
      <c r="E520" s="12" t="s">
        <v>40</v>
      </c>
      <c r="F520" s="12"/>
      <c r="G520" s="12" t="s">
        <v>40</v>
      </c>
      <c r="H520" s="12"/>
      <c r="I520" s="12"/>
      <c r="J520" s="12"/>
      <c r="K520" s="12" t="s">
        <v>40</v>
      </c>
      <c r="L520" s="12">
        <v>202277</v>
      </c>
      <c r="M520" s="15">
        <f t="shared" si="115"/>
        <v>4</v>
      </c>
      <c r="N520" s="15">
        <f t="shared" si="116"/>
        <v>1</v>
      </c>
      <c r="O520" s="12">
        <v>202277</v>
      </c>
      <c r="P520" s="12">
        <f t="shared" si="113"/>
        <v>16856.416666666668</v>
      </c>
      <c r="Q520" s="12">
        <f t="shared" si="118"/>
        <v>16856.416666666668</v>
      </c>
    </row>
    <row r="521" spans="1:21" x14ac:dyDescent="0.3">
      <c r="A521" s="1">
        <f t="shared" si="117"/>
        <v>9</v>
      </c>
      <c r="B521" s="2">
        <v>29666430</v>
      </c>
      <c r="C521" s="3" t="s">
        <v>415</v>
      </c>
      <c r="D521" s="12" t="s">
        <v>40</v>
      </c>
      <c r="E521" s="12" t="s">
        <v>40</v>
      </c>
      <c r="F521" s="12"/>
      <c r="G521" s="12"/>
      <c r="H521" s="12" t="s">
        <v>40</v>
      </c>
      <c r="I521" s="12"/>
      <c r="J521" s="12"/>
      <c r="K521" s="12" t="s">
        <v>40</v>
      </c>
      <c r="L521" s="12">
        <v>32835</v>
      </c>
      <c r="M521" s="15">
        <f t="shared" si="115"/>
        <v>5</v>
      </c>
      <c r="N521" s="15">
        <f t="shared" si="116"/>
        <v>1</v>
      </c>
      <c r="O521" s="12">
        <v>32835</v>
      </c>
      <c r="P521" s="12">
        <f t="shared" si="113"/>
        <v>2736.25</v>
      </c>
      <c r="Q521" s="12">
        <f t="shared" si="118"/>
        <v>2736.25</v>
      </c>
      <c r="S521" t="s">
        <v>424</v>
      </c>
      <c r="T521" t="s">
        <v>151</v>
      </c>
    </row>
    <row r="522" spans="1:21" x14ac:dyDescent="0.3">
      <c r="A522" s="1">
        <f t="shared" si="117"/>
        <v>10</v>
      </c>
      <c r="B522" s="2" t="s">
        <v>425</v>
      </c>
      <c r="C522" s="3" t="s">
        <v>415</v>
      </c>
      <c r="D522" s="12" t="s">
        <v>40</v>
      </c>
      <c r="E522" s="12" t="s">
        <v>40</v>
      </c>
      <c r="F522" s="12" t="s">
        <v>40</v>
      </c>
      <c r="G522" s="12"/>
      <c r="H522" s="12" t="s">
        <v>40</v>
      </c>
      <c r="I522" s="12"/>
      <c r="J522" s="12"/>
      <c r="K522" s="12"/>
      <c r="L522" s="12">
        <v>49560</v>
      </c>
      <c r="M522" s="15">
        <f t="shared" si="115"/>
        <v>7</v>
      </c>
      <c r="N522" s="15">
        <f t="shared" si="116"/>
        <v>0</v>
      </c>
      <c r="O522" s="12">
        <v>49560</v>
      </c>
      <c r="P522" s="12">
        <f t="shared" si="113"/>
        <v>4130</v>
      </c>
      <c r="Q522" s="12">
        <f t="shared" si="118"/>
        <v>4130</v>
      </c>
    </row>
    <row r="523" spans="1:21" x14ac:dyDescent="0.3">
      <c r="A523" s="1">
        <f t="shared" si="117"/>
        <v>11</v>
      </c>
      <c r="B523" s="2" t="s">
        <v>426</v>
      </c>
      <c r="C523" s="3" t="s">
        <v>415</v>
      </c>
      <c r="D523" s="12" t="s">
        <v>40</v>
      </c>
      <c r="E523" s="12" t="s">
        <v>40</v>
      </c>
      <c r="F523" s="12"/>
      <c r="G523" s="12"/>
      <c r="H523" s="12" t="s">
        <v>40</v>
      </c>
      <c r="I523" s="12"/>
      <c r="J523" s="12"/>
      <c r="K523" s="12"/>
      <c r="L523" s="12">
        <v>387637</v>
      </c>
      <c r="M523" s="15">
        <f t="shared" si="115"/>
        <v>5</v>
      </c>
      <c r="N523" s="15">
        <f t="shared" si="116"/>
        <v>0</v>
      </c>
      <c r="O523" s="12">
        <v>387637</v>
      </c>
      <c r="P523" s="12">
        <f t="shared" si="113"/>
        <v>32303.083333333332</v>
      </c>
      <c r="Q523" s="12">
        <f t="shared" si="118"/>
        <v>32303.083333333332</v>
      </c>
    </row>
    <row r="524" spans="1:21" x14ac:dyDescent="0.3">
      <c r="A524" s="1">
        <f t="shared" si="117"/>
        <v>12</v>
      </c>
      <c r="B524" s="10"/>
      <c r="C524" s="9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6"/>
      <c r="O524" s="13"/>
      <c r="P524" s="13"/>
      <c r="Q524" s="13"/>
    </row>
    <row r="525" spans="1:21" x14ac:dyDescent="0.3">
      <c r="A525" s="1">
        <f t="shared" si="117"/>
        <v>13</v>
      </c>
      <c r="B525" s="2">
        <v>27557657</v>
      </c>
      <c r="C525" s="3" t="s">
        <v>415</v>
      </c>
      <c r="D525" s="12" t="s">
        <v>40</v>
      </c>
      <c r="E525" s="12" t="s">
        <v>40</v>
      </c>
      <c r="F525" s="12" t="s">
        <v>40</v>
      </c>
      <c r="G525" s="12"/>
      <c r="H525" s="12" t="s">
        <v>40</v>
      </c>
      <c r="I525" s="12" t="s">
        <v>40</v>
      </c>
      <c r="J525" s="12"/>
      <c r="K525" s="12"/>
      <c r="L525" s="12">
        <v>0</v>
      </c>
      <c r="M525" s="15">
        <f t="shared" si="115"/>
        <v>12</v>
      </c>
      <c r="N525" s="15">
        <f t="shared" si="116"/>
        <v>0</v>
      </c>
      <c r="O525" s="20"/>
      <c r="P525" s="12">
        <f t="shared" ref="P525" si="119">+L525/12</f>
        <v>0</v>
      </c>
      <c r="Q525" s="20"/>
    </row>
    <row r="526" spans="1:21" x14ac:dyDescent="0.3">
      <c r="A526" s="1">
        <f t="shared" si="117"/>
        <v>14</v>
      </c>
      <c r="B526" s="2">
        <v>20085925</v>
      </c>
      <c r="C526" s="3" t="s">
        <v>415</v>
      </c>
      <c r="D526" s="12" t="s">
        <v>40</v>
      </c>
      <c r="E526" s="12" t="s">
        <v>40</v>
      </c>
      <c r="F526" s="12"/>
      <c r="G526" s="12"/>
      <c r="H526" s="12" t="s">
        <v>40</v>
      </c>
      <c r="I526" s="12"/>
      <c r="J526" s="12"/>
      <c r="K526" s="12"/>
      <c r="L526" s="12">
        <v>42000</v>
      </c>
      <c r="M526" s="15">
        <f t="shared" si="115"/>
        <v>5</v>
      </c>
      <c r="N526" s="15">
        <f t="shared" si="116"/>
        <v>0</v>
      </c>
      <c r="O526" s="12">
        <v>42000</v>
      </c>
      <c r="P526" s="12">
        <f t="shared" si="113"/>
        <v>3500</v>
      </c>
      <c r="Q526" s="12">
        <f t="shared" si="118"/>
        <v>3500</v>
      </c>
    </row>
    <row r="527" spans="1:21" x14ac:dyDescent="0.3">
      <c r="A527" s="1">
        <f t="shared" si="117"/>
        <v>15</v>
      </c>
      <c r="B527" s="2" t="s">
        <v>427</v>
      </c>
      <c r="C527" s="3" t="s">
        <v>415</v>
      </c>
      <c r="D527" s="12" t="s">
        <v>40</v>
      </c>
      <c r="E527" s="12" t="s">
        <v>40</v>
      </c>
      <c r="F527" s="12"/>
      <c r="G527" s="12"/>
      <c r="H527" s="12"/>
      <c r="I527" s="12"/>
      <c r="J527" s="12"/>
      <c r="K527" s="12"/>
      <c r="L527" s="12">
        <v>20572</v>
      </c>
      <c r="M527" s="15">
        <f t="shared" si="115"/>
        <v>2</v>
      </c>
      <c r="N527" s="15">
        <f t="shared" si="116"/>
        <v>0</v>
      </c>
      <c r="O527" s="12">
        <v>20572</v>
      </c>
      <c r="P527" s="12">
        <f t="shared" si="113"/>
        <v>1714.3333333333333</v>
      </c>
      <c r="Q527" s="12">
        <f t="shared" si="118"/>
        <v>1714.3333333333333</v>
      </c>
      <c r="U527" t="s">
        <v>428</v>
      </c>
    </row>
    <row r="528" spans="1:21" x14ac:dyDescent="0.3">
      <c r="A528" s="1">
        <f t="shared" si="117"/>
        <v>16</v>
      </c>
      <c r="B528" s="2" t="s">
        <v>429</v>
      </c>
      <c r="C528" s="3" t="s">
        <v>415</v>
      </c>
      <c r="D528" s="12" t="s">
        <v>40</v>
      </c>
      <c r="E528" s="12" t="s">
        <v>40</v>
      </c>
      <c r="F528" s="12"/>
      <c r="G528" s="12" t="s">
        <v>40</v>
      </c>
      <c r="H528" s="12"/>
      <c r="I528" s="12"/>
      <c r="J528" s="12"/>
      <c r="K528" s="12"/>
      <c r="L528" s="12">
        <v>136500</v>
      </c>
      <c r="M528" s="15">
        <f t="shared" si="115"/>
        <v>4</v>
      </c>
      <c r="N528" s="15">
        <f t="shared" si="116"/>
        <v>0</v>
      </c>
      <c r="O528" s="12">
        <v>136500</v>
      </c>
      <c r="P528" s="12">
        <f t="shared" si="113"/>
        <v>11375</v>
      </c>
      <c r="Q528" s="12">
        <f t="shared" si="118"/>
        <v>11375</v>
      </c>
    </row>
    <row r="529" spans="1:17" x14ac:dyDescent="0.3">
      <c r="A529" s="1">
        <f t="shared" si="117"/>
        <v>17</v>
      </c>
      <c r="B529" s="2">
        <v>10182930</v>
      </c>
      <c r="C529" s="3" t="s">
        <v>415</v>
      </c>
      <c r="D529" s="12" t="s">
        <v>40</v>
      </c>
      <c r="E529" s="12" t="s">
        <v>40</v>
      </c>
      <c r="F529" s="12"/>
      <c r="G529" s="12"/>
      <c r="H529" s="12" t="s">
        <v>40</v>
      </c>
      <c r="I529" s="12"/>
      <c r="J529" s="12"/>
      <c r="K529" s="12"/>
      <c r="L529" s="12">
        <v>29000</v>
      </c>
      <c r="M529" s="15">
        <f t="shared" si="115"/>
        <v>5</v>
      </c>
      <c r="N529" s="15">
        <f t="shared" si="116"/>
        <v>0</v>
      </c>
      <c r="O529" s="12">
        <v>29000</v>
      </c>
      <c r="P529" s="12">
        <f t="shared" si="113"/>
        <v>2416.6666666666665</v>
      </c>
      <c r="Q529" s="12">
        <f t="shared" si="118"/>
        <v>2416.6666666666665</v>
      </c>
    </row>
    <row r="530" spans="1:17" x14ac:dyDescent="0.3">
      <c r="A530" s="1">
        <f t="shared" si="117"/>
        <v>18</v>
      </c>
      <c r="B530" s="2">
        <v>10417514</v>
      </c>
      <c r="C530" s="3" t="s">
        <v>415</v>
      </c>
      <c r="D530" s="12" t="s">
        <v>40</v>
      </c>
      <c r="E530" s="12" t="s">
        <v>40</v>
      </c>
      <c r="F530" s="12" t="s">
        <v>40</v>
      </c>
      <c r="G530" s="12"/>
      <c r="H530" s="12"/>
      <c r="I530" s="12"/>
      <c r="J530" s="12"/>
      <c r="K530" s="12"/>
      <c r="L530" s="12">
        <v>0</v>
      </c>
      <c r="M530" s="15">
        <f t="shared" si="115"/>
        <v>4</v>
      </c>
      <c r="N530" s="15">
        <f t="shared" si="116"/>
        <v>0</v>
      </c>
      <c r="O530" s="20"/>
      <c r="P530" s="12">
        <f t="shared" si="113"/>
        <v>0</v>
      </c>
      <c r="Q530" s="20"/>
    </row>
    <row r="531" spans="1:17" x14ac:dyDescent="0.3">
      <c r="A531" s="1">
        <f t="shared" si="117"/>
        <v>19</v>
      </c>
      <c r="B531" s="2" t="s">
        <v>430</v>
      </c>
      <c r="C531" s="3" t="s">
        <v>415</v>
      </c>
      <c r="D531" s="12" t="s">
        <v>40</v>
      </c>
      <c r="E531" s="12" t="s">
        <v>40</v>
      </c>
      <c r="F531" s="12"/>
      <c r="G531" s="12"/>
      <c r="H531" s="12" t="s">
        <v>40</v>
      </c>
      <c r="I531" s="12" t="s">
        <v>40</v>
      </c>
      <c r="J531" s="12"/>
      <c r="K531" s="12"/>
      <c r="L531" s="12">
        <v>0</v>
      </c>
      <c r="M531" s="15">
        <f t="shared" si="115"/>
        <v>10</v>
      </c>
      <c r="N531" s="15">
        <f t="shared" si="116"/>
        <v>0</v>
      </c>
      <c r="O531" s="20"/>
      <c r="P531" s="12">
        <f t="shared" si="113"/>
        <v>0</v>
      </c>
      <c r="Q531" s="20"/>
    </row>
    <row r="532" spans="1:17" x14ac:dyDescent="0.3">
      <c r="A532" s="1">
        <f t="shared" si="117"/>
        <v>20</v>
      </c>
      <c r="B532" s="2" t="s">
        <v>431</v>
      </c>
      <c r="C532" s="3" t="s">
        <v>415</v>
      </c>
      <c r="D532" s="12" t="s">
        <v>40</v>
      </c>
      <c r="E532" s="12" t="s">
        <v>40</v>
      </c>
      <c r="F532" s="12"/>
      <c r="G532" s="12"/>
      <c r="H532" s="12" t="s">
        <v>40</v>
      </c>
      <c r="I532" s="12"/>
      <c r="J532" s="12"/>
      <c r="K532" s="12"/>
      <c r="L532" s="12">
        <v>10212</v>
      </c>
      <c r="M532" s="15">
        <f t="shared" si="115"/>
        <v>5</v>
      </c>
      <c r="N532" s="15">
        <f t="shared" si="116"/>
        <v>0</v>
      </c>
      <c r="O532" s="12">
        <v>10212</v>
      </c>
      <c r="P532" s="12">
        <f t="shared" si="113"/>
        <v>851</v>
      </c>
      <c r="Q532" s="12">
        <f t="shared" si="118"/>
        <v>851</v>
      </c>
    </row>
    <row r="533" spans="1:17" x14ac:dyDescent="0.3">
      <c r="A533" s="1">
        <f t="shared" si="117"/>
        <v>21</v>
      </c>
      <c r="B533" s="2" t="s">
        <v>432</v>
      </c>
      <c r="C533" s="3" t="s">
        <v>415</v>
      </c>
      <c r="D533" s="12" t="s">
        <v>40</v>
      </c>
      <c r="E533" s="12" t="s">
        <v>40</v>
      </c>
      <c r="F533" s="12"/>
      <c r="G533" s="12"/>
      <c r="H533" s="12" t="s">
        <v>40</v>
      </c>
      <c r="I533" s="12"/>
      <c r="J533" s="12"/>
      <c r="K533" s="12"/>
      <c r="L533" s="12">
        <v>200423</v>
      </c>
      <c r="M533" s="15">
        <f t="shared" si="115"/>
        <v>5</v>
      </c>
      <c r="N533" s="15">
        <f t="shared" si="116"/>
        <v>0</v>
      </c>
      <c r="O533" s="12">
        <v>200423</v>
      </c>
      <c r="P533" s="12">
        <f t="shared" si="113"/>
        <v>16701.916666666668</v>
      </c>
      <c r="Q533" s="12">
        <f t="shared" si="118"/>
        <v>16701.916666666668</v>
      </c>
    </row>
    <row r="534" spans="1:17" x14ac:dyDescent="0.3">
      <c r="A534" s="1">
        <f t="shared" si="117"/>
        <v>22</v>
      </c>
      <c r="B534" s="18" t="s">
        <v>433</v>
      </c>
      <c r="C534" s="3" t="s">
        <v>415</v>
      </c>
      <c r="D534" s="12" t="s">
        <v>40</v>
      </c>
      <c r="E534" s="12" t="s">
        <v>40</v>
      </c>
      <c r="F534" s="12"/>
      <c r="G534" s="12"/>
      <c r="H534" s="12" t="s">
        <v>40</v>
      </c>
      <c r="I534" s="12" t="s">
        <v>40</v>
      </c>
      <c r="J534" s="12"/>
      <c r="K534" s="12"/>
      <c r="L534" s="12">
        <v>48000</v>
      </c>
      <c r="M534" s="15">
        <f t="shared" si="115"/>
        <v>10</v>
      </c>
      <c r="N534" s="15">
        <f t="shared" si="116"/>
        <v>0</v>
      </c>
      <c r="O534" s="12">
        <v>48000</v>
      </c>
      <c r="P534" s="12">
        <f t="shared" si="113"/>
        <v>4000</v>
      </c>
      <c r="Q534" s="12">
        <f t="shared" si="118"/>
        <v>4000</v>
      </c>
    </row>
    <row r="535" spans="1:17" x14ac:dyDescent="0.3">
      <c r="A535" s="1">
        <f t="shared" si="117"/>
        <v>23</v>
      </c>
      <c r="B535" s="2" t="s">
        <v>434</v>
      </c>
      <c r="C535" s="3" t="s">
        <v>415</v>
      </c>
      <c r="D535" s="12" t="s">
        <v>40</v>
      </c>
      <c r="E535" s="12" t="s">
        <v>40</v>
      </c>
      <c r="F535" s="12"/>
      <c r="G535" s="12"/>
      <c r="H535" s="12" t="s">
        <v>40</v>
      </c>
      <c r="I535" s="12"/>
      <c r="J535" s="12"/>
      <c r="K535" s="12"/>
      <c r="L535" s="12">
        <v>103188.91</v>
      </c>
      <c r="M535" s="15">
        <f t="shared" si="115"/>
        <v>5</v>
      </c>
      <c r="N535" s="15">
        <f t="shared" si="116"/>
        <v>0</v>
      </c>
      <c r="O535" s="12">
        <v>103188.91</v>
      </c>
      <c r="P535" s="12">
        <f t="shared" si="113"/>
        <v>8599.0758333333342</v>
      </c>
      <c r="Q535" s="12">
        <f t="shared" si="118"/>
        <v>8599.0758333333342</v>
      </c>
    </row>
    <row r="536" spans="1:17" x14ac:dyDescent="0.3">
      <c r="A536" s="1">
        <f t="shared" si="117"/>
        <v>24</v>
      </c>
      <c r="B536" s="2">
        <v>10257086</v>
      </c>
      <c r="C536" s="3" t="s">
        <v>415</v>
      </c>
      <c r="D536" s="12" t="s">
        <v>40</v>
      </c>
      <c r="E536" s="12" t="s">
        <v>40</v>
      </c>
      <c r="F536" s="12"/>
      <c r="G536" s="12"/>
      <c r="H536" s="12" t="s">
        <v>40</v>
      </c>
      <c r="I536" s="12" t="s">
        <v>40</v>
      </c>
      <c r="J536" s="12"/>
      <c r="K536" s="12"/>
      <c r="L536" s="12">
        <v>22724</v>
      </c>
      <c r="M536" s="15">
        <f t="shared" si="115"/>
        <v>10</v>
      </c>
      <c r="N536" s="15">
        <f t="shared" si="116"/>
        <v>0</v>
      </c>
      <c r="O536" s="12">
        <v>22724</v>
      </c>
      <c r="P536" s="12">
        <f t="shared" si="113"/>
        <v>1893.6666666666667</v>
      </c>
      <c r="Q536" s="12">
        <f t="shared" si="118"/>
        <v>1893.6666666666667</v>
      </c>
    </row>
    <row r="537" spans="1:17" x14ac:dyDescent="0.3">
      <c r="A537" s="1">
        <f t="shared" si="117"/>
        <v>25</v>
      </c>
      <c r="B537" s="18" t="s">
        <v>435</v>
      </c>
      <c r="C537" s="3" t="s">
        <v>415</v>
      </c>
      <c r="D537" s="12" t="s">
        <v>40</v>
      </c>
      <c r="E537" s="12" t="s">
        <v>40</v>
      </c>
      <c r="F537" s="12"/>
      <c r="G537" s="12"/>
      <c r="H537" s="12" t="s">
        <v>40</v>
      </c>
      <c r="I537" s="12"/>
      <c r="J537" s="12"/>
      <c r="K537" s="12"/>
      <c r="L537" s="12">
        <v>270700</v>
      </c>
      <c r="M537" s="15">
        <f t="shared" si="115"/>
        <v>5</v>
      </c>
      <c r="N537" s="15">
        <f t="shared" si="116"/>
        <v>0</v>
      </c>
      <c r="O537" s="12">
        <v>270700</v>
      </c>
      <c r="P537" s="12">
        <f t="shared" si="113"/>
        <v>22558.333333333332</v>
      </c>
      <c r="Q537" s="12">
        <f t="shared" si="118"/>
        <v>22558.333333333332</v>
      </c>
    </row>
    <row r="538" spans="1:17" x14ac:dyDescent="0.3">
      <c r="A538" s="1">
        <f t="shared" si="117"/>
        <v>26</v>
      </c>
      <c r="B538" s="10"/>
      <c r="C538" s="9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6"/>
      <c r="O538" s="13"/>
      <c r="P538" s="13"/>
      <c r="Q538" s="13"/>
    </row>
    <row r="539" spans="1:17" x14ac:dyDescent="0.3">
      <c r="A539" s="1">
        <f t="shared" si="117"/>
        <v>27</v>
      </c>
      <c r="B539" s="2" t="s">
        <v>436</v>
      </c>
      <c r="C539" s="3" t="s">
        <v>415</v>
      </c>
      <c r="D539" s="12" t="s">
        <v>40</v>
      </c>
      <c r="E539" s="12" t="s">
        <v>40</v>
      </c>
      <c r="F539" s="12"/>
      <c r="G539" s="12"/>
      <c r="H539" s="12" t="s">
        <v>40</v>
      </c>
      <c r="I539" s="12"/>
      <c r="J539" s="12"/>
      <c r="K539" s="12"/>
      <c r="L539" s="12">
        <v>47246</v>
      </c>
      <c r="M539" s="15">
        <f t="shared" si="115"/>
        <v>5</v>
      </c>
      <c r="N539" s="15">
        <f t="shared" si="116"/>
        <v>0</v>
      </c>
      <c r="O539" s="12">
        <v>47246</v>
      </c>
      <c r="P539" s="12">
        <f t="shared" si="113"/>
        <v>3937.1666666666665</v>
      </c>
      <c r="Q539" s="12">
        <f t="shared" si="118"/>
        <v>3937.1666666666665</v>
      </c>
    </row>
    <row r="540" spans="1:17" x14ac:dyDescent="0.3">
      <c r="A540" s="1">
        <f t="shared" si="117"/>
        <v>28</v>
      </c>
      <c r="B540" s="10"/>
      <c r="C540" s="9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6"/>
      <c r="O540" s="13"/>
      <c r="P540" s="13"/>
      <c r="Q540" s="13"/>
    </row>
    <row r="541" spans="1:17" x14ac:dyDescent="0.3">
      <c r="A541" s="1">
        <f t="shared" si="117"/>
        <v>29</v>
      </c>
      <c r="B541" s="2" t="s">
        <v>437</v>
      </c>
      <c r="C541" s="3" t="s">
        <v>415</v>
      </c>
      <c r="D541" s="12" t="s">
        <v>40</v>
      </c>
      <c r="E541" s="12" t="s">
        <v>40</v>
      </c>
      <c r="F541" s="12"/>
      <c r="G541" s="12"/>
      <c r="H541" s="12" t="s">
        <v>40</v>
      </c>
      <c r="I541" s="12"/>
      <c r="J541" s="12"/>
      <c r="K541" s="12"/>
      <c r="L541" s="12">
        <v>82920</v>
      </c>
      <c r="M541" s="15">
        <f t="shared" si="115"/>
        <v>5</v>
      </c>
      <c r="N541" s="15">
        <f t="shared" si="116"/>
        <v>0</v>
      </c>
      <c r="O541" s="12">
        <v>82920</v>
      </c>
      <c r="P541" s="12">
        <f t="shared" si="113"/>
        <v>6910</v>
      </c>
      <c r="Q541" s="12">
        <f t="shared" si="118"/>
        <v>6910</v>
      </c>
    </row>
    <row r="542" spans="1:17" x14ac:dyDescent="0.3">
      <c r="A542" s="1">
        <f t="shared" si="117"/>
        <v>30</v>
      </c>
      <c r="B542" s="18" t="s">
        <v>438</v>
      </c>
      <c r="C542" s="3" t="s">
        <v>415</v>
      </c>
      <c r="D542" s="50" t="s">
        <v>40</v>
      </c>
      <c r="E542" s="50" t="s">
        <v>40</v>
      </c>
      <c r="F542" s="50"/>
      <c r="G542" s="50"/>
      <c r="H542" s="50" t="s">
        <v>40</v>
      </c>
      <c r="I542" s="50" t="s">
        <v>40</v>
      </c>
      <c r="J542" s="50" t="s">
        <v>897</v>
      </c>
      <c r="K542" s="12"/>
      <c r="L542" s="12">
        <v>150759.1</v>
      </c>
      <c r="M542" s="15">
        <f t="shared" si="115"/>
        <v>15</v>
      </c>
      <c r="N542" s="15">
        <f t="shared" si="116"/>
        <v>0</v>
      </c>
      <c r="O542" s="12">
        <v>150759.1</v>
      </c>
      <c r="P542" s="12">
        <f t="shared" si="113"/>
        <v>12563.258333333333</v>
      </c>
      <c r="Q542" s="12">
        <f t="shared" si="118"/>
        <v>12563.258333333333</v>
      </c>
    </row>
    <row r="543" spans="1:17" x14ac:dyDescent="0.3">
      <c r="B543" s="29"/>
      <c r="D543"/>
      <c r="E543"/>
      <c r="F543"/>
      <c r="G543"/>
      <c r="H543"/>
      <c r="I543"/>
      <c r="J543"/>
      <c r="L543" s="14">
        <f>+AVERAGE(L513:L542)</f>
        <v>260234.37074074073</v>
      </c>
      <c r="M543" s="14">
        <f>+AVERAGE(M513:M542)</f>
        <v>6.5555555555555554</v>
      </c>
      <c r="N543" s="14">
        <f>+SUM(N513:N542)</f>
        <v>4</v>
      </c>
      <c r="O543" s="14">
        <f>+AVERAGE(O513:O542)</f>
        <v>115199.54590909091</v>
      </c>
      <c r="P543" s="14">
        <f>+AVERAGE(P513:P542)</f>
        <v>21686.197561728393</v>
      </c>
      <c r="Q543" s="14">
        <f>+AVERAGE(Q513:Q542)</f>
        <v>9599.9621590909082</v>
      </c>
    </row>
    <row r="544" spans="1:17" x14ac:dyDescent="0.3">
      <c r="D544"/>
      <c r="E544"/>
      <c r="F544"/>
      <c r="G544"/>
      <c r="H544"/>
      <c r="I544"/>
      <c r="J544"/>
      <c r="L544" s="14">
        <f>+STDEV(L513:L542)</f>
        <v>853020.95049304271</v>
      </c>
      <c r="M544" s="14">
        <f>+STDEV(M513:M542)</f>
        <v>3.1784530990033666</v>
      </c>
      <c r="N544" s="17"/>
      <c r="O544" s="14">
        <f>+STDEV(O513:O542)</f>
        <v>99082.927585519094</v>
      </c>
      <c r="P544" s="14">
        <f>+STDEV(P513:P542)</f>
        <v>71085.079207753559</v>
      </c>
      <c r="Q544" s="14">
        <f>+STDEV(Q513:Q542)</f>
        <v>8256.9106321265954</v>
      </c>
    </row>
    <row r="545" spans="1:20" x14ac:dyDescent="0.3">
      <c r="D545"/>
      <c r="E545"/>
      <c r="F545"/>
      <c r="G545"/>
      <c r="H545"/>
      <c r="I545" s="15"/>
      <c r="J545" s="15"/>
      <c r="K545" s="11" t="s">
        <v>75</v>
      </c>
      <c r="L545" s="14">
        <f>+COUNTIF(L513:L542,0)</f>
        <v>4</v>
      </c>
      <c r="M545" s="14">
        <f>+COUNT(M513:M542)</f>
        <v>27</v>
      </c>
      <c r="P545" s="14">
        <f>+COUNTIF(P513:P542,0)</f>
        <v>4</v>
      </c>
    </row>
    <row r="546" spans="1:20" x14ac:dyDescent="0.3">
      <c r="D546"/>
      <c r="E546"/>
      <c r="F546"/>
      <c r="G546"/>
      <c r="H546"/>
      <c r="I546"/>
      <c r="J546"/>
    </row>
    <row r="547" spans="1:20" x14ac:dyDescent="0.3">
      <c r="A547" s="1">
        <v>1</v>
      </c>
      <c r="B547" s="4" t="s">
        <v>523</v>
      </c>
      <c r="C547" s="3" t="s">
        <v>441</v>
      </c>
      <c r="D547" s="12" t="s">
        <v>40</v>
      </c>
      <c r="E547" s="12" t="s">
        <v>40</v>
      </c>
      <c r="F547" s="12" t="s">
        <v>40</v>
      </c>
      <c r="G547" s="12"/>
      <c r="H547" s="12" t="s">
        <v>40</v>
      </c>
      <c r="I547" s="12"/>
      <c r="J547" s="12"/>
      <c r="K547" s="12"/>
      <c r="L547" s="12">
        <v>7000</v>
      </c>
      <c r="M547" s="15">
        <f>+IF(D547="X",1,0)+IF(E547="X",1,0)+IF(F547="X",2,0)+IF(G547="X",2,0)+IF(H547="X",3,IF(H547="Y",1.5,0))+IF(I547="X",5,IF(I547="Y",2.5,0))+IF(J547="X1",10,IF(J547="X2",5,IF(J547="X3",3,0)))</f>
        <v>7</v>
      </c>
      <c r="N547" s="15">
        <f>+IF(K547="X",1,0)</f>
        <v>0</v>
      </c>
      <c r="O547" s="12">
        <v>7000</v>
      </c>
      <c r="P547" s="12">
        <f>+L547/12</f>
        <v>583.33333333333337</v>
      </c>
      <c r="Q547" s="12">
        <f>+O547/12</f>
        <v>583.33333333333337</v>
      </c>
    </row>
    <row r="548" spans="1:20" x14ac:dyDescent="0.3">
      <c r="A548" s="1">
        <f>+A547+1</f>
        <v>2</v>
      </c>
      <c r="B548" s="2" t="s">
        <v>516</v>
      </c>
      <c r="C548" s="3" t="s">
        <v>441</v>
      </c>
      <c r="D548" s="12" t="s">
        <v>40</v>
      </c>
      <c r="E548" s="12" t="s">
        <v>40</v>
      </c>
      <c r="F548" s="12"/>
      <c r="G548" s="12"/>
      <c r="H548" s="12" t="s">
        <v>40</v>
      </c>
      <c r="I548" s="12"/>
      <c r="J548" s="12"/>
      <c r="K548" s="12"/>
      <c r="L548" s="12">
        <v>76598</v>
      </c>
      <c r="M548" s="15">
        <f t="shared" ref="M548:M576" si="120">+IF(D548="X",1,0)+IF(E548="X",1,0)+IF(F548="X",2,0)+IF(G548="X",2,0)+IF(H548="X",3,IF(H548="Y",1.5,0))+IF(I548="X",5,IF(I548="Y",2.5,0))+IF(J548="X1",10,IF(J548="X2",5,IF(J548="X3",3,0)))</f>
        <v>5</v>
      </c>
      <c r="N548" s="15">
        <f>+IF(K548="X",1,0)</f>
        <v>0</v>
      </c>
      <c r="O548" s="12">
        <v>76598</v>
      </c>
      <c r="P548" s="12">
        <f>+L548/12</f>
        <v>6383.166666666667</v>
      </c>
      <c r="Q548" s="12">
        <f>+O548/12</f>
        <v>6383.166666666667</v>
      </c>
    </row>
    <row r="549" spans="1:20" x14ac:dyDescent="0.3">
      <c r="A549" s="1">
        <f t="shared" ref="A549:A576" si="121">+A548+1</f>
        <v>3</v>
      </c>
      <c r="B549" s="2" t="s">
        <v>517</v>
      </c>
      <c r="C549" s="3" t="s">
        <v>441</v>
      </c>
      <c r="D549" s="12" t="s">
        <v>40</v>
      </c>
      <c r="E549" s="12" t="s">
        <v>40</v>
      </c>
      <c r="F549" s="12"/>
      <c r="G549" s="12"/>
      <c r="H549" s="12" t="s">
        <v>40</v>
      </c>
      <c r="I549" s="12" t="s">
        <v>40</v>
      </c>
      <c r="J549" s="12"/>
      <c r="K549" s="12"/>
      <c r="L549" s="12">
        <v>188193</v>
      </c>
      <c r="M549" s="15">
        <f t="shared" si="120"/>
        <v>10</v>
      </c>
      <c r="N549" s="15">
        <f t="shared" ref="N549:N575" si="122">+IF(K549="X",1,0)</f>
        <v>0</v>
      </c>
      <c r="O549" s="20"/>
      <c r="P549" s="12">
        <f t="shared" ref="P549:P575" si="123">+L549/12</f>
        <v>15682.75</v>
      </c>
      <c r="Q549" s="20"/>
    </row>
    <row r="550" spans="1:20" x14ac:dyDescent="0.3">
      <c r="A550" s="1">
        <f t="shared" si="121"/>
        <v>4</v>
      </c>
      <c r="B550" s="2">
        <v>28201257</v>
      </c>
      <c r="C550" s="3" t="s">
        <v>441</v>
      </c>
      <c r="D550" s="50" t="s">
        <v>40</v>
      </c>
      <c r="E550" s="50" t="s">
        <v>40</v>
      </c>
      <c r="F550" s="50"/>
      <c r="G550" s="50"/>
      <c r="H550" s="50" t="s">
        <v>40</v>
      </c>
      <c r="I550" s="50" t="s">
        <v>40</v>
      </c>
      <c r="J550" s="50" t="s">
        <v>897</v>
      </c>
      <c r="K550" s="12"/>
      <c r="L550" s="12">
        <v>130980</v>
      </c>
      <c r="M550" s="15">
        <f t="shared" si="120"/>
        <v>15</v>
      </c>
      <c r="N550" s="15">
        <f t="shared" si="122"/>
        <v>0</v>
      </c>
      <c r="O550" s="12">
        <v>130980</v>
      </c>
      <c r="P550" s="12">
        <f t="shared" si="123"/>
        <v>10915</v>
      </c>
      <c r="Q550" s="12">
        <f t="shared" ref="Q550:Q575" si="124">+O550/12</f>
        <v>10915</v>
      </c>
    </row>
    <row r="551" spans="1:20" x14ac:dyDescent="0.3">
      <c r="A551" s="1">
        <f t="shared" si="121"/>
        <v>5</v>
      </c>
      <c r="B551" s="4" t="s">
        <v>524</v>
      </c>
      <c r="C551" s="3" t="s">
        <v>441</v>
      </c>
      <c r="D551" s="12" t="s">
        <v>40</v>
      </c>
      <c r="E551" s="12" t="s">
        <v>40</v>
      </c>
      <c r="F551" s="12"/>
      <c r="G551" s="12"/>
      <c r="H551" s="12" t="s">
        <v>40</v>
      </c>
      <c r="I551" s="12" t="s">
        <v>40</v>
      </c>
      <c r="J551" s="12"/>
      <c r="K551" s="12"/>
      <c r="L551" s="12">
        <v>99600</v>
      </c>
      <c r="M551" s="15">
        <f t="shared" si="120"/>
        <v>10</v>
      </c>
      <c r="N551" s="15">
        <f t="shared" si="122"/>
        <v>0</v>
      </c>
      <c r="O551" s="12">
        <v>99600</v>
      </c>
      <c r="P551" s="12">
        <f t="shared" si="123"/>
        <v>8300</v>
      </c>
      <c r="Q551" s="12">
        <f t="shared" si="124"/>
        <v>8300</v>
      </c>
    </row>
    <row r="552" spans="1:20" x14ac:dyDescent="0.3">
      <c r="A552" s="1">
        <f t="shared" si="121"/>
        <v>6</v>
      </c>
      <c r="B552" s="4" t="s">
        <v>525</v>
      </c>
      <c r="C552" s="3" t="s">
        <v>441</v>
      </c>
      <c r="D552" s="12" t="s">
        <v>40</v>
      </c>
      <c r="E552" s="12" t="s">
        <v>40</v>
      </c>
      <c r="F552" s="12"/>
      <c r="G552" s="12"/>
      <c r="H552" s="12" t="s">
        <v>40</v>
      </c>
      <c r="I552" s="12"/>
      <c r="J552" s="12"/>
      <c r="K552" s="12"/>
      <c r="L552" s="12">
        <v>86476</v>
      </c>
      <c r="M552" s="15">
        <f t="shared" si="120"/>
        <v>5</v>
      </c>
      <c r="N552" s="15">
        <f>+IF(K552="X",1,0)</f>
        <v>0</v>
      </c>
      <c r="O552" s="12">
        <v>86476</v>
      </c>
      <c r="P552" s="12">
        <f>+L552/12</f>
        <v>7206.333333333333</v>
      </c>
      <c r="Q552" s="12">
        <f>+O552/12</f>
        <v>7206.333333333333</v>
      </c>
    </row>
    <row r="553" spans="1:20" x14ac:dyDescent="0.3">
      <c r="A553" s="1">
        <f t="shared" si="121"/>
        <v>7</v>
      </c>
      <c r="B553" s="2" t="s">
        <v>518</v>
      </c>
      <c r="C553" s="3" t="s">
        <v>441</v>
      </c>
      <c r="D553" s="12" t="s">
        <v>40</v>
      </c>
      <c r="E553" s="12" t="s">
        <v>40</v>
      </c>
      <c r="F553" s="12"/>
      <c r="G553" s="12"/>
      <c r="H553" s="12" t="s">
        <v>40</v>
      </c>
      <c r="I553" s="12"/>
      <c r="J553" s="12"/>
      <c r="K553" s="12"/>
      <c r="L553" s="12">
        <v>78000</v>
      </c>
      <c r="M553" s="15">
        <f t="shared" si="120"/>
        <v>5</v>
      </c>
      <c r="N553" s="15">
        <f t="shared" si="122"/>
        <v>0</v>
      </c>
      <c r="O553" s="12">
        <v>78000</v>
      </c>
      <c r="P553" s="12">
        <f t="shared" si="123"/>
        <v>6500</v>
      </c>
      <c r="Q553" s="12">
        <f t="shared" si="124"/>
        <v>6500</v>
      </c>
    </row>
    <row r="554" spans="1:20" x14ac:dyDescent="0.3">
      <c r="A554" s="1">
        <f t="shared" si="121"/>
        <v>8</v>
      </c>
      <c r="B554" s="2" t="s">
        <v>519</v>
      </c>
      <c r="C554" s="3" t="s">
        <v>441</v>
      </c>
      <c r="D554" s="12" t="s">
        <v>40</v>
      </c>
      <c r="E554" s="12" t="s">
        <v>40</v>
      </c>
      <c r="F554" s="12"/>
      <c r="G554" s="12"/>
      <c r="H554" s="12"/>
      <c r="I554" s="12"/>
      <c r="J554" s="12"/>
      <c r="K554" s="12"/>
      <c r="L554" s="12">
        <v>0</v>
      </c>
      <c r="M554" s="15">
        <f t="shared" si="120"/>
        <v>2</v>
      </c>
      <c r="N554" s="15">
        <f t="shared" si="122"/>
        <v>0</v>
      </c>
      <c r="O554" s="20"/>
      <c r="P554" s="12">
        <f t="shared" si="123"/>
        <v>0</v>
      </c>
      <c r="Q554" s="20"/>
    </row>
    <row r="555" spans="1:20" x14ac:dyDescent="0.3">
      <c r="A555" s="1">
        <f t="shared" si="121"/>
        <v>9</v>
      </c>
      <c r="B555" s="2">
        <v>25860495</v>
      </c>
      <c r="C555" s="3" t="s">
        <v>441</v>
      </c>
      <c r="D555" s="12" t="s">
        <v>40</v>
      </c>
      <c r="E555" s="12" t="s">
        <v>40</v>
      </c>
      <c r="F555" s="12"/>
      <c r="G555" s="12"/>
      <c r="H555" s="12" t="s">
        <v>40</v>
      </c>
      <c r="I555" s="12"/>
      <c r="J555" s="12"/>
      <c r="K555" s="12"/>
      <c r="L555" s="12">
        <v>58368</v>
      </c>
      <c r="M555" s="15">
        <f t="shared" si="120"/>
        <v>5</v>
      </c>
      <c r="N555" s="15">
        <f t="shared" si="122"/>
        <v>0</v>
      </c>
      <c r="O555" s="12">
        <v>58368</v>
      </c>
      <c r="P555" s="12">
        <f t="shared" si="123"/>
        <v>4864</v>
      </c>
      <c r="Q555" s="12">
        <f t="shared" si="124"/>
        <v>4864</v>
      </c>
      <c r="S555" t="s">
        <v>526</v>
      </c>
      <c r="T555" t="s">
        <v>151</v>
      </c>
    </row>
    <row r="556" spans="1:20" x14ac:dyDescent="0.3">
      <c r="A556" s="1">
        <f t="shared" si="121"/>
        <v>10</v>
      </c>
      <c r="B556" s="4" t="s">
        <v>527</v>
      </c>
      <c r="C556" s="3" t="s">
        <v>441</v>
      </c>
      <c r="D556" s="12" t="s">
        <v>40</v>
      </c>
      <c r="E556" s="12" t="s">
        <v>40</v>
      </c>
      <c r="F556" s="12"/>
      <c r="G556" s="12"/>
      <c r="H556" s="12" t="s">
        <v>40</v>
      </c>
      <c r="I556" s="12"/>
      <c r="J556" s="12"/>
      <c r="K556" s="12"/>
      <c r="L556" s="12">
        <v>88302.9</v>
      </c>
      <c r="M556" s="15">
        <f t="shared" si="120"/>
        <v>5</v>
      </c>
      <c r="N556" s="15">
        <f>+IF(K556="X",1,0)</f>
        <v>0</v>
      </c>
      <c r="O556" s="12">
        <v>88302.9</v>
      </c>
      <c r="P556" s="12">
        <f>+L556/12</f>
        <v>7358.5749999999998</v>
      </c>
      <c r="Q556" s="12">
        <f>+O556/12</f>
        <v>7358.5749999999998</v>
      </c>
    </row>
    <row r="557" spans="1:20" x14ac:dyDescent="0.3">
      <c r="A557" s="1">
        <f t="shared" si="121"/>
        <v>11</v>
      </c>
      <c r="B557" s="2">
        <v>10557247</v>
      </c>
      <c r="C557" s="3" t="s">
        <v>441</v>
      </c>
      <c r="D557" s="12" t="s">
        <v>40</v>
      </c>
      <c r="E557" s="12" t="s">
        <v>40</v>
      </c>
      <c r="F557" s="12"/>
      <c r="G557" s="12"/>
      <c r="H557" s="12"/>
      <c r="I557" s="12"/>
      <c r="J557" s="12"/>
      <c r="K557" s="12"/>
      <c r="L557" s="12">
        <v>24000</v>
      </c>
      <c r="M557" s="15">
        <f t="shared" si="120"/>
        <v>2</v>
      </c>
      <c r="N557" s="15">
        <f t="shared" si="122"/>
        <v>0</v>
      </c>
      <c r="O557" s="12">
        <v>24000</v>
      </c>
      <c r="P557" s="12">
        <f t="shared" si="123"/>
        <v>2000</v>
      </c>
      <c r="Q557" s="12">
        <f t="shared" si="124"/>
        <v>2000</v>
      </c>
    </row>
    <row r="558" spans="1:20" x14ac:dyDescent="0.3">
      <c r="A558" s="1">
        <f t="shared" si="121"/>
        <v>12</v>
      </c>
      <c r="B558" s="2">
        <v>10058757</v>
      </c>
      <c r="C558" s="3" t="s">
        <v>441</v>
      </c>
      <c r="D558" s="12" t="s">
        <v>40</v>
      </c>
      <c r="E558" s="12" t="s">
        <v>40</v>
      </c>
      <c r="F558" s="12"/>
      <c r="G558" s="12"/>
      <c r="H558" s="12"/>
      <c r="I558" s="12"/>
      <c r="J558" s="12"/>
      <c r="K558" s="12"/>
      <c r="L558" s="12">
        <v>0</v>
      </c>
      <c r="M558" s="15">
        <f t="shared" si="120"/>
        <v>2</v>
      </c>
      <c r="N558" s="15">
        <f>+IF(K558="X",1,0)</f>
        <v>0</v>
      </c>
      <c r="O558" s="20"/>
      <c r="P558" s="12">
        <f t="shared" si="123"/>
        <v>0</v>
      </c>
      <c r="Q558" s="20"/>
    </row>
    <row r="559" spans="1:20" x14ac:dyDescent="0.3">
      <c r="A559" s="1">
        <f t="shared" si="121"/>
        <v>13</v>
      </c>
      <c r="B559" s="2" t="s">
        <v>520</v>
      </c>
      <c r="C559" s="3" t="s">
        <v>441</v>
      </c>
      <c r="D559" s="12" t="s">
        <v>40</v>
      </c>
      <c r="E559" s="12" t="s">
        <v>40</v>
      </c>
      <c r="F559" s="12"/>
      <c r="G559" s="12"/>
      <c r="H559" s="12"/>
      <c r="I559" s="12"/>
      <c r="J559" s="12"/>
      <c r="K559" s="12"/>
      <c r="L559" s="12">
        <v>24000</v>
      </c>
      <c r="M559" s="15">
        <f t="shared" si="120"/>
        <v>2</v>
      </c>
      <c r="N559" s="15">
        <f t="shared" si="122"/>
        <v>0</v>
      </c>
      <c r="O559" s="12">
        <v>24000</v>
      </c>
      <c r="P559" s="12">
        <f t="shared" si="123"/>
        <v>2000</v>
      </c>
      <c r="Q559" s="12">
        <f t="shared" si="124"/>
        <v>2000</v>
      </c>
    </row>
    <row r="560" spans="1:20" x14ac:dyDescent="0.3">
      <c r="A560" s="1">
        <f t="shared" si="121"/>
        <v>14</v>
      </c>
      <c r="B560" s="10"/>
      <c r="C560" s="9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6"/>
      <c r="O560" s="13"/>
      <c r="P560" s="13"/>
      <c r="Q560" s="13"/>
    </row>
    <row r="561" spans="1:17" x14ac:dyDescent="0.3">
      <c r="A561" s="1">
        <f t="shared" si="121"/>
        <v>15</v>
      </c>
      <c r="B561" s="10"/>
      <c r="C561" s="9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6"/>
      <c r="O561" s="13"/>
      <c r="P561" s="13"/>
      <c r="Q561" s="13"/>
    </row>
    <row r="562" spans="1:17" x14ac:dyDescent="0.3">
      <c r="A562" s="1">
        <f t="shared" si="121"/>
        <v>16</v>
      </c>
      <c r="B562" s="10"/>
      <c r="C562" s="9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6"/>
      <c r="O562" s="13"/>
      <c r="P562" s="13"/>
      <c r="Q562" s="13"/>
    </row>
    <row r="563" spans="1:17" x14ac:dyDescent="0.3">
      <c r="A563" s="1">
        <f t="shared" si="121"/>
        <v>17</v>
      </c>
      <c r="B563" s="10"/>
      <c r="C563" s="9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6"/>
      <c r="O563" s="13"/>
      <c r="P563" s="13"/>
      <c r="Q563" s="13"/>
    </row>
    <row r="564" spans="1:17" x14ac:dyDescent="0.3">
      <c r="A564" s="1">
        <f t="shared" si="121"/>
        <v>18</v>
      </c>
      <c r="B564" s="10"/>
      <c r="C564" s="9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6"/>
      <c r="O564" s="13"/>
      <c r="P564" s="13"/>
      <c r="Q564" s="13"/>
    </row>
    <row r="565" spans="1:17" x14ac:dyDescent="0.3">
      <c r="A565" s="1">
        <f t="shared" si="121"/>
        <v>19</v>
      </c>
      <c r="B565" s="10"/>
      <c r="C565" s="9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6"/>
      <c r="O565" s="13"/>
      <c r="P565" s="13"/>
      <c r="Q565" s="13"/>
    </row>
    <row r="566" spans="1:17" x14ac:dyDescent="0.3">
      <c r="A566" s="1">
        <f t="shared" si="121"/>
        <v>20</v>
      </c>
      <c r="B566" s="2" t="s">
        <v>521</v>
      </c>
      <c r="C566" s="3" t="s">
        <v>441</v>
      </c>
      <c r="D566" s="12" t="s">
        <v>40</v>
      </c>
      <c r="E566" s="12" t="s">
        <v>40</v>
      </c>
      <c r="F566" s="12"/>
      <c r="G566" s="12"/>
      <c r="H566" s="12"/>
      <c r="I566" s="12"/>
      <c r="J566" s="12"/>
      <c r="K566" s="12"/>
      <c r="L566" s="12">
        <v>18000</v>
      </c>
      <c r="M566" s="15">
        <f t="shared" si="120"/>
        <v>2</v>
      </c>
      <c r="N566" s="15">
        <f t="shared" si="122"/>
        <v>0</v>
      </c>
      <c r="O566" s="12">
        <v>18000</v>
      </c>
      <c r="P566" s="12">
        <f t="shared" si="123"/>
        <v>1500</v>
      </c>
      <c r="Q566" s="12">
        <f t="shared" si="124"/>
        <v>1500</v>
      </c>
    </row>
    <row r="567" spans="1:17" x14ac:dyDescent="0.3">
      <c r="A567" s="1">
        <f t="shared" si="121"/>
        <v>21</v>
      </c>
      <c r="B567" s="2" t="s">
        <v>522</v>
      </c>
      <c r="C567" s="3" t="s">
        <v>441</v>
      </c>
      <c r="D567" s="12" t="s">
        <v>40</v>
      </c>
      <c r="E567" s="12" t="s">
        <v>40</v>
      </c>
      <c r="F567" s="12"/>
      <c r="G567" s="12"/>
      <c r="H567" s="12"/>
      <c r="I567" s="12"/>
      <c r="J567" s="12"/>
      <c r="K567" s="12"/>
      <c r="L567" s="12">
        <v>23200</v>
      </c>
      <c r="M567" s="15">
        <f t="shared" si="120"/>
        <v>2</v>
      </c>
      <c r="N567" s="15">
        <f t="shared" si="122"/>
        <v>0</v>
      </c>
      <c r="O567" s="12">
        <v>23200</v>
      </c>
      <c r="P567" s="12">
        <f t="shared" si="123"/>
        <v>1933.3333333333333</v>
      </c>
      <c r="Q567" s="12">
        <f t="shared" si="124"/>
        <v>1933.3333333333333</v>
      </c>
    </row>
    <row r="568" spans="1:17" x14ac:dyDescent="0.3">
      <c r="A568" s="1">
        <f t="shared" si="121"/>
        <v>22</v>
      </c>
      <c r="B568" s="2">
        <v>10140230</v>
      </c>
      <c r="C568" s="3" t="s">
        <v>441</v>
      </c>
      <c r="D568" s="12" t="s">
        <v>40</v>
      </c>
      <c r="E568" s="12" t="s">
        <v>40</v>
      </c>
      <c r="F568" s="12"/>
      <c r="G568" s="12"/>
      <c r="H568" s="12" t="s">
        <v>40</v>
      </c>
      <c r="I568" s="12"/>
      <c r="J568" s="12"/>
      <c r="K568" s="12"/>
      <c r="L568" s="12">
        <v>19600</v>
      </c>
      <c r="M568" s="15">
        <f t="shared" si="120"/>
        <v>5</v>
      </c>
      <c r="N568" s="15">
        <f t="shared" si="122"/>
        <v>0</v>
      </c>
      <c r="O568" s="12">
        <v>19600</v>
      </c>
      <c r="P568" s="12">
        <f t="shared" si="123"/>
        <v>1633.3333333333333</v>
      </c>
      <c r="Q568" s="12">
        <f t="shared" si="124"/>
        <v>1633.3333333333333</v>
      </c>
    </row>
    <row r="569" spans="1:17" x14ac:dyDescent="0.3">
      <c r="A569" s="1">
        <f t="shared" si="121"/>
        <v>23</v>
      </c>
      <c r="B569" s="10"/>
      <c r="C569" s="9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6"/>
      <c r="O569" s="13"/>
      <c r="P569" s="13"/>
      <c r="Q569" s="13"/>
    </row>
    <row r="570" spans="1:17" x14ac:dyDescent="0.3">
      <c r="A570" s="1">
        <f t="shared" si="121"/>
        <v>24</v>
      </c>
      <c r="B570" s="10"/>
      <c r="C570" s="9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6"/>
      <c r="O570" s="13"/>
      <c r="P570" s="13"/>
      <c r="Q570" s="13"/>
    </row>
    <row r="571" spans="1:17" x14ac:dyDescent="0.3">
      <c r="A571" s="1">
        <f t="shared" si="121"/>
        <v>25</v>
      </c>
      <c r="B571" s="10"/>
      <c r="C571" s="9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6"/>
      <c r="O571" s="13"/>
      <c r="P571" s="13"/>
      <c r="Q571" s="13"/>
    </row>
    <row r="572" spans="1:17" x14ac:dyDescent="0.3">
      <c r="A572" s="1">
        <f t="shared" si="121"/>
        <v>26</v>
      </c>
      <c r="B572" s="10"/>
      <c r="C572" s="9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6"/>
      <c r="O572" s="13"/>
      <c r="P572" s="13"/>
      <c r="Q572" s="13"/>
    </row>
    <row r="573" spans="1:17" x14ac:dyDescent="0.3">
      <c r="A573" s="1">
        <f t="shared" si="121"/>
        <v>27</v>
      </c>
      <c r="B573" s="10"/>
      <c r="C573" s="9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6"/>
      <c r="O573" s="13"/>
      <c r="P573" s="13"/>
      <c r="Q573" s="13"/>
    </row>
    <row r="574" spans="1:17" x14ac:dyDescent="0.3">
      <c r="A574" s="1">
        <f t="shared" si="121"/>
        <v>28</v>
      </c>
      <c r="B574" s="10"/>
      <c r="C574" s="9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6"/>
      <c r="O574" s="13"/>
      <c r="P574" s="13"/>
      <c r="Q574" s="13"/>
    </row>
    <row r="575" spans="1:17" x14ac:dyDescent="0.3">
      <c r="A575" s="1">
        <f t="shared" si="121"/>
        <v>29</v>
      </c>
      <c r="B575" s="4" t="s">
        <v>528</v>
      </c>
      <c r="C575" s="3" t="s">
        <v>441</v>
      </c>
      <c r="D575" s="12" t="s">
        <v>40</v>
      </c>
      <c r="E575" s="12" t="s">
        <v>40</v>
      </c>
      <c r="F575" s="12"/>
      <c r="G575" s="12"/>
      <c r="H575" s="12"/>
      <c r="I575" s="12"/>
      <c r="J575" s="12"/>
      <c r="K575" s="12"/>
      <c r="L575" s="12">
        <v>27000</v>
      </c>
      <c r="M575" s="15">
        <f t="shared" si="120"/>
        <v>2</v>
      </c>
      <c r="N575" s="15">
        <f t="shared" si="122"/>
        <v>0</v>
      </c>
      <c r="O575" s="12">
        <v>27000</v>
      </c>
      <c r="P575" s="12">
        <f t="shared" si="123"/>
        <v>2250</v>
      </c>
      <c r="Q575" s="12">
        <f t="shared" si="124"/>
        <v>2250</v>
      </c>
    </row>
    <row r="576" spans="1:17" x14ac:dyDescent="0.3">
      <c r="A576" s="1">
        <f t="shared" si="121"/>
        <v>30</v>
      </c>
      <c r="B576" s="2" t="s">
        <v>529</v>
      </c>
      <c r="C576" s="3" t="s">
        <v>441</v>
      </c>
      <c r="D576" s="12" t="s">
        <v>40</v>
      </c>
      <c r="E576" s="12"/>
      <c r="F576" s="12"/>
      <c r="G576" s="12"/>
      <c r="H576" s="12"/>
      <c r="I576" s="12"/>
      <c r="J576" s="12"/>
      <c r="K576" s="12"/>
      <c r="L576" s="12">
        <v>18000</v>
      </c>
      <c r="M576" s="15">
        <f t="shared" si="120"/>
        <v>1</v>
      </c>
      <c r="N576" s="15">
        <f>+IF(K576="X",1,0)</f>
        <v>0</v>
      </c>
      <c r="O576" s="12">
        <v>18000</v>
      </c>
      <c r="P576" s="12">
        <f>+L576/12</f>
        <v>1500</v>
      </c>
      <c r="Q576" s="12">
        <f>+O576/12</f>
        <v>1500</v>
      </c>
    </row>
    <row r="577" spans="1:18" x14ac:dyDescent="0.3">
      <c r="B577" s="29"/>
      <c r="D577"/>
      <c r="E577"/>
      <c r="F577"/>
      <c r="G577"/>
      <c r="H577"/>
      <c r="I577"/>
      <c r="J577"/>
      <c r="L577" s="14">
        <f>+AVERAGE(L549:L575)</f>
        <v>57714.66</v>
      </c>
      <c r="M577" s="14">
        <f>+AVERAGE(M549:M575)</f>
        <v>4.9333333333333336</v>
      </c>
      <c r="N577" s="14">
        <f>+SUM(N549:N575)</f>
        <v>0</v>
      </c>
      <c r="O577" s="14">
        <f>+AVERAGE(O549:O575)</f>
        <v>56460.575000000004</v>
      </c>
      <c r="P577" s="14">
        <f>+AVERAGE(P549:P575)</f>
        <v>4809.5549999999985</v>
      </c>
      <c r="Q577" s="14">
        <f>+AVERAGE(Q549:Q575)</f>
        <v>4705.0479166666664</v>
      </c>
    </row>
    <row r="578" spans="1:18" x14ac:dyDescent="0.3">
      <c r="D578"/>
      <c r="E578"/>
      <c r="F578"/>
      <c r="G578"/>
      <c r="H578"/>
      <c r="I578"/>
      <c r="J578"/>
      <c r="L578" s="14">
        <f>+STDEV(L549:L575)</f>
        <v>53733.150258393958</v>
      </c>
      <c r="M578" s="14">
        <f>+STDEV(M549:M575)</f>
        <v>3.8999389494611081</v>
      </c>
      <c r="N578" s="17"/>
      <c r="O578" s="14">
        <f>+STDEV(O549:O575)</f>
        <v>38982.61406930774</v>
      </c>
      <c r="P578" s="14">
        <f>+STDEV(P549:P575)</f>
        <v>4477.7625215328317</v>
      </c>
      <c r="Q578" s="14">
        <f>+STDEV(Q549:Q575)</f>
        <v>3248.5511724423136</v>
      </c>
    </row>
    <row r="579" spans="1:18" x14ac:dyDescent="0.3">
      <c r="D579"/>
      <c r="E579"/>
      <c r="F579"/>
      <c r="G579"/>
      <c r="H579"/>
      <c r="I579" s="15"/>
      <c r="J579" s="15"/>
      <c r="K579" s="11" t="s">
        <v>75</v>
      </c>
      <c r="L579" s="14">
        <f>+COUNTIF(L549:L575,0)</f>
        <v>2</v>
      </c>
      <c r="M579" s="14">
        <f>+COUNT(M547:M576)</f>
        <v>18</v>
      </c>
      <c r="P579" s="14">
        <f>+COUNTIF(P549:P575,0)</f>
        <v>2</v>
      </c>
    </row>
    <row r="580" spans="1:18" x14ac:dyDescent="0.3">
      <c r="D580"/>
      <c r="E580"/>
      <c r="F580"/>
      <c r="G580"/>
      <c r="H580"/>
      <c r="I580"/>
      <c r="J580"/>
    </row>
    <row r="581" spans="1:18" x14ac:dyDescent="0.3">
      <c r="A581" s="1">
        <v>1</v>
      </c>
      <c r="B581" s="2" t="s">
        <v>552</v>
      </c>
      <c r="C581" s="3" t="s">
        <v>442</v>
      </c>
      <c r="D581" s="12" t="s">
        <v>40</v>
      </c>
      <c r="E581" s="12" t="s">
        <v>40</v>
      </c>
      <c r="F581" s="12"/>
      <c r="G581" s="12"/>
      <c r="H581" s="12" t="s">
        <v>40</v>
      </c>
      <c r="I581" s="12" t="s">
        <v>40</v>
      </c>
      <c r="J581" s="12"/>
      <c r="K581" s="12"/>
      <c r="L581" s="12">
        <v>843009</v>
      </c>
      <c r="M581" s="15">
        <f>+IF(D581="X",1,0)+IF(E581="X",1,0)+IF(F581="X",2,0)+IF(G581="X",2,0)+IF(H581="X",3,IF(H581="Y",1.5,0))+IF(I581="X",5,IF(I581="Y",2.5,0))+IF(J581="X1",10,IF(J581="X2",5,IF(J581="X3",3,0)))</f>
        <v>10</v>
      </c>
      <c r="N581" s="15">
        <f>+IF(K581="X",1,0)</f>
        <v>0</v>
      </c>
      <c r="O581" s="20"/>
      <c r="P581" s="12">
        <f t="shared" ref="P581:P610" si="125">+L581/12</f>
        <v>70250.75</v>
      </c>
      <c r="Q581" s="20"/>
    </row>
    <row r="582" spans="1:18" x14ac:dyDescent="0.3">
      <c r="A582" s="1">
        <f>+A581+1</f>
        <v>2</v>
      </c>
      <c r="B582" s="2" t="s">
        <v>553</v>
      </c>
      <c r="C582" s="3" t="s">
        <v>442</v>
      </c>
      <c r="D582" s="12" t="s">
        <v>40</v>
      </c>
      <c r="E582" s="12" t="s">
        <v>40</v>
      </c>
      <c r="F582" s="12"/>
      <c r="G582" s="12"/>
      <c r="H582" s="12" t="s">
        <v>40</v>
      </c>
      <c r="I582" s="12"/>
      <c r="J582" s="12"/>
      <c r="K582" s="12"/>
      <c r="L582" s="12">
        <v>423249.6</v>
      </c>
      <c r="M582" s="15">
        <f t="shared" ref="M582:M610" si="126">+IF(D582="X",1,0)+IF(E582="X",1,0)+IF(F582="X",2,0)+IF(G582="X",2,0)+IF(H582="X",3,IF(H582="Y",1.5,0))+IF(I582="X",5,IF(I582="Y",2.5,0))+IF(J582="X1",10,IF(J582="X2",5,IF(J582="X3",3,0)))</f>
        <v>5</v>
      </c>
      <c r="N582" s="15">
        <f t="shared" ref="N582:N610" si="127">+IF(K582="X",1,0)</f>
        <v>0</v>
      </c>
      <c r="O582" s="12">
        <v>423249.6</v>
      </c>
      <c r="P582" s="12">
        <f t="shared" si="125"/>
        <v>35270.799999999996</v>
      </c>
      <c r="Q582" s="12">
        <f t="shared" ref="Q582:Q607" si="128">+O582/12</f>
        <v>35270.799999999996</v>
      </c>
      <c r="R582" t="s">
        <v>555</v>
      </c>
    </row>
    <row r="583" spans="1:18" x14ac:dyDescent="0.3">
      <c r="A583" s="1">
        <f t="shared" ref="A583:A610" si="129">+A582+1</f>
        <v>3</v>
      </c>
      <c r="B583" s="2" t="s">
        <v>556</v>
      </c>
      <c r="C583" s="3" t="s">
        <v>442</v>
      </c>
      <c r="D583" s="12" t="s">
        <v>40</v>
      </c>
      <c r="E583" s="12" t="s">
        <v>40</v>
      </c>
      <c r="F583" s="12"/>
      <c r="G583" s="12"/>
      <c r="H583" s="12" t="s">
        <v>40</v>
      </c>
      <c r="I583" s="12" t="s">
        <v>40</v>
      </c>
      <c r="J583" s="12"/>
      <c r="K583" s="12"/>
      <c r="L583" s="12">
        <v>351600</v>
      </c>
      <c r="M583" s="15">
        <f t="shared" si="126"/>
        <v>10</v>
      </c>
      <c r="N583" s="15">
        <f t="shared" si="127"/>
        <v>0</v>
      </c>
      <c r="O583" s="12">
        <v>351600</v>
      </c>
      <c r="P583" s="12">
        <f t="shared" si="125"/>
        <v>29300</v>
      </c>
      <c r="Q583" s="12">
        <f t="shared" si="128"/>
        <v>29300</v>
      </c>
      <c r="R583" t="s">
        <v>554</v>
      </c>
    </row>
    <row r="584" spans="1:18" x14ac:dyDescent="0.3">
      <c r="A584" s="1">
        <f t="shared" si="129"/>
        <v>4</v>
      </c>
      <c r="B584" s="2" t="s">
        <v>557</v>
      </c>
      <c r="C584" s="3" t="s">
        <v>442</v>
      </c>
      <c r="D584" s="50" t="s">
        <v>40</v>
      </c>
      <c r="E584" s="50" t="s">
        <v>40</v>
      </c>
      <c r="F584" s="50"/>
      <c r="G584" s="50"/>
      <c r="H584" s="50" t="s">
        <v>40</v>
      </c>
      <c r="I584" s="50"/>
      <c r="J584" s="50" t="s">
        <v>897</v>
      </c>
      <c r="K584" s="12"/>
      <c r="L584" s="12">
        <v>130130</v>
      </c>
      <c r="M584" s="15">
        <f t="shared" si="126"/>
        <v>10</v>
      </c>
      <c r="N584" s="15">
        <f t="shared" si="127"/>
        <v>0</v>
      </c>
      <c r="O584" s="12">
        <v>130130</v>
      </c>
      <c r="P584" s="12">
        <f t="shared" si="125"/>
        <v>10844.166666666666</v>
      </c>
      <c r="Q584" s="12">
        <f t="shared" si="128"/>
        <v>10844.166666666666</v>
      </c>
    </row>
    <row r="585" spans="1:18" x14ac:dyDescent="0.3">
      <c r="A585" s="1">
        <f t="shared" si="129"/>
        <v>5</v>
      </c>
      <c r="B585" s="2" t="s">
        <v>558</v>
      </c>
      <c r="C585" s="3" t="s">
        <v>442</v>
      </c>
      <c r="D585" s="12" t="s">
        <v>40</v>
      </c>
      <c r="E585" s="12" t="s">
        <v>40</v>
      </c>
      <c r="F585" s="12"/>
      <c r="G585" s="12"/>
      <c r="H585" s="12"/>
      <c r="I585" s="12"/>
      <c r="J585" s="12"/>
      <c r="K585" s="12"/>
      <c r="L585" s="12">
        <v>394953</v>
      </c>
      <c r="M585" s="15">
        <f t="shared" si="126"/>
        <v>2</v>
      </c>
      <c r="N585" s="15">
        <f t="shared" si="127"/>
        <v>0</v>
      </c>
      <c r="O585" s="12">
        <v>394953</v>
      </c>
      <c r="P585" s="12">
        <f t="shared" si="125"/>
        <v>32912.75</v>
      </c>
      <c r="Q585" s="12">
        <f t="shared" si="128"/>
        <v>32912.75</v>
      </c>
    </row>
    <row r="586" spans="1:18" x14ac:dyDescent="0.3">
      <c r="A586" s="1">
        <f t="shared" si="129"/>
        <v>6</v>
      </c>
      <c r="B586" s="2" t="s">
        <v>559</v>
      </c>
      <c r="C586" s="3" t="s">
        <v>442</v>
      </c>
      <c r="D586" s="12" t="s">
        <v>40</v>
      </c>
      <c r="E586" s="12" t="s">
        <v>40</v>
      </c>
      <c r="F586" s="12"/>
      <c r="G586" s="12"/>
      <c r="H586" s="12" t="s">
        <v>40</v>
      </c>
      <c r="I586" s="12"/>
      <c r="J586" s="12"/>
      <c r="K586" s="12"/>
      <c r="L586" s="12">
        <v>169670</v>
      </c>
      <c r="M586" s="15">
        <f t="shared" si="126"/>
        <v>5</v>
      </c>
      <c r="N586" s="15">
        <f t="shared" si="127"/>
        <v>0</v>
      </c>
      <c r="O586" s="12">
        <v>169670</v>
      </c>
      <c r="P586" s="12">
        <f t="shared" si="125"/>
        <v>14139.166666666666</v>
      </c>
      <c r="Q586" s="12">
        <f t="shared" si="128"/>
        <v>14139.166666666666</v>
      </c>
    </row>
    <row r="587" spans="1:18" x14ac:dyDescent="0.3">
      <c r="A587" s="1">
        <f t="shared" si="129"/>
        <v>7</v>
      </c>
      <c r="B587" s="2" t="s">
        <v>560</v>
      </c>
      <c r="C587" s="3" t="s">
        <v>442</v>
      </c>
      <c r="D587" s="50" t="s">
        <v>40</v>
      </c>
      <c r="E587" s="50" t="s">
        <v>40</v>
      </c>
      <c r="F587" s="50"/>
      <c r="G587" s="50"/>
      <c r="H587" s="50" t="s">
        <v>40</v>
      </c>
      <c r="I587" s="50" t="s">
        <v>40</v>
      </c>
      <c r="J587" s="50" t="s">
        <v>897</v>
      </c>
      <c r="K587" s="12"/>
      <c r="L587" s="12">
        <v>0</v>
      </c>
      <c r="M587" s="15">
        <f t="shared" si="126"/>
        <v>15</v>
      </c>
      <c r="N587" s="15">
        <f t="shared" si="127"/>
        <v>0</v>
      </c>
      <c r="O587" s="20"/>
      <c r="P587" s="12">
        <f t="shared" si="125"/>
        <v>0</v>
      </c>
      <c r="Q587" s="20"/>
    </row>
    <row r="588" spans="1:18" x14ac:dyDescent="0.3">
      <c r="A588" s="1">
        <f t="shared" si="129"/>
        <v>8</v>
      </c>
      <c r="B588" s="2" t="s">
        <v>561</v>
      </c>
      <c r="C588" s="3" t="s">
        <v>442</v>
      </c>
      <c r="D588" s="12" t="s">
        <v>40</v>
      </c>
      <c r="E588" s="12" t="s">
        <v>40</v>
      </c>
      <c r="F588" s="12"/>
      <c r="G588" s="12"/>
      <c r="H588" s="12" t="s">
        <v>40</v>
      </c>
      <c r="I588" s="12"/>
      <c r="J588" s="12"/>
      <c r="K588" s="12"/>
      <c r="L588" s="12">
        <v>121824.82</v>
      </c>
      <c r="M588" s="15">
        <f t="shared" si="126"/>
        <v>5</v>
      </c>
      <c r="N588" s="15">
        <f t="shared" si="127"/>
        <v>0</v>
      </c>
      <c r="O588" s="12">
        <v>121824.82</v>
      </c>
      <c r="P588" s="12">
        <f t="shared" si="125"/>
        <v>10152.068333333335</v>
      </c>
      <c r="Q588" s="12">
        <f t="shared" si="128"/>
        <v>10152.068333333335</v>
      </c>
    </row>
    <row r="589" spans="1:18" x14ac:dyDescent="0.3">
      <c r="A589" s="1">
        <f t="shared" si="129"/>
        <v>9</v>
      </c>
      <c r="B589" s="2" t="s">
        <v>562</v>
      </c>
      <c r="C589" s="3" t="s">
        <v>442</v>
      </c>
      <c r="D589" s="50" t="s">
        <v>40</v>
      </c>
      <c r="E589" s="50" t="s">
        <v>40</v>
      </c>
      <c r="F589" s="50"/>
      <c r="G589" s="50"/>
      <c r="H589" s="50" t="s">
        <v>40</v>
      </c>
      <c r="I589" s="50" t="s">
        <v>40</v>
      </c>
      <c r="J589" s="50" t="s">
        <v>901</v>
      </c>
      <c r="K589" s="12"/>
      <c r="L589" s="12">
        <v>429659</v>
      </c>
      <c r="M589" s="15">
        <f t="shared" si="126"/>
        <v>13</v>
      </c>
      <c r="N589" s="15">
        <f t="shared" si="127"/>
        <v>0</v>
      </c>
      <c r="O589" s="12">
        <v>429659</v>
      </c>
      <c r="P589" s="12">
        <f t="shared" si="125"/>
        <v>35804.916666666664</v>
      </c>
      <c r="Q589" s="12">
        <f t="shared" si="128"/>
        <v>35804.916666666664</v>
      </c>
    </row>
    <row r="590" spans="1:18" x14ac:dyDescent="0.3">
      <c r="A590" s="1">
        <f t="shared" si="129"/>
        <v>10</v>
      </c>
      <c r="B590" s="2" t="s">
        <v>563</v>
      </c>
      <c r="C590" s="3" t="s">
        <v>442</v>
      </c>
      <c r="D590" s="12" t="s">
        <v>40</v>
      </c>
      <c r="E590" s="12" t="s">
        <v>40</v>
      </c>
      <c r="F590" s="12"/>
      <c r="G590" s="12"/>
      <c r="H590" s="12" t="s">
        <v>40</v>
      </c>
      <c r="I590" s="12"/>
      <c r="J590" s="12"/>
      <c r="K590" s="12"/>
      <c r="L590" s="12">
        <v>0</v>
      </c>
      <c r="M590" s="15">
        <f t="shared" si="126"/>
        <v>5</v>
      </c>
      <c r="N590" s="15">
        <f t="shared" si="127"/>
        <v>0</v>
      </c>
      <c r="O590" s="20"/>
      <c r="P590" s="12">
        <f t="shared" si="125"/>
        <v>0</v>
      </c>
      <c r="Q590" s="20"/>
    </row>
    <row r="591" spans="1:18" x14ac:dyDescent="0.3">
      <c r="A591" s="1">
        <f t="shared" si="129"/>
        <v>11</v>
      </c>
      <c r="B591" s="2" t="s">
        <v>564</v>
      </c>
      <c r="C591" s="3" t="s">
        <v>442</v>
      </c>
      <c r="D591" s="12" t="s">
        <v>40</v>
      </c>
      <c r="E591" s="12" t="s">
        <v>40</v>
      </c>
      <c r="F591" s="12"/>
      <c r="G591" s="12"/>
      <c r="H591" s="12" t="s">
        <v>40</v>
      </c>
      <c r="I591" s="12" t="s">
        <v>40</v>
      </c>
      <c r="J591" s="12"/>
      <c r="K591" s="12"/>
      <c r="L591" s="12">
        <v>274560</v>
      </c>
      <c r="M591" s="15">
        <f t="shared" si="126"/>
        <v>10</v>
      </c>
      <c r="N591" s="15">
        <f t="shared" si="127"/>
        <v>0</v>
      </c>
      <c r="O591" s="12">
        <v>274560</v>
      </c>
      <c r="P591" s="12">
        <f t="shared" si="125"/>
        <v>22880</v>
      </c>
      <c r="Q591" s="12">
        <f t="shared" si="128"/>
        <v>22880</v>
      </c>
    </row>
    <row r="592" spans="1:18" x14ac:dyDescent="0.3">
      <c r="A592" s="1">
        <f t="shared" si="129"/>
        <v>12</v>
      </c>
      <c r="B592" s="18" t="s">
        <v>565</v>
      </c>
      <c r="C592" s="3" t="s">
        <v>442</v>
      </c>
      <c r="D592" s="12" t="s">
        <v>40</v>
      </c>
      <c r="E592" s="12" t="s">
        <v>40</v>
      </c>
      <c r="F592" s="12"/>
      <c r="G592" s="12"/>
      <c r="H592" s="12"/>
      <c r="I592" s="12"/>
      <c r="J592" s="12"/>
      <c r="K592" s="12"/>
      <c r="L592" s="12">
        <v>0</v>
      </c>
      <c r="M592" s="15">
        <f t="shared" si="126"/>
        <v>2</v>
      </c>
      <c r="N592" s="15">
        <f t="shared" si="127"/>
        <v>0</v>
      </c>
      <c r="O592" s="20"/>
      <c r="P592" s="12">
        <f t="shared" si="125"/>
        <v>0</v>
      </c>
      <c r="Q592" s="20"/>
    </row>
    <row r="593" spans="1:17" x14ac:dyDescent="0.3">
      <c r="A593" s="1">
        <f t="shared" si="129"/>
        <v>13</v>
      </c>
      <c r="B593" s="10"/>
      <c r="C593" s="9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6"/>
      <c r="O593" s="13"/>
      <c r="P593" s="13"/>
      <c r="Q593" s="13"/>
    </row>
    <row r="594" spans="1:17" x14ac:dyDescent="0.3">
      <c r="A594" s="1">
        <f t="shared" si="129"/>
        <v>14</v>
      </c>
      <c r="B594" s="10"/>
      <c r="C594" s="9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6"/>
      <c r="O594" s="13"/>
      <c r="P594" s="13"/>
      <c r="Q594" s="13"/>
    </row>
    <row r="595" spans="1:17" x14ac:dyDescent="0.3">
      <c r="A595" s="1">
        <f t="shared" si="129"/>
        <v>15</v>
      </c>
      <c r="B595" s="2" t="s">
        <v>566</v>
      </c>
      <c r="C595" s="3" t="s">
        <v>442</v>
      </c>
      <c r="D595" s="50" t="s">
        <v>40</v>
      </c>
      <c r="E595" s="50" t="s">
        <v>40</v>
      </c>
      <c r="F595" s="50"/>
      <c r="G595" s="50"/>
      <c r="H595" s="50" t="s">
        <v>40</v>
      </c>
      <c r="I595" s="50" t="s">
        <v>40</v>
      </c>
      <c r="J595" s="50" t="s">
        <v>897</v>
      </c>
      <c r="K595" s="12"/>
      <c r="L595" s="12">
        <v>128861.91</v>
      </c>
      <c r="M595" s="15">
        <f t="shared" si="126"/>
        <v>15</v>
      </c>
      <c r="N595" s="15">
        <f t="shared" si="127"/>
        <v>0</v>
      </c>
      <c r="O595" s="12">
        <v>128861.91</v>
      </c>
      <c r="P595" s="12">
        <f t="shared" si="125"/>
        <v>10738.4925</v>
      </c>
      <c r="Q595" s="12">
        <f t="shared" si="128"/>
        <v>10738.4925</v>
      </c>
    </row>
    <row r="596" spans="1:17" x14ac:dyDescent="0.3">
      <c r="A596" s="1">
        <f t="shared" si="129"/>
        <v>16</v>
      </c>
      <c r="B596" s="2" t="s">
        <v>567</v>
      </c>
      <c r="C596" s="3" t="s">
        <v>442</v>
      </c>
      <c r="D596" s="12" t="s">
        <v>40</v>
      </c>
      <c r="E596" s="12" t="s">
        <v>40</v>
      </c>
      <c r="F596" s="12"/>
      <c r="G596" s="12"/>
      <c r="H596" s="12"/>
      <c r="I596" s="12"/>
      <c r="J596" s="12"/>
      <c r="K596" s="12"/>
      <c r="L596" s="12">
        <v>0</v>
      </c>
      <c r="M596" s="15">
        <f t="shared" si="126"/>
        <v>2</v>
      </c>
      <c r="N596" s="15">
        <f t="shared" si="127"/>
        <v>0</v>
      </c>
      <c r="O596" s="20"/>
      <c r="P596" s="12">
        <f t="shared" si="125"/>
        <v>0</v>
      </c>
      <c r="Q596" s="20"/>
    </row>
    <row r="597" spans="1:17" x14ac:dyDescent="0.3">
      <c r="A597" s="1">
        <f t="shared" si="129"/>
        <v>17</v>
      </c>
      <c r="B597" s="2" t="s">
        <v>568</v>
      </c>
      <c r="C597" s="3" t="s">
        <v>442</v>
      </c>
      <c r="D597" s="12" t="s">
        <v>40</v>
      </c>
      <c r="E597" s="12" t="s">
        <v>40</v>
      </c>
      <c r="F597" s="12"/>
      <c r="G597" s="12"/>
      <c r="H597" s="12" t="s">
        <v>40</v>
      </c>
      <c r="I597" s="12"/>
      <c r="J597" s="12"/>
      <c r="K597" s="12"/>
      <c r="L597" s="12">
        <v>488451</v>
      </c>
      <c r="M597" s="15">
        <f t="shared" si="126"/>
        <v>5</v>
      </c>
      <c r="N597" s="15">
        <f t="shared" si="127"/>
        <v>0</v>
      </c>
      <c r="O597" s="12">
        <v>488451</v>
      </c>
      <c r="P597" s="12">
        <f t="shared" si="125"/>
        <v>40704.25</v>
      </c>
      <c r="Q597" s="12">
        <f t="shared" si="128"/>
        <v>40704.25</v>
      </c>
    </row>
    <row r="598" spans="1:17" x14ac:dyDescent="0.3">
      <c r="A598" s="1">
        <f t="shared" si="129"/>
        <v>18</v>
      </c>
      <c r="B598" s="2" t="s">
        <v>569</v>
      </c>
      <c r="C598" s="3" t="s">
        <v>442</v>
      </c>
      <c r="D598" s="12" t="s">
        <v>40</v>
      </c>
      <c r="E598" s="12" t="s">
        <v>40</v>
      </c>
      <c r="F598" s="12"/>
      <c r="G598" s="12"/>
      <c r="H598" s="12"/>
      <c r="I598" s="12"/>
      <c r="J598" s="12"/>
      <c r="K598" s="12"/>
      <c r="L598" s="12">
        <v>0</v>
      </c>
      <c r="M598" s="15">
        <f t="shared" si="126"/>
        <v>2</v>
      </c>
      <c r="N598" s="15">
        <f t="shared" si="127"/>
        <v>0</v>
      </c>
      <c r="O598" s="20"/>
      <c r="P598" s="12">
        <f t="shared" si="125"/>
        <v>0</v>
      </c>
      <c r="Q598" s="20"/>
    </row>
    <row r="599" spans="1:17" x14ac:dyDescent="0.3">
      <c r="A599" s="1">
        <f t="shared" si="129"/>
        <v>19</v>
      </c>
      <c r="B599" s="2" t="s">
        <v>570</v>
      </c>
      <c r="C599" s="3" t="s">
        <v>442</v>
      </c>
      <c r="D599" s="12" t="s">
        <v>40</v>
      </c>
      <c r="E599" s="12" t="s">
        <v>40</v>
      </c>
      <c r="F599" s="12"/>
      <c r="G599" s="12"/>
      <c r="H599" s="12" t="s">
        <v>40</v>
      </c>
      <c r="I599" s="12"/>
      <c r="J599" s="12"/>
      <c r="K599" s="12"/>
      <c r="L599" s="12">
        <v>43601</v>
      </c>
      <c r="M599" s="15">
        <f t="shared" si="126"/>
        <v>5</v>
      </c>
      <c r="N599" s="15">
        <f t="shared" si="127"/>
        <v>0</v>
      </c>
      <c r="O599" s="12">
        <v>43601</v>
      </c>
      <c r="P599" s="12">
        <f t="shared" si="125"/>
        <v>3633.4166666666665</v>
      </c>
      <c r="Q599" s="12">
        <f t="shared" si="128"/>
        <v>3633.4166666666665</v>
      </c>
    </row>
    <row r="600" spans="1:17" x14ac:dyDescent="0.3">
      <c r="A600" s="1">
        <f t="shared" si="129"/>
        <v>20</v>
      </c>
      <c r="B600" s="10"/>
      <c r="C600" s="9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6"/>
      <c r="O600" s="13"/>
      <c r="P600" s="13"/>
      <c r="Q600" s="13"/>
    </row>
    <row r="601" spans="1:17" x14ac:dyDescent="0.3">
      <c r="A601" s="1">
        <f t="shared" si="129"/>
        <v>21</v>
      </c>
      <c r="B601" s="2" t="s">
        <v>571</v>
      </c>
      <c r="C601" s="3" t="s">
        <v>442</v>
      </c>
      <c r="D601" s="12" t="s">
        <v>40</v>
      </c>
      <c r="E601" s="12" t="s">
        <v>40</v>
      </c>
      <c r="F601" s="12"/>
      <c r="G601" s="12"/>
      <c r="H601" s="12" t="s">
        <v>40</v>
      </c>
      <c r="I601" s="12"/>
      <c r="J601" s="12"/>
      <c r="K601" s="12"/>
      <c r="L601" s="12">
        <v>132577</v>
      </c>
      <c r="M601" s="15">
        <f t="shared" si="126"/>
        <v>5</v>
      </c>
      <c r="N601" s="15">
        <f t="shared" si="127"/>
        <v>0</v>
      </c>
      <c r="O601" s="12">
        <v>132577</v>
      </c>
      <c r="P601" s="12">
        <f t="shared" si="125"/>
        <v>11048.083333333334</v>
      </c>
      <c r="Q601" s="12">
        <f t="shared" si="128"/>
        <v>11048.083333333334</v>
      </c>
    </row>
    <row r="602" spans="1:17" x14ac:dyDescent="0.3">
      <c r="A602" s="1">
        <f t="shared" si="129"/>
        <v>22</v>
      </c>
      <c r="B602" s="2" t="s">
        <v>572</v>
      </c>
      <c r="C602" s="3" t="s">
        <v>442</v>
      </c>
      <c r="D602" s="12" t="s">
        <v>40</v>
      </c>
      <c r="E602" s="12" t="s">
        <v>40</v>
      </c>
      <c r="F602" s="12"/>
      <c r="G602" s="12"/>
      <c r="H602" s="12"/>
      <c r="I602" s="12"/>
      <c r="J602" s="12"/>
      <c r="K602" s="12"/>
      <c r="L602" s="12">
        <v>0</v>
      </c>
      <c r="M602" s="15">
        <f t="shared" si="126"/>
        <v>2</v>
      </c>
      <c r="N602" s="15">
        <f t="shared" si="127"/>
        <v>0</v>
      </c>
      <c r="O602" s="20"/>
      <c r="P602" s="12">
        <f t="shared" si="125"/>
        <v>0</v>
      </c>
      <c r="Q602" s="20"/>
    </row>
    <row r="603" spans="1:17" x14ac:dyDescent="0.3">
      <c r="A603" s="1">
        <f t="shared" si="129"/>
        <v>23</v>
      </c>
      <c r="B603" s="2" t="s">
        <v>573</v>
      </c>
      <c r="C603" s="3" t="s">
        <v>442</v>
      </c>
      <c r="D603" s="50" t="s">
        <v>40</v>
      </c>
      <c r="E603" s="50" t="s">
        <v>40</v>
      </c>
      <c r="F603" s="50"/>
      <c r="G603" s="50"/>
      <c r="H603" s="50" t="s">
        <v>40</v>
      </c>
      <c r="I603" s="50" t="s">
        <v>40</v>
      </c>
      <c r="J603" s="50" t="s">
        <v>897</v>
      </c>
      <c r="K603" s="12"/>
      <c r="L603" s="12">
        <v>204000</v>
      </c>
      <c r="M603" s="15">
        <f t="shared" si="126"/>
        <v>15</v>
      </c>
      <c r="N603" s="15">
        <f t="shared" si="127"/>
        <v>0</v>
      </c>
      <c r="O603" s="12">
        <v>204000</v>
      </c>
      <c r="P603" s="12">
        <f t="shared" si="125"/>
        <v>17000</v>
      </c>
      <c r="Q603" s="12">
        <f t="shared" si="128"/>
        <v>17000</v>
      </c>
    </row>
    <row r="604" spans="1:17" x14ac:dyDescent="0.3">
      <c r="A604" s="1">
        <f t="shared" si="129"/>
        <v>24</v>
      </c>
      <c r="B604" s="10"/>
      <c r="C604" s="9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6"/>
      <c r="O604" s="13"/>
      <c r="P604" s="13"/>
      <c r="Q604" s="13"/>
    </row>
    <row r="605" spans="1:17" x14ac:dyDescent="0.3">
      <c r="A605" s="1">
        <f t="shared" si="129"/>
        <v>25</v>
      </c>
      <c r="B605" s="10"/>
      <c r="C605" s="9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6"/>
      <c r="O605" s="13"/>
      <c r="P605" s="13"/>
      <c r="Q605" s="13"/>
    </row>
    <row r="606" spans="1:17" x14ac:dyDescent="0.3">
      <c r="A606" s="1">
        <f t="shared" si="129"/>
        <v>26</v>
      </c>
      <c r="B606" s="2" t="s">
        <v>574</v>
      </c>
      <c r="C606" s="3" t="s">
        <v>442</v>
      </c>
      <c r="D606" s="12" t="s">
        <v>40</v>
      </c>
      <c r="E606" s="12" t="s">
        <v>40</v>
      </c>
      <c r="F606" s="12"/>
      <c r="G606" s="12"/>
      <c r="H606" s="12" t="s">
        <v>40</v>
      </c>
      <c r="I606" s="12" t="s">
        <v>40</v>
      </c>
      <c r="J606" s="12"/>
      <c r="K606" s="12"/>
      <c r="L606" s="12">
        <v>0</v>
      </c>
      <c r="M606" s="15">
        <f t="shared" si="126"/>
        <v>10</v>
      </c>
      <c r="N606" s="15">
        <f t="shared" si="127"/>
        <v>0</v>
      </c>
      <c r="O606" s="20"/>
      <c r="P606" s="12">
        <f t="shared" ref="P606" si="130">+L606/12</f>
        <v>0</v>
      </c>
      <c r="Q606" s="20"/>
    </row>
    <row r="607" spans="1:17" x14ac:dyDescent="0.3">
      <c r="A607" s="1">
        <f t="shared" si="129"/>
        <v>27</v>
      </c>
      <c r="B607" s="2" t="s">
        <v>575</v>
      </c>
      <c r="C607" s="3" t="s">
        <v>442</v>
      </c>
      <c r="D607" s="12" t="s">
        <v>40</v>
      </c>
      <c r="E607" s="12" t="s">
        <v>40</v>
      </c>
      <c r="F607" s="12"/>
      <c r="G607" s="12"/>
      <c r="H607" s="12" t="s">
        <v>40</v>
      </c>
      <c r="I607" s="12"/>
      <c r="J607" s="12"/>
      <c r="K607" s="12"/>
      <c r="L607" s="12">
        <v>86880</v>
      </c>
      <c r="M607" s="15">
        <f t="shared" si="126"/>
        <v>5</v>
      </c>
      <c r="N607" s="15">
        <f t="shared" si="127"/>
        <v>0</v>
      </c>
      <c r="O607" s="12">
        <v>86880</v>
      </c>
      <c r="P607" s="12">
        <f t="shared" si="125"/>
        <v>7240</v>
      </c>
      <c r="Q607" s="12">
        <f t="shared" si="128"/>
        <v>7240</v>
      </c>
    </row>
    <row r="608" spans="1:17" x14ac:dyDescent="0.3">
      <c r="A608" s="1">
        <f t="shared" si="129"/>
        <v>28</v>
      </c>
      <c r="B608" s="18" t="s">
        <v>576</v>
      </c>
      <c r="C608" s="3" t="s">
        <v>442</v>
      </c>
      <c r="D608" s="12" t="s">
        <v>40</v>
      </c>
      <c r="E608" s="12" t="s">
        <v>40</v>
      </c>
      <c r="F608" s="12"/>
      <c r="G608" s="12"/>
      <c r="H608" s="12"/>
      <c r="I608" s="12"/>
      <c r="J608" s="12"/>
      <c r="K608" s="12"/>
      <c r="L608" s="12">
        <v>0</v>
      </c>
      <c r="M608" s="15">
        <f t="shared" si="126"/>
        <v>2</v>
      </c>
      <c r="N608" s="15">
        <f t="shared" si="127"/>
        <v>0</v>
      </c>
      <c r="O608" s="20"/>
      <c r="P608" s="12">
        <f t="shared" si="125"/>
        <v>0</v>
      </c>
      <c r="Q608" s="20"/>
    </row>
    <row r="609" spans="1:17" x14ac:dyDescent="0.3">
      <c r="A609" s="1">
        <f t="shared" si="129"/>
        <v>29</v>
      </c>
      <c r="B609" s="2" t="s">
        <v>577</v>
      </c>
      <c r="C609" s="3" t="s">
        <v>442</v>
      </c>
      <c r="D609" s="12" t="s">
        <v>40</v>
      </c>
      <c r="E609" s="12" t="s">
        <v>40</v>
      </c>
      <c r="F609" s="12"/>
      <c r="G609" s="12"/>
      <c r="H609" s="12"/>
      <c r="I609" s="12"/>
      <c r="J609" s="12"/>
      <c r="K609" s="12"/>
      <c r="L609" s="12">
        <v>0</v>
      </c>
      <c r="M609" s="15">
        <f t="shared" si="126"/>
        <v>2</v>
      </c>
      <c r="N609" s="15">
        <f t="shared" si="127"/>
        <v>0</v>
      </c>
      <c r="O609" s="20"/>
      <c r="P609" s="12">
        <f t="shared" si="125"/>
        <v>0</v>
      </c>
      <c r="Q609" s="20"/>
    </row>
    <row r="610" spans="1:17" x14ac:dyDescent="0.3">
      <c r="A610" s="1">
        <f t="shared" si="129"/>
        <v>30</v>
      </c>
      <c r="B610" s="2" t="s">
        <v>578</v>
      </c>
      <c r="C610" s="3" t="s">
        <v>442</v>
      </c>
      <c r="D610" s="12" t="s">
        <v>40</v>
      </c>
      <c r="E610" s="12" t="s">
        <v>40</v>
      </c>
      <c r="F610" s="12"/>
      <c r="G610" s="12"/>
      <c r="H610" s="12"/>
      <c r="I610" s="12"/>
      <c r="J610" s="12"/>
      <c r="K610" s="12"/>
      <c r="L610" s="12">
        <v>0</v>
      </c>
      <c r="M610" s="15">
        <f t="shared" si="126"/>
        <v>2</v>
      </c>
      <c r="N610" s="15">
        <f t="shared" si="127"/>
        <v>0</v>
      </c>
      <c r="O610" s="20"/>
      <c r="P610" s="12">
        <f t="shared" si="125"/>
        <v>0</v>
      </c>
      <c r="Q610" s="20"/>
    </row>
    <row r="611" spans="1:17" x14ac:dyDescent="0.3">
      <c r="B611" s="29"/>
      <c r="D611"/>
      <c r="E611"/>
      <c r="F611"/>
      <c r="G611"/>
      <c r="H611"/>
      <c r="I611"/>
      <c r="J611"/>
      <c r="L611" s="14">
        <f>+AVERAGE(L581:L610)</f>
        <v>168921.05319999999</v>
      </c>
      <c r="M611" s="14">
        <f>+AVERAGE(M581:M610)</f>
        <v>6.56</v>
      </c>
      <c r="N611" s="14">
        <f>+SUM(N581:N610)</f>
        <v>0</v>
      </c>
      <c r="O611" s="14">
        <f>+AVERAGE(O581:O610)</f>
        <v>241429.80928571429</v>
      </c>
      <c r="P611" s="14">
        <f>+AVERAGE(P581:P610)</f>
        <v>14076.754433333332</v>
      </c>
      <c r="Q611" s="14">
        <f>+AVERAGE(Q581:Q610)</f>
        <v>20119.150773809524</v>
      </c>
    </row>
    <row r="612" spans="1:17" x14ac:dyDescent="0.3">
      <c r="D612"/>
      <c r="E612"/>
      <c r="F612"/>
      <c r="G612"/>
      <c r="H612"/>
      <c r="I612"/>
      <c r="J612"/>
      <c r="L612" s="14">
        <f>+STDEV(L581:L610)</f>
        <v>214130.16398366494</v>
      </c>
      <c r="M612" s="14">
        <f>+STDEV(M581:M610)</f>
        <v>4.5650848842053318</v>
      </c>
      <c r="N612" s="17"/>
      <c r="O612" s="14">
        <f>+STDEV(O581:O610)</f>
        <v>148608.51848803987</v>
      </c>
      <c r="P612" s="14">
        <f>+STDEV(P581:P610)</f>
        <v>17844.180331972078</v>
      </c>
      <c r="Q612" s="14">
        <f>+STDEV(Q581:Q610)</f>
        <v>12384.043207336654</v>
      </c>
    </row>
    <row r="613" spans="1:17" x14ac:dyDescent="0.3">
      <c r="D613"/>
      <c r="E613"/>
      <c r="F613"/>
      <c r="G613"/>
      <c r="H613"/>
      <c r="I613" s="15"/>
      <c r="J613" s="15"/>
      <c r="K613" s="11" t="s">
        <v>75</v>
      </c>
      <c r="L613" s="14">
        <f>+COUNTIF(L581:L610,0)</f>
        <v>10</v>
      </c>
      <c r="M613" s="14">
        <f>+COUNT(M581:M610)</f>
        <v>25</v>
      </c>
      <c r="P613" s="14">
        <f>+COUNTIF(P581:P610,0)</f>
        <v>10</v>
      </c>
    </row>
    <row r="614" spans="1:17" x14ac:dyDescent="0.3">
      <c r="D614"/>
      <c r="E614"/>
      <c r="F614"/>
      <c r="G614"/>
      <c r="H614"/>
      <c r="I614"/>
      <c r="J614"/>
    </row>
    <row r="615" spans="1:17" x14ac:dyDescent="0.3">
      <c r="A615" s="1">
        <v>1</v>
      </c>
      <c r="B615" s="2" t="s">
        <v>579</v>
      </c>
      <c r="C615" s="3" t="s">
        <v>443</v>
      </c>
      <c r="D615" s="12" t="s">
        <v>40</v>
      </c>
      <c r="E615" s="12" t="s">
        <v>40</v>
      </c>
      <c r="F615" s="12"/>
      <c r="G615" s="12"/>
      <c r="H615" s="12"/>
      <c r="I615" s="12"/>
      <c r="J615" s="12"/>
      <c r="K615" s="12"/>
      <c r="L615" s="12">
        <v>0</v>
      </c>
      <c r="M615" s="15">
        <f>+IF(D615="X",1,0)+IF(E615="X",1,0)+IF(F615="X",2,0)+IF(G615="X",2,0)+IF(H615="X",3,IF(H615="Y",1.5,0))+IF(I615="X",5,IF(I615="Y",2.5,0))+IF(J615="X1",10,IF(J615="X2",5,IF(J615="X3",3,0)))</f>
        <v>2</v>
      </c>
      <c r="N615" s="15">
        <f>+IF(K615="X",1,0)</f>
        <v>0</v>
      </c>
      <c r="O615" s="20"/>
      <c r="P615" s="12">
        <f t="shared" ref="P615:P644" si="131">+L615/12</f>
        <v>0</v>
      </c>
      <c r="Q615" s="20"/>
    </row>
    <row r="616" spans="1:17" x14ac:dyDescent="0.3">
      <c r="A616" s="1">
        <f>+A615+1</f>
        <v>2</v>
      </c>
      <c r="B616" s="2" t="s">
        <v>580</v>
      </c>
      <c r="C616" s="3" t="s">
        <v>443</v>
      </c>
      <c r="D616" s="12" t="s">
        <v>40</v>
      </c>
      <c r="E616" s="12" t="s">
        <v>40</v>
      </c>
      <c r="F616" s="12"/>
      <c r="G616" s="12"/>
      <c r="H616" s="12"/>
      <c r="I616" s="12"/>
      <c r="J616" s="12"/>
      <c r="K616" s="12"/>
      <c r="L616" s="12">
        <v>0</v>
      </c>
      <c r="M616" s="15">
        <f t="shared" ref="M616:M644" si="132">+IF(D616="X",1,0)+IF(E616="X",1,0)+IF(F616="X",2,0)+IF(G616="X",2,0)+IF(H616="X",3,IF(H616="Y",1.5,0))+IF(I616="X",5,IF(I616="Y",2.5,0))+IF(J616="X1",10,IF(J616="X2",5,IF(J616="X3",3,0)))</f>
        <v>2</v>
      </c>
      <c r="N616" s="15">
        <f t="shared" ref="N616:N644" si="133">+IF(K616="X",1,0)</f>
        <v>0</v>
      </c>
      <c r="O616" s="20"/>
      <c r="P616" s="12">
        <f t="shared" si="131"/>
        <v>0</v>
      </c>
      <c r="Q616" s="20"/>
    </row>
    <row r="617" spans="1:17" x14ac:dyDescent="0.3">
      <c r="A617" s="1">
        <f t="shared" ref="A617:A644" si="134">+A616+1</f>
        <v>3</v>
      </c>
      <c r="B617" s="2" t="s">
        <v>581</v>
      </c>
      <c r="C617" s="3" t="s">
        <v>443</v>
      </c>
      <c r="D617" s="12" t="s">
        <v>40</v>
      </c>
      <c r="E617" s="12" t="s">
        <v>40</v>
      </c>
      <c r="F617" s="12"/>
      <c r="G617" s="12"/>
      <c r="H617" s="12"/>
      <c r="I617" s="12"/>
      <c r="J617" s="12"/>
      <c r="K617" s="12"/>
      <c r="L617" s="12">
        <v>0</v>
      </c>
      <c r="M617" s="15">
        <f t="shared" si="132"/>
        <v>2</v>
      </c>
      <c r="N617" s="15">
        <f t="shared" si="133"/>
        <v>0</v>
      </c>
      <c r="O617" s="20"/>
      <c r="P617" s="12">
        <f t="shared" si="131"/>
        <v>0</v>
      </c>
      <c r="Q617" s="20"/>
    </row>
    <row r="618" spans="1:17" x14ac:dyDescent="0.3">
      <c r="A618" s="1">
        <f t="shared" si="134"/>
        <v>4</v>
      </c>
      <c r="B618" s="18" t="s">
        <v>582</v>
      </c>
      <c r="C618" s="3" t="s">
        <v>443</v>
      </c>
      <c r="D618" s="12" t="s">
        <v>40</v>
      </c>
      <c r="E618" s="12" t="s">
        <v>40</v>
      </c>
      <c r="F618" s="12" t="s">
        <v>40</v>
      </c>
      <c r="G618" s="12"/>
      <c r="H618" s="12" t="s">
        <v>40</v>
      </c>
      <c r="I618" s="12"/>
      <c r="J618" s="12"/>
      <c r="K618" s="12"/>
      <c r="L618" s="12">
        <v>0</v>
      </c>
      <c r="M618" s="15">
        <f t="shared" si="132"/>
        <v>7</v>
      </c>
      <c r="N618" s="15">
        <f t="shared" si="133"/>
        <v>0</v>
      </c>
      <c r="O618" s="20"/>
      <c r="P618" s="12">
        <f t="shared" si="131"/>
        <v>0</v>
      </c>
      <c r="Q618" s="20"/>
    </row>
    <row r="619" spans="1:17" x14ac:dyDescent="0.3">
      <c r="A619" s="1">
        <f t="shared" si="134"/>
        <v>5</v>
      </c>
      <c r="B619" s="2" t="s">
        <v>583</v>
      </c>
      <c r="C619" s="3" t="s">
        <v>443</v>
      </c>
      <c r="D619" s="12" t="s">
        <v>40</v>
      </c>
      <c r="E619" s="12"/>
      <c r="F619" s="12"/>
      <c r="G619" s="12"/>
      <c r="H619" s="12"/>
      <c r="I619" s="12"/>
      <c r="J619" s="12"/>
      <c r="K619" s="12"/>
      <c r="L619" s="12">
        <v>0</v>
      </c>
      <c r="M619" s="15">
        <f t="shared" si="132"/>
        <v>1</v>
      </c>
      <c r="N619" s="15">
        <f t="shared" si="133"/>
        <v>0</v>
      </c>
      <c r="O619" s="20"/>
      <c r="P619" s="12">
        <f t="shared" si="131"/>
        <v>0</v>
      </c>
      <c r="Q619" s="20"/>
    </row>
    <row r="620" spans="1:17" x14ac:dyDescent="0.3">
      <c r="A620" s="1">
        <f t="shared" si="134"/>
        <v>6</v>
      </c>
      <c r="B620" s="2" t="s">
        <v>584</v>
      </c>
      <c r="C620" s="3" t="s">
        <v>443</v>
      </c>
      <c r="D620" s="12" t="s">
        <v>40</v>
      </c>
      <c r="E620" s="12"/>
      <c r="F620" s="12"/>
      <c r="G620" s="12"/>
      <c r="H620" s="12"/>
      <c r="I620" s="12"/>
      <c r="J620" s="12"/>
      <c r="K620" s="12"/>
      <c r="L620" s="12">
        <v>0</v>
      </c>
      <c r="M620" s="15">
        <f t="shared" si="132"/>
        <v>1</v>
      </c>
      <c r="N620" s="15">
        <f t="shared" si="133"/>
        <v>0</v>
      </c>
      <c r="O620" s="20"/>
      <c r="P620" s="12">
        <f t="shared" si="131"/>
        <v>0</v>
      </c>
      <c r="Q620" s="20"/>
    </row>
    <row r="621" spans="1:17" x14ac:dyDescent="0.3">
      <c r="A621" s="1">
        <f t="shared" si="134"/>
        <v>7</v>
      </c>
      <c r="B621" s="2" t="s">
        <v>585</v>
      </c>
      <c r="C621" s="3" t="s">
        <v>443</v>
      </c>
      <c r="D621" s="12" t="s">
        <v>40</v>
      </c>
      <c r="E621" s="12" t="s">
        <v>40</v>
      </c>
      <c r="F621" s="12"/>
      <c r="G621" s="12"/>
      <c r="H621" s="12"/>
      <c r="I621" s="12"/>
      <c r="J621" s="12"/>
      <c r="K621" s="12"/>
      <c r="L621" s="12">
        <v>0</v>
      </c>
      <c r="M621" s="15">
        <f t="shared" si="132"/>
        <v>2</v>
      </c>
      <c r="N621" s="15">
        <f t="shared" si="133"/>
        <v>0</v>
      </c>
      <c r="O621" s="20"/>
      <c r="P621" s="12">
        <f t="shared" si="131"/>
        <v>0</v>
      </c>
      <c r="Q621" s="20"/>
    </row>
    <row r="622" spans="1:17" x14ac:dyDescent="0.3">
      <c r="A622" s="1">
        <f t="shared" si="134"/>
        <v>8</v>
      </c>
      <c r="B622" s="2" t="s">
        <v>586</v>
      </c>
      <c r="C622" s="3" t="s">
        <v>443</v>
      </c>
      <c r="D622" s="12" t="s">
        <v>40</v>
      </c>
      <c r="E622" s="12"/>
      <c r="F622" s="12"/>
      <c r="G622" s="12"/>
      <c r="H622" s="12"/>
      <c r="I622" s="12"/>
      <c r="J622" s="12"/>
      <c r="K622" s="12"/>
      <c r="L622" s="12">
        <v>0</v>
      </c>
      <c r="M622" s="15">
        <f t="shared" si="132"/>
        <v>1</v>
      </c>
      <c r="N622" s="15">
        <f t="shared" si="133"/>
        <v>0</v>
      </c>
      <c r="O622" s="20"/>
      <c r="P622" s="12">
        <f t="shared" si="131"/>
        <v>0</v>
      </c>
      <c r="Q622" s="20"/>
    </row>
    <row r="623" spans="1:17" x14ac:dyDescent="0.3">
      <c r="A623" s="1">
        <f t="shared" si="134"/>
        <v>9</v>
      </c>
      <c r="B623" s="2" t="s">
        <v>587</v>
      </c>
      <c r="C623" s="3" t="s">
        <v>443</v>
      </c>
      <c r="D623" s="12" t="s">
        <v>40</v>
      </c>
      <c r="E623" s="12" t="s">
        <v>40</v>
      </c>
      <c r="F623" s="12"/>
      <c r="G623" s="12"/>
      <c r="H623" s="12"/>
      <c r="I623" s="12"/>
      <c r="J623" s="12"/>
      <c r="K623" s="12"/>
      <c r="L623" s="12">
        <v>0</v>
      </c>
      <c r="M623" s="15">
        <f t="shared" si="132"/>
        <v>2</v>
      </c>
      <c r="N623" s="15">
        <f t="shared" si="133"/>
        <v>0</v>
      </c>
      <c r="O623" s="20"/>
      <c r="P623" s="12">
        <f t="shared" si="131"/>
        <v>0</v>
      </c>
      <c r="Q623" s="20"/>
    </row>
    <row r="624" spans="1:17" x14ac:dyDescent="0.3">
      <c r="A624" s="1">
        <f t="shared" si="134"/>
        <v>10</v>
      </c>
      <c r="B624" s="2" t="s">
        <v>588</v>
      </c>
      <c r="C624" s="3" t="s">
        <v>443</v>
      </c>
      <c r="D624" s="12" t="s">
        <v>40</v>
      </c>
      <c r="E624" s="12" t="s">
        <v>40</v>
      </c>
      <c r="F624" s="12"/>
      <c r="G624" s="12"/>
      <c r="H624" s="12" t="s">
        <v>40</v>
      </c>
      <c r="I624" s="12"/>
      <c r="J624" s="12"/>
      <c r="K624" s="12"/>
      <c r="L624" s="12">
        <v>57019.61</v>
      </c>
      <c r="M624" s="15">
        <f t="shared" si="132"/>
        <v>5</v>
      </c>
      <c r="N624" s="15">
        <f t="shared" si="133"/>
        <v>0</v>
      </c>
      <c r="O624" s="12">
        <v>57019.61</v>
      </c>
      <c r="P624" s="12">
        <f t="shared" si="131"/>
        <v>4751.6341666666667</v>
      </c>
      <c r="Q624" s="12">
        <f t="shared" ref="Q624:Q639" si="135">+O624/12</f>
        <v>4751.6341666666667</v>
      </c>
    </row>
    <row r="625" spans="1:17" x14ac:dyDescent="0.3">
      <c r="A625" s="1">
        <f t="shared" si="134"/>
        <v>11</v>
      </c>
      <c r="B625" s="2" t="s">
        <v>589</v>
      </c>
      <c r="C625" s="3" t="s">
        <v>443</v>
      </c>
      <c r="D625" s="12" t="s">
        <v>40</v>
      </c>
      <c r="E625" s="12" t="s">
        <v>40</v>
      </c>
      <c r="F625" s="12"/>
      <c r="G625" s="12"/>
      <c r="H625" s="12"/>
      <c r="I625" s="12"/>
      <c r="J625" s="12"/>
      <c r="K625" s="12"/>
      <c r="L625" s="12">
        <v>0</v>
      </c>
      <c r="M625" s="15">
        <f t="shared" si="132"/>
        <v>2</v>
      </c>
      <c r="N625" s="15">
        <f t="shared" si="133"/>
        <v>0</v>
      </c>
      <c r="O625" s="20"/>
      <c r="P625" s="12">
        <f t="shared" si="131"/>
        <v>0</v>
      </c>
      <c r="Q625" s="20"/>
    </row>
    <row r="626" spans="1:17" x14ac:dyDescent="0.3">
      <c r="A626" s="1">
        <f t="shared" si="134"/>
        <v>12</v>
      </c>
      <c r="B626" s="2" t="s">
        <v>590</v>
      </c>
      <c r="C626" s="3" t="s">
        <v>443</v>
      </c>
      <c r="D626" s="12" t="s">
        <v>40</v>
      </c>
      <c r="E626" s="12" t="s">
        <v>40</v>
      </c>
      <c r="F626" s="12"/>
      <c r="G626" s="12"/>
      <c r="H626" s="12" t="s">
        <v>40</v>
      </c>
      <c r="I626" s="12"/>
      <c r="J626" s="12"/>
      <c r="K626" s="12"/>
      <c r="L626" s="12">
        <v>32748</v>
      </c>
      <c r="M626" s="15">
        <f t="shared" si="132"/>
        <v>5</v>
      </c>
      <c r="N626" s="15">
        <f t="shared" si="133"/>
        <v>0</v>
      </c>
      <c r="O626" s="12">
        <v>32748</v>
      </c>
      <c r="P626" s="12">
        <f t="shared" si="131"/>
        <v>2729</v>
      </c>
      <c r="Q626" s="12">
        <f t="shared" si="135"/>
        <v>2729</v>
      </c>
    </row>
    <row r="627" spans="1:17" x14ac:dyDescent="0.3">
      <c r="A627" s="1">
        <f t="shared" si="134"/>
        <v>13</v>
      </c>
      <c r="B627" s="2" t="s">
        <v>591</v>
      </c>
      <c r="C627" s="3" t="s">
        <v>443</v>
      </c>
      <c r="D627" s="12" t="s">
        <v>40</v>
      </c>
      <c r="E627" s="12" t="s">
        <v>40</v>
      </c>
      <c r="F627" s="12"/>
      <c r="G627" s="12" t="s">
        <v>40</v>
      </c>
      <c r="H627" s="12"/>
      <c r="I627" s="12"/>
      <c r="J627" s="12"/>
      <c r="K627" s="12"/>
      <c r="L627" s="12">
        <v>0</v>
      </c>
      <c r="M627" s="15">
        <f t="shared" si="132"/>
        <v>4</v>
      </c>
      <c r="N627" s="15">
        <f t="shared" si="133"/>
        <v>0</v>
      </c>
      <c r="O627" s="20"/>
      <c r="P627" s="12">
        <f t="shared" si="131"/>
        <v>0</v>
      </c>
      <c r="Q627" s="20"/>
    </row>
    <row r="628" spans="1:17" x14ac:dyDescent="0.3">
      <c r="A628" s="1">
        <f t="shared" si="134"/>
        <v>14</v>
      </c>
      <c r="B628" s="2" t="s">
        <v>592</v>
      </c>
      <c r="C628" s="3" t="s">
        <v>443</v>
      </c>
      <c r="D628" s="12" t="s">
        <v>40</v>
      </c>
      <c r="E628" s="12" t="s">
        <v>40</v>
      </c>
      <c r="F628" s="12" t="s">
        <v>40</v>
      </c>
      <c r="G628" s="12"/>
      <c r="H628" s="12"/>
      <c r="I628" s="12"/>
      <c r="J628" s="12"/>
      <c r="K628" s="12"/>
      <c r="L628" s="12">
        <v>0</v>
      </c>
      <c r="M628" s="15">
        <f t="shared" si="132"/>
        <v>4</v>
      </c>
      <c r="N628" s="15">
        <f t="shared" si="133"/>
        <v>0</v>
      </c>
      <c r="O628" s="20"/>
      <c r="P628" s="12">
        <f t="shared" si="131"/>
        <v>0</v>
      </c>
      <c r="Q628" s="20"/>
    </row>
    <row r="629" spans="1:17" x14ac:dyDescent="0.3">
      <c r="A629" s="1">
        <f t="shared" si="134"/>
        <v>15</v>
      </c>
      <c r="B629" s="2" t="s">
        <v>593</v>
      </c>
      <c r="C629" s="3" t="s">
        <v>443</v>
      </c>
      <c r="D629" s="12" t="s">
        <v>40</v>
      </c>
      <c r="E629" s="12" t="s">
        <v>40</v>
      </c>
      <c r="F629" s="12" t="s">
        <v>40</v>
      </c>
      <c r="G629" s="12"/>
      <c r="H629" s="12" t="s">
        <v>40</v>
      </c>
      <c r="I629" s="12" t="s">
        <v>40</v>
      </c>
      <c r="J629" s="12"/>
      <c r="K629" s="12"/>
      <c r="L629" s="12">
        <v>67929.600000000006</v>
      </c>
      <c r="M629" s="15">
        <f t="shared" si="132"/>
        <v>12</v>
      </c>
      <c r="N629" s="15">
        <f t="shared" si="133"/>
        <v>0</v>
      </c>
      <c r="O629" s="12">
        <v>67929.600000000006</v>
      </c>
      <c r="P629" s="12">
        <f t="shared" si="131"/>
        <v>5660.8</v>
      </c>
      <c r="Q629" s="12">
        <f t="shared" si="135"/>
        <v>5660.8</v>
      </c>
    </row>
    <row r="630" spans="1:17" x14ac:dyDescent="0.3">
      <c r="A630" s="1">
        <f t="shared" si="134"/>
        <v>16</v>
      </c>
      <c r="B630" s="2" t="s">
        <v>594</v>
      </c>
      <c r="C630" s="3" t="s">
        <v>443</v>
      </c>
      <c r="D630" s="12" t="s">
        <v>40</v>
      </c>
      <c r="E630" s="12" t="s">
        <v>40</v>
      </c>
      <c r="F630" s="12" t="s">
        <v>40</v>
      </c>
      <c r="G630" s="12"/>
      <c r="H630" s="12"/>
      <c r="I630" s="12"/>
      <c r="J630" s="12"/>
      <c r="K630" s="12"/>
      <c r="L630" s="12">
        <v>0</v>
      </c>
      <c r="M630" s="15">
        <f t="shared" si="132"/>
        <v>4</v>
      </c>
      <c r="N630" s="15">
        <f t="shared" si="133"/>
        <v>0</v>
      </c>
      <c r="O630" s="20"/>
      <c r="P630" s="12">
        <f t="shared" si="131"/>
        <v>0</v>
      </c>
      <c r="Q630" s="20"/>
    </row>
    <row r="631" spans="1:17" x14ac:dyDescent="0.3">
      <c r="A631" s="1">
        <f t="shared" si="134"/>
        <v>17</v>
      </c>
      <c r="B631" s="2" t="s">
        <v>595</v>
      </c>
      <c r="C631" s="3" t="s">
        <v>443</v>
      </c>
      <c r="D631" s="12" t="s">
        <v>40</v>
      </c>
      <c r="E631" s="12" t="s">
        <v>40</v>
      </c>
      <c r="F631" s="12"/>
      <c r="G631" s="12"/>
      <c r="H631" s="12"/>
      <c r="I631" s="12"/>
      <c r="J631" s="12"/>
      <c r="K631" s="12"/>
      <c r="L631" s="12">
        <v>25300</v>
      </c>
      <c r="M631" s="15">
        <f t="shared" si="132"/>
        <v>2</v>
      </c>
      <c r="N631" s="15">
        <f t="shared" si="133"/>
        <v>0</v>
      </c>
      <c r="O631" s="12">
        <v>25300</v>
      </c>
      <c r="P631" s="12">
        <f t="shared" si="131"/>
        <v>2108.3333333333335</v>
      </c>
      <c r="Q631" s="12">
        <f t="shared" si="135"/>
        <v>2108.3333333333335</v>
      </c>
    </row>
    <row r="632" spans="1:17" x14ac:dyDescent="0.3">
      <c r="A632" s="1">
        <f t="shared" si="134"/>
        <v>18</v>
      </c>
      <c r="B632" s="2" t="s">
        <v>596</v>
      </c>
      <c r="C632" s="3" t="s">
        <v>443</v>
      </c>
      <c r="D632" s="12" t="s">
        <v>40</v>
      </c>
      <c r="E632" s="12" t="s">
        <v>40</v>
      </c>
      <c r="F632" s="12"/>
      <c r="G632" s="12"/>
      <c r="H632" s="12"/>
      <c r="I632" s="12"/>
      <c r="J632" s="12"/>
      <c r="K632" s="12"/>
      <c r="L632" s="12">
        <v>0</v>
      </c>
      <c r="M632" s="15">
        <f t="shared" si="132"/>
        <v>2</v>
      </c>
      <c r="N632" s="15">
        <f t="shared" si="133"/>
        <v>0</v>
      </c>
      <c r="O632" s="20"/>
      <c r="P632" s="12">
        <f t="shared" si="131"/>
        <v>0</v>
      </c>
      <c r="Q632" s="20"/>
    </row>
    <row r="633" spans="1:17" x14ac:dyDescent="0.3">
      <c r="A633" s="1">
        <f t="shared" si="134"/>
        <v>19</v>
      </c>
      <c r="B633" s="2" t="s">
        <v>597</v>
      </c>
      <c r="C633" s="3" t="s">
        <v>443</v>
      </c>
      <c r="D633" s="12" t="s">
        <v>40</v>
      </c>
      <c r="E633" s="12" t="s">
        <v>40</v>
      </c>
      <c r="F633" s="12"/>
      <c r="G633" s="12"/>
      <c r="H633" s="12"/>
      <c r="I633" s="12"/>
      <c r="J633" s="12"/>
      <c r="K633" s="12"/>
      <c r="L633" s="12">
        <v>0</v>
      </c>
      <c r="M633" s="15">
        <f t="shared" si="132"/>
        <v>2</v>
      </c>
      <c r="N633" s="15">
        <f t="shared" si="133"/>
        <v>0</v>
      </c>
      <c r="O633" s="20"/>
      <c r="P633" s="12">
        <f t="shared" si="131"/>
        <v>0</v>
      </c>
      <c r="Q633" s="20"/>
    </row>
    <row r="634" spans="1:17" x14ac:dyDescent="0.3">
      <c r="A634" s="1">
        <f t="shared" si="134"/>
        <v>20</v>
      </c>
      <c r="B634" s="2" t="s">
        <v>598</v>
      </c>
      <c r="C634" s="3" t="s">
        <v>443</v>
      </c>
      <c r="D634" s="50" t="s">
        <v>40</v>
      </c>
      <c r="E634" s="50" t="s">
        <v>40</v>
      </c>
      <c r="F634" s="50"/>
      <c r="G634" s="50"/>
      <c r="H634" s="50" t="s">
        <v>40</v>
      </c>
      <c r="I634" s="50" t="s">
        <v>40</v>
      </c>
      <c r="J634" s="50" t="s">
        <v>897</v>
      </c>
      <c r="K634" s="12"/>
      <c r="L634" s="12">
        <v>90600</v>
      </c>
      <c r="M634" s="15">
        <f t="shared" si="132"/>
        <v>15</v>
      </c>
      <c r="N634" s="15">
        <f t="shared" si="133"/>
        <v>0</v>
      </c>
      <c r="O634" s="12">
        <v>90600</v>
      </c>
      <c r="P634" s="12">
        <f t="shared" si="131"/>
        <v>7550</v>
      </c>
      <c r="Q634" s="12">
        <f t="shared" si="135"/>
        <v>7550</v>
      </c>
    </row>
    <row r="635" spans="1:17" x14ac:dyDescent="0.3">
      <c r="A635" s="1">
        <f t="shared" si="134"/>
        <v>21</v>
      </c>
      <c r="B635" s="2" t="s">
        <v>599</v>
      </c>
      <c r="C635" s="3" t="s">
        <v>443</v>
      </c>
      <c r="D635" s="12" t="s">
        <v>40</v>
      </c>
      <c r="E635" s="12"/>
      <c r="F635" s="12"/>
      <c r="G635" s="12"/>
      <c r="H635" s="12"/>
      <c r="I635" s="12"/>
      <c r="J635" s="12"/>
      <c r="K635" s="12"/>
      <c r="L635" s="12">
        <v>0</v>
      </c>
      <c r="M635" s="15">
        <f t="shared" si="132"/>
        <v>1</v>
      </c>
      <c r="N635" s="15">
        <f t="shared" si="133"/>
        <v>0</v>
      </c>
      <c r="O635" s="20"/>
      <c r="P635" s="12">
        <f t="shared" si="131"/>
        <v>0</v>
      </c>
      <c r="Q635" s="20"/>
    </row>
    <row r="636" spans="1:17" x14ac:dyDescent="0.3">
      <c r="A636" s="1">
        <f t="shared" si="134"/>
        <v>22</v>
      </c>
      <c r="B636" s="2" t="s">
        <v>600</v>
      </c>
      <c r="C636" s="3" t="s">
        <v>443</v>
      </c>
      <c r="D636" s="12" t="s">
        <v>40</v>
      </c>
      <c r="E636" s="12" t="s">
        <v>40</v>
      </c>
      <c r="F636" s="12"/>
      <c r="G636" s="12"/>
      <c r="H636" s="12"/>
      <c r="I636" s="12"/>
      <c r="J636" s="12"/>
      <c r="K636" s="12"/>
      <c r="L636" s="12">
        <v>0</v>
      </c>
      <c r="M636" s="15">
        <f t="shared" si="132"/>
        <v>2</v>
      </c>
      <c r="N636" s="15">
        <f t="shared" si="133"/>
        <v>0</v>
      </c>
      <c r="O636" s="20"/>
      <c r="P636" s="12">
        <f t="shared" si="131"/>
        <v>0</v>
      </c>
      <c r="Q636" s="20"/>
    </row>
    <row r="637" spans="1:17" x14ac:dyDescent="0.3">
      <c r="A637" s="1">
        <f t="shared" si="134"/>
        <v>23</v>
      </c>
      <c r="B637" s="2" t="s">
        <v>601</v>
      </c>
      <c r="C637" s="3" t="s">
        <v>443</v>
      </c>
      <c r="D637" s="12" t="s">
        <v>40</v>
      </c>
      <c r="E637" s="12"/>
      <c r="F637" s="12"/>
      <c r="G637" s="12"/>
      <c r="H637" s="12"/>
      <c r="I637" s="12"/>
      <c r="J637" s="12"/>
      <c r="K637" s="12"/>
      <c r="L637" s="12">
        <v>12346.98</v>
      </c>
      <c r="M637" s="15">
        <f t="shared" si="132"/>
        <v>1</v>
      </c>
      <c r="N637" s="15">
        <f t="shared" si="133"/>
        <v>0</v>
      </c>
      <c r="O637" s="12">
        <v>12346.98</v>
      </c>
      <c r="P637" s="12">
        <f t="shared" si="131"/>
        <v>1028.915</v>
      </c>
      <c r="Q637" s="12">
        <f t="shared" si="135"/>
        <v>1028.915</v>
      </c>
    </row>
    <row r="638" spans="1:17" x14ac:dyDescent="0.3">
      <c r="A638" s="1">
        <f t="shared" si="134"/>
        <v>24</v>
      </c>
      <c r="B638" s="2" t="s">
        <v>602</v>
      </c>
      <c r="C638" s="3" t="s">
        <v>443</v>
      </c>
      <c r="D638" s="12" t="s">
        <v>40</v>
      </c>
      <c r="E638" s="12" t="s">
        <v>40</v>
      </c>
      <c r="F638" s="12" t="s">
        <v>40</v>
      </c>
      <c r="G638" s="12" t="s">
        <v>40</v>
      </c>
      <c r="H638" s="12" t="s">
        <v>40</v>
      </c>
      <c r="I638" s="12" t="s">
        <v>40</v>
      </c>
      <c r="J638" s="12"/>
      <c r="K638" s="12"/>
      <c r="L638" s="12">
        <v>105068.44</v>
      </c>
      <c r="M638" s="15">
        <f t="shared" si="132"/>
        <v>14</v>
      </c>
      <c r="N638" s="15">
        <f t="shared" si="133"/>
        <v>0</v>
      </c>
      <c r="O638" s="20"/>
      <c r="P638" s="12">
        <f t="shared" si="131"/>
        <v>8755.7033333333329</v>
      </c>
      <c r="Q638" s="20"/>
    </row>
    <row r="639" spans="1:17" x14ac:dyDescent="0.3">
      <c r="A639" s="1">
        <f t="shared" si="134"/>
        <v>25</v>
      </c>
      <c r="B639" s="2" t="s">
        <v>603</v>
      </c>
      <c r="C639" s="3" t="s">
        <v>443</v>
      </c>
      <c r="D639" s="12" t="s">
        <v>40</v>
      </c>
      <c r="E639" s="12" t="s">
        <v>40</v>
      </c>
      <c r="F639" s="12"/>
      <c r="G639" s="12"/>
      <c r="H639" s="12" t="s">
        <v>40</v>
      </c>
      <c r="I639" s="12"/>
      <c r="J639" s="12"/>
      <c r="K639" s="12"/>
      <c r="L639" s="12">
        <v>46606.6</v>
      </c>
      <c r="M639" s="15">
        <f t="shared" si="132"/>
        <v>5</v>
      </c>
      <c r="N639" s="15">
        <f t="shared" si="133"/>
        <v>0</v>
      </c>
      <c r="O639" s="12">
        <v>46606.6</v>
      </c>
      <c r="P639" s="12">
        <f t="shared" si="131"/>
        <v>3883.8833333333332</v>
      </c>
      <c r="Q639" s="12">
        <f t="shared" si="135"/>
        <v>3883.8833333333332</v>
      </c>
    </row>
    <row r="640" spans="1:17" x14ac:dyDescent="0.3">
      <c r="A640" s="1">
        <f t="shared" si="134"/>
        <v>26</v>
      </c>
      <c r="B640" s="2" t="s">
        <v>604</v>
      </c>
      <c r="C640" s="3" t="s">
        <v>443</v>
      </c>
      <c r="D640" s="12" t="s">
        <v>40</v>
      </c>
      <c r="E640" s="12" t="s">
        <v>40</v>
      </c>
      <c r="F640" s="12"/>
      <c r="G640" s="12"/>
      <c r="H640" s="12"/>
      <c r="I640" s="12"/>
      <c r="J640" s="12"/>
      <c r="K640" s="12"/>
      <c r="L640" s="12">
        <v>0</v>
      </c>
      <c r="M640" s="15">
        <f t="shared" si="132"/>
        <v>2</v>
      </c>
      <c r="N640" s="15">
        <f t="shared" si="133"/>
        <v>0</v>
      </c>
      <c r="O640" s="20"/>
      <c r="P640" s="12">
        <f t="shared" si="131"/>
        <v>0</v>
      </c>
      <c r="Q640" s="20"/>
    </row>
    <row r="641" spans="1:17" x14ac:dyDescent="0.3">
      <c r="A641" s="1">
        <f t="shared" si="134"/>
        <v>27</v>
      </c>
      <c r="B641" s="2" t="s">
        <v>605</v>
      </c>
      <c r="C641" s="3" t="s">
        <v>443</v>
      </c>
      <c r="D641" s="12" t="s">
        <v>40</v>
      </c>
      <c r="E641" s="12"/>
      <c r="F641" s="12"/>
      <c r="G641" s="12"/>
      <c r="H641" s="12"/>
      <c r="I641" s="12"/>
      <c r="J641" s="12"/>
      <c r="K641" s="12"/>
      <c r="L641" s="12">
        <v>0</v>
      </c>
      <c r="M641" s="15">
        <f t="shared" si="132"/>
        <v>1</v>
      </c>
      <c r="N641" s="15">
        <f t="shared" si="133"/>
        <v>0</v>
      </c>
      <c r="O641" s="20"/>
      <c r="P641" s="12">
        <f t="shared" si="131"/>
        <v>0</v>
      </c>
      <c r="Q641" s="20"/>
    </row>
    <row r="642" spans="1:17" x14ac:dyDescent="0.3">
      <c r="A642" s="1">
        <f t="shared" si="134"/>
        <v>28</v>
      </c>
      <c r="B642" s="2" t="s">
        <v>606</v>
      </c>
      <c r="C642" s="3" t="s">
        <v>443</v>
      </c>
      <c r="D642" s="12" t="s">
        <v>40</v>
      </c>
      <c r="E642" s="12" t="s">
        <v>40</v>
      </c>
      <c r="F642" s="12"/>
      <c r="G642" s="12"/>
      <c r="H642" s="12"/>
      <c r="I642" s="12"/>
      <c r="J642" s="12"/>
      <c r="K642" s="12"/>
      <c r="L642" s="12">
        <v>0</v>
      </c>
      <c r="M642" s="15">
        <f t="shared" si="132"/>
        <v>2</v>
      </c>
      <c r="N642" s="15">
        <f t="shared" si="133"/>
        <v>0</v>
      </c>
      <c r="O642" s="20"/>
      <c r="P642" s="12">
        <f t="shared" si="131"/>
        <v>0</v>
      </c>
      <c r="Q642" s="20"/>
    </row>
    <row r="643" spans="1:17" x14ac:dyDescent="0.3">
      <c r="A643" s="1">
        <f t="shared" si="134"/>
        <v>29</v>
      </c>
      <c r="B643" s="2" t="s">
        <v>607</v>
      </c>
      <c r="C643" s="3" t="s">
        <v>443</v>
      </c>
      <c r="D643" s="12" t="s">
        <v>40</v>
      </c>
      <c r="E643" s="12"/>
      <c r="F643" s="12"/>
      <c r="G643" s="12"/>
      <c r="H643" s="12"/>
      <c r="I643" s="12"/>
      <c r="J643" s="12"/>
      <c r="K643" s="12"/>
      <c r="L643" s="12">
        <v>0</v>
      </c>
      <c r="M643" s="15">
        <f t="shared" si="132"/>
        <v>1</v>
      </c>
      <c r="N643" s="15">
        <f t="shared" si="133"/>
        <v>0</v>
      </c>
      <c r="O643" s="20"/>
      <c r="P643" s="12">
        <f t="shared" si="131"/>
        <v>0</v>
      </c>
      <c r="Q643" s="20"/>
    </row>
    <row r="644" spans="1:17" x14ac:dyDescent="0.3">
      <c r="A644" s="1">
        <f t="shared" si="134"/>
        <v>30</v>
      </c>
      <c r="B644" s="2" t="s">
        <v>608</v>
      </c>
      <c r="C644" s="3" t="s">
        <v>443</v>
      </c>
      <c r="D644" s="12" t="s">
        <v>40</v>
      </c>
      <c r="E644" s="12" t="s">
        <v>40</v>
      </c>
      <c r="F644" s="12"/>
      <c r="G644" s="12" t="s">
        <v>40</v>
      </c>
      <c r="H644" s="12" t="s">
        <v>40</v>
      </c>
      <c r="I644" s="12" t="s">
        <v>40</v>
      </c>
      <c r="J644" s="12"/>
      <c r="K644" s="12"/>
      <c r="L644" s="12">
        <v>0</v>
      </c>
      <c r="M644" s="15">
        <f t="shared" si="132"/>
        <v>12</v>
      </c>
      <c r="N644" s="15">
        <f t="shared" si="133"/>
        <v>0</v>
      </c>
      <c r="O644" s="20"/>
      <c r="P644" s="12">
        <f t="shared" si="131"/>
        <v>0</v>
      </c>
      <c r="Q644" s="20"/>
    </row>
    <row r="645" spans="1:17" x14ac:dyDescent="0.3">
      <c r="B645" s="29"/>
      <c r="D645"/>
      <c r="E645"/>
      <c r="F645"/>
      <c r="G645"/>
      <c r="H645"/>
      <c r="I645"/>
      <c r="J645"/>
      <c r="L645" s="14">
        <f>+AVERAGE(L615:L644)</f>
        <v>14587.307666666666</v>
      </c>
      <c r="M645" s="14">
        <f>+AVERAGE(M615:M644)</f>
        <v>3.9333333333333331</v>
      </c>
      <c r="N645" s="14">
        <f>+SUM(N615:N644)</f>
        <v>0</v>
      </c>
      <c r="O645" s="14">
        <f>+AVERAGE(O615:O644)</f>
        <v>47507.255714285711</v>
      </c>
      <c r="P645" s="14">
        <f>+AVERAGE(P615:P644)</f>
        <v>1215.6089722222221</v>
      </c>
      <c r="Q645" s="14">
        <f>+AVERAGE(Q615:Q644)</f>
        <v>3958.9379761904761</v>
      </c>
    </row>
    <row r="646" spans="1:17" x14ac:dyDescent="0.3">
      <c r="D646"/>
      <c r="E646"/>
      <c r="F646"/>
      <c r="G646"/>
      <c r="H646"/>
      <c r="I646"/>
      <c r="J646"/>
      <c r="L646" s="14">
        <f>+STDEV(L615:L644)</f>
        <v>29223.786838668646</v>
      </c>
      <c r="M646" s="14">
        <f>+STDEV(M615:M644)</f>
        <v>4.03376553208241</v>
      </c>
      <c r="N646" s="17"/>
      <c r="O646" s="14">
        <f>+STDEV(O615:O644)</f>
        <v>26809.810532946001</v>
      </c>
      <c r="P646" s="14">
        <f>+STDEV(P615:P644)</f>
        <v>2435.3155698890537</v>
      </c>
      <c r="Q646" s="14">
        <f>+STDEV(Q615:Q644)</f>
        <v>2234.1508777454997</v>
      </c>
    </row>
    <row r="647" spans="1:17" x14ac:dyDescent="0.3">
      <c r="D647"/>
      <c r="E647"/>
      <c r="F647"/>
      <c r="G647"/>
      <c r="H647"/>
      <c r="I647" s="15"/>
      <c r="J647" s="15"/>
      <c r="K647" s="11" t="s">
        <v>75</v>
      </c>
      <c r="L647" s="14">
        <f>+COUNTIF(L615:L644,0)</f>
        <v>22</v>
      </c>
      <c r="M647" s="14">
        <f>+COUNT(M615:M644)</f>
        <v>30</v>
      </c>
      <c r="P647" s="14">
        <f>+COUNTIF(P615:P644,0)</f>
        <v>22</v>
      </c>
    </row>
    <row r="648" spans="1:17" x14ac:dyDescent="0.3">
      <c r="D648"/>
      <c r="E648"/>
      <c r="F648"/>
      <c r="G648"/>
      <c r="H648"/>
      <c r="I648"/>
      <c r="J648"/>
    </row>
    <row r="649" spans="1:17" x14ac:dyDescent="0.3">
      <c r="A649" s="1">
        <v>1</v>
      </c>
      <c r="B649" s="2" t="s">
        <v>609</v>
      </c>
      <c r="C649" s="3" t="s">
        <v>444</v>
      </c>
      <c r="D649" s="50" t="s">
        <v>40</v>
      </c>
      <c r="E649" s="50" t="s">
        <v>40</v>
      </c>
      <c r="F649" s="50"/>
      <c r="G649" s="50"/>
      <c r="H649" s="50" t="s">
        <v>40</v>
      </c>
      <c r="I649" s="50" t="s">
        <v>40</v>
      </c>
      <c r="J649" s="50" t="s">
        <v>897</v>
      </c>
      <c r="K649" s="12"/>
      <c r="L649" s="12">
        <v>123865.13</v>
      </c>
      <c r="M649" s="15">
        <f>+IF(D649="X",1,0)+IF(E649="X",1,0)+IF(F649="X",2,0)+IF(G649="X",2,0)+IF(H649="X",3,IF(H649="Y",1.5,0))+IF(I649="X",5,IF(I649="Y",2.5,0))+IF(J649="X1",10,IF(J649="X2",5,IF(J649="X3",3,0)))</f>
        <v>15</v>
      </c>
      <c r="N649" s="15">
        <f>+IF(K649="X",1,0)</f>
        <v>0</v>
      </c>
      <c r="O649" s="12">
        <v>123865.13</v>
      </c>
      <c r="P649" s="12">
        <f t="shared" ref="P649:P678" si="136">+L649/12</f>
        <v>10322.094166666668</v>
      </c>
      <c r="Q649" s="12">
        <f t="shared" ref="Q649:Q676" si="137">+O649/12</f>
        <v>10322.094166666668</v>
      </c>
    </row>
    <row r="650" spans="1:17" x14ac:dyDescent="0.3">
      <c r="A650" s="1">
        <f>+A649+1</f>
        <v>2</v>
      </c>
      <c r="B650" s="2" t="s">
        <v>610</v>
      </c>
      <c r="C650" s="3" t="s">
        <v>444</v>
      </c>
      <c r="D650" s="12" t="s">
        <v>40</v>
      </c>
      <c r="E650" s="12" t="s">
        <v>40</v>
      </c>
      <c r="F650" s="12"/>
      <c r="G650" s="12"/>
      <c r="H650" s="12"/>
      <c r="I650" s="12"/>
      <c r="J650" s="12"/>
      <c r="K650" s="12"/>
      <c r="L650" s="12">
        <v>120000</v>
      </c>
      <c r="M650" s="15">
        <f t="shared" ref="M650:M678" si="138">+IF(D650="X",1,0)+IF(E650="X",1,0)+IF(F650="X",2,0)+IF(G650="X",2,0)+IF(H650="X",3,IF(H650="Y",1.5,0))+IF(I650="X",5,IF(I650="Y",2.5,0))+IF(J650="X1",10,IF(J650="X2",5,IF(J650="X3",3,0)))</f>
        <v>2</v>
      </c>
      <c r="N650" s="15">
        <f t="shared" ref="N650:N678" si="139">+IF(K650="X",1,0)</f>
        <v>0</v>
      </c>
      <c r="O650" s="12">
        <v>120000</v>
      </c>
      <c r="P650" s="12">
        <f t="shared" si="136"/>
        <v>10000</v>
      </c>
      <c r="Q650" s="12">
        <f t="shared" si="137"/>
        <v>10000</v>
      </c>
    </row>
    <row r="651" spans="1:17" x14ac:dyDescent="0.3">
      <c r="A651" s="1">
        <f t="shared" ref="A651:A678" si="140">+A650+1</f>
        <v>3</v>
      </c>
      <c r="B651" s="2" t="s">
        <v>611</v>
      </c>
      <c r="C651" s="3" t="s">
        <v>444</v>
      </c>
      <c r="D651" s="12" t="s">
        <v>40</v>
      </c>
      <c r="E651" s="12" t="s">
        <v>40</v>
      </c>
      <c r="F651" s="12"/>
      <c r="G651" s="12"/>
      <c r="H651" s="12" t="s">
        <v>40</v>
      </c>
      <c r="I651" s="12" t="s">
        <v>40</v>
      </c>
      <c r="J651" s="12"/>
      <c r="K651" s="12"/>
      <c r="L651" s="12">
        <v>96000</v>
      </c>
      <c r="M651" s="15">
        <f t="shared" si="138"/>
        <v>10</v>
      </c>
      <c r="N651" s="15">
        <f t="shared" si="139"/>
        <v>0</v>
      </c>
      <c r="O651" s="12">
        <v>96000</v>
      </c>
      <c r="P651" s="12">
        <f t="shared" si="136"/>
        <v>8000</v>
      </c>
      <c r="Q651" s="12">
        <f t="shared" si="137"/>
        <v>8000</v>
      </c>
    </row>
    <row r="652" spans="1:17" x14ac:dyDescent="0.3">
      <c r="A652" s="1">
        <f t="shared" si="140"/>
        <v>4</v>
      </c>
      <c r="B652" s="2" t="s">
        <v>612</v>
      </c>
      <c r="C652" s="3" t="s">
        <v>444</v>
      </c>
      <c r="D652" s="12" t="s">
        <v>40</v>
      </c>
      <c r="E652" s="12" t="s">
        <v>40</v>
      </c>
      <c r="F652" s="12"/>
      <c r="G652" s="12"/>
      <c r="H652" s="12" t="s">
        <v>40</v>
      </c>
      <c r="I652" s="12" t="s">
        <v>40</v>
      </c>
      <c r="J652" s="12"/>
      <c r="K652" s="12"/>
      <c r="L652" s="12">
        <v>742469.55</v>
      </c>
      <c r="M652" s="15">
        <f t="shared" si="138"/>
        <v>10</v>
      </c>
      <c r="N652" s="15">
        <f t="shared" si="139"/>
        <v>0</v>
      </c>
      <c r="O652" s="20"/>
      <c r="P652" s="12">
        <f t="shared" si="136"/>
        <v>61872.462500000001</v>
      </c>
      <c r="Q652" s="20"/>
    </row>
    <row r="653" spans="1:17" x14ac:dyDescent="0.3">
      <c r="A653" s="1">
        <f t="shared" si="140"/>
        <v>5</v>
      </c>
      <c r="B653" s="10"/>
      <c r="C653" s="9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6"/>
      <c r="O653" s="13"/>
      <c r="P653" s="13"/>
      <c r="Q653" s="13"/>
    </row>
    <row r="654" spans="1:17" x14ac:dyDescent="0.3">
      <c r="A654" s="1">
        <f t="shared" si="140"/>
        <v>6</v>
      </c>
      <c r="B654" s="2" t="s">
        <v>613</v>
      </c>
      <c r="C654" s="3" t="s">
        <v>444</v>
      </c>
      <c r="D654" s="12" t="s">
        <v>40</v>
      </c>
      <c r="E654" s="12" t="s">
        <v>40</v>
      </c>
      <c r="F654" s="12"/>
      <c r="G654" s="12"/>
      <c r="H654" s="12" t="s">
        <v>40</v>
      </c>
      <c r="I654" s="12"/>
      <c r="J654" s="12"/>
      <c r="K654" s="12"/>
      <c r="L654" s="12">
        <v>0</v>
      </c>
      <c r="M654" s="15">
        <f t="shared" si="138"/>
        <v>5</v>
      </c>
      <c r="N654" s="15">
        <f t="shared" ref="N654" si="141">+IF(K654="X",1,0)</f>
        <v>0</v>
      </c>
      <c r="O654" s="20"/>
      <c r="P654" s="12">
        <f t="shared" ref="P654" si="142">+L654/12</f>
        <v>0</v>
      </c>
      <c r="Q654" s="20"/>
    </row>
    <row r="655" spans="1:17" x14ac:dyDescent="0.3">
      <c r="A655" s="1">
        <f t="shared" si="140"/>
        <v>7</v>
      </c>
      <c r="B655" s="2" t="s">
        <v>614</v>
      </c>
      <c r="C655" s="3" t="s">
        <v>444</v>
      </c>
      <c r="D655" s="12" t="s">
        <v>40</v>
      </c>
      <c r="E655" s="12" t="s">
        <v>40</v>
      </c>
      <c r="F655" s="12"/>
      <c r="G655" s="12"/>
      <c r="H655" s="12" t="s">
        <v>40</v>
      </c>
      <c r="I655" s="12"/>
      <c r="J655" s="12"/>
      <c r="K655" s="12"/>
      <c r="L655" s="12">
        <v>48622</v>
      </c>
      <c r="M655" s="15">
        <f t="shared" si="138"/>
        <v>5</v>
      </c>
      <c r="N655" s="15">
        <f t="shared" si="139"/>
        <v>0</v>
      </c>
      <c r="O655" s="12">
        <v>48622</v>
      </c>
      <c r="P655" s="12">
        <f t="shared" si="136"/>
        <v>4051.8333333333335</v>
      </c>
      <c r="Q655" s="12">
        <f t="shared" si="137"/>
        <v>4051.8333333333335</v>
      </c>
    </row>
    <row r="656" spans="1:17" x14ac:dyDescent="0.3">
      <c r="A656" s="1">
        <f t="shared" si="140"/>
        <v>8</v>
      </c>
      <c r="B656" s="2" t="s">
        <v>615</v>
      </c>
      <c r="C656" s="3" t="s">
        <v>444</v>
      </c>
      <c r="D656" s="12" t="s">
        <v>40</v>
      </c>
      <c r="E656" s="12" t="s">
        <v>40</v>
      </c>
      <c r="F656" s="12"/>
      <c r="G656" s="12"/>
      <c r="H656" s="12" t="s">
        <v>40</v>
      </c>
      <c r="I656" s="12"/>
      <c r="J656" s="12"/>
      <c r="K656" s="12"/>
      <c r="L656" s="12">
        <v>30944</v>
      </c>
      <c r="M656" s="15">
        <f t="shared" si="138"/>
        <v>5</v>
      </c>
      <c r="N656" s="15">
        <f t="shared" si="139"/>
        <v>0</v>
      </c>
      <c r="O656" s="12">
        <v>30944</v>
      </c>
      <c r="P656" s="12">
        <f t="shared" si="136"/>
        <v>2578.6666666666665</v>
      </c>
      <c r="Q656" s="12">
        <f t="shared" si="137"/>
        <v>2578.6666666666665</v>
      </c>
    </row>
    <row r="657" spans="1:17" x14ac:dyDescent="0.3">
      <c r="A657" s="1">
        <f t="shared" si="140"/>
        <v>9</v>
      </c>
      <c r="B657" s="2" t="s">
        <v>616</v>
      </c>
      <c r="C657" s="3" t="s">
        <v>444</v>
      </c>
      <c r="D657" s="12" t="s">
        <v>40</v>
      </c>
      <c r="E657" s="12" t="s">
        <v>40</v>
      </c>
      <c r="F657" s="12"/>
      <c r="G657" s="12"/>
      <c r="H657" s="12" t="s">
        <v>40</v>
      </c>
      <c r="I657" s="12"/>
      <c r="J657" s="12"/>
      <c r="K657" s="12"/>
      <c r="L657" s="12">
        <v>22903.33</v>
      </c>
      <c r="M657" s="15">
        <f t="shared" si="138"/>
        <v>5</v>
      </c>
      <c r="N657" s="15">
        <f t="shared" si="139"/>
        <v>0</v>
      </c>
      <c r="O657" s="12">
        <v>22903.33</v>
      </c>
      <c r="P657" s="12">
        <f t="shared" si="136"/>
        <v>1908.6108333333334</v>
      </c>
      <c r="Q657" s="12">
        <f t="shared" si="137"/>
        <v>1908.6108333333334</v>
      </c>
    </row>
    <row r="658" spans="1:17" x14ac:dyDescent="0.3">
      <c r="A658" s="1">
        <f t="shared" si="140"/>
        <v>10</v>
      </c>
      <c r="B658" s="2" t="s">
        <v>617</v>
      </c>
      <c r="C658" s="3" t="s">
        <v>444</v>
      </c>
      <c r="D658" s="50" t="s">
        <v>40</v>
      </c>
      <c r="E658" s="50" t="s">
        <v>40</v>
      </c>
      <c r="F658" s="50"/>
      <c r="G658" s="50"/>
      <c r="H658" s="50" t="s">
        <v>40</v>
      </c>
      <c r="I658" s="50"/>
      <c r="J658" s="50" t="s">
        <v>896</v>
      </c>
      <c r="K658" s="12"/>
      <c r="L658" s="12">
        <v>10360</v>
      </c>
      <c r="M658" s="15">
        <f t="shared" si="138"/>
        <v>15</v>
      </c>
      <c r="N658" s="15">
        <f t="shared" si="139"/>
        <v>0</v>
      </c>
      <c r="O658" s="12">
        <v>10360</v>
      </c>
      <c r="P658" s="12">
        <f t="shared" si="136"/>
        <v>863.33333333333337</v>
      </c>
      <c r="Q658" s="12">
        <f t="shared" si="137"/>
        <v>863.33333333333337</v>
      </c>
    </row>
    <row r="659" spans="1:17" x14ac:dyDescent="0.3">
      <c r="A659" s="1">
        <f t="shared" si="140"/>
        <v>11</v>
      </c>
      <c r="B659" s="2" t="s">
        <v>618</v>
      </c>
      <c r="C659" s="3" t="s">
        <v>444</v>
      </c>
      <c r="D659" s="12" t="s">
        <v>40</v>
      </c>
      <c r="E659" s="12" t="s">
        <v>40</v>
      </c>
      <c r="F659" s="12"/>
      <c r="G659" s="12"/>
      <c r="H659" s="12" t="s">
        <v>40</v>
      </c>
      <c r="I659" s="12"/>
      <c r="J659" s="12"/>
      <c r="K659" s="12"/>
      <c r="L659" s="12">
        <v>0</v>
      </c>
      <c r="M659" s="15">
        <f t="shared" si="138"/>
        <v>5</v>
      </c>
      <c r="N659" s="15">
        <f t="shared" si="139"/>
        <v>0</v>
      </c>
      <c r="O659" s="20"/>
      <c r="P659" s="12">
        <f t="shared" si="136"/>
        <v>0</v>
      </c>
      <c r="Q659" s="20"/>
    </row>
    <row r="660" spans="1:17" x14ac:dyDescent="0.3">
      <c r="A660" s="1">
        <f t="shared" si="140"/>
        <v>12</v>
      </c>
      <c r="B660" s="2" t="s">
        <v>619</v>
      </c>
      <c r="C660" s="3" t="s">
        <v>444</v>
      </c>
      <c r="D660" s="50" t="s">
        <v>40</v>
      </c>
      <c r="E660" s="50" t="s">
        <v>40</v>
      </c>
      <c r="F660" s="50"/>
      <c r="G660" s="50"/>
      <c r="H660" s="50" t="s">
        <v>40</v>
      </c>
      <c r="I660" s="50" t="s">
        <v>40</v>
      </c>
      <c r="J660" s="50" t="s">
        <v>896</v>
      </c>
      <c r="K660" s="12"/>
      <c r="L660" s="12">
        <v>239000</v>
      </c>
      <c r="M660" s="15">
        <f t="shared" si="138"/>
        <v>20</v>
      </c>
      <c r="N660" s="15">
        <f t="shared" si="139"/>
        <v>0</v>
      </c>
      <c r="O660" s="12">
        <v>239000</v>
      </c>
      <c r="P660" s="12">
        <f t="shared" si="136"/>
        <v>19916.666666666668</v>
      </c>
      <c r="Q660" s="12">
        <f t="shared" si="137"/>
        <v>19916.666666666668</v>
      </c>
    </row>
    <row r="661" spans="1:17" x14ac:dyDescent="0.3">
      <c r="A661" s="1">
        <f t="shared" si="140"/>
        <v>13</v>
      </c>
      <c r="B661" s="2" t="s">
        <v>620</v>
      </c>
      <c r="C661" s="3" t="s">
        <v>444</v>
      </c>
      <c r="D661" s="12" t="s">
        <v>40</v>
      </c>
      <c r="E661" s="12" t="s">
        <v>40</v>
      </c>
      <c r="F661" s="12"/>
      <c r="G661" s="12"/>
      <c r="H661" s="12" t="s">
        <v>40</v>
      </c>
      <c r="I661" s="12" t="s">
        <v>40</v>
      </c>
      <c r="J661" s="12"/>
      <c r="K661" s="12"/>
      <c r="L661" s="12">
        <v>218587.85</v>
      </c>
      <c r="M661" s="15">
        <f t="shared" si="138"/>
        <v>10</v>
      </c>
      <c r="N661" s="15">
        <f t="shared" si="139"/>
        <v>0</v>
      </c>
      <c r="O661" s="12">
        <v>218587.85</v>
      </c>
      <c r="P661" s="12">
        <f t="shared" si="136"/>
        <v>18215.654166666667</v>
      </c>
      <c r="Q661" s="12">
        <f t="shared" si="137"/>
        <v>18215.654166666667</v>
      </c>
    </row>
    <row r="662" spans="1:17" x14ac:dyDescent="0.3">
      <c r="A662" s="1">
        <f t="shared" si="140"/>
        <v>14</v>
      </c>
      <c r="B662" s="2" t="s">
        <v>621</v>
      </c>
      <c r="C662" s="3" t="s">
        <v>444</v>
      </c>
      <c r="D662" s="50" t="s">
        <v>40</v>
      </c>
      <c r="E662" s="50" t="s">
        <v>40</v>
      </c>
      <c r="F662" s="50"/>
      <c r="G662" s="50"/>
      <c r="H662" s="50" t="s">
        <v>40</v>
      </c>
      <c r="I662" s="50" t="s">
        <v>40</v>
      </c>
      <c r="J662" s="50" t="s">
        <v>897</v>
      </c>
      <c r="K662" s="12"/>
      <c r="L662" s="12">
        <v>92000</v>
      </c>
      <c r="M662" s="15">
        <f t="shared" si="138"/>
        <v>15</v>
      </c>
      <c r="N662" s="15">
        <f t="shared" si="139"/>
        <v>0</v>
      </c>
      <c r="O662" s="12">
        <v>92000</v>
      </c>
      <c r="P662" s="12">
        <f t="shared" si="136"/>
        <v>7666.666666666667</v>
      </c>
      <c r="Q662" s="12">
        <f t="shared" si="137"/>
        <v>7666.666666666667</v>
      </c>
    </row>
    <row r="663" spans="1:17" x14ac:dyDescent="0.3">
      <c r="A663" s="1">
        <f t="shared" si="140"/>
        <v>15</v>
      </c>
      <c r="B663" s="2" t="s">
        <v>622</v>
      </c>
      <c r="C663" s="3" t="s">
        <v>444</v>
      </c>
      <c r="D663" s="12" t="s">
        <v>40</v>
      </c>
      <c r="E663" s="12" t="s">
        <v>40</v>
      </c>
      <c r="F663" s="12"/>
      <c r="G663" s="12"/>
      <c r="H663" s="12"/>
      <c r="I663" s="12"/>
      <c r="J663" s="12"/>
      <c r="K663" s="12"/>
      <c r="L663" s="12">
        <v>0</v>
      </c>
      <c r="M663" s="15">
        <f t="shared" si="138"/>
        <v>2</v>
      </c>
      <c r="N663" s="15">
        <f t="shared" si="139"/>
        <v>0</v>
      </c>
      <c r="O663" s="20"/>
      <c r="P663" s="12">
        <f t="shared" si="136"/>
        <v>0</v>
      </c>
      <c r="Q663" s="20"/>
    </row>
    <row r="664" spans="1:17" x14ac:dyDescent="0.3">
      <c r="A664" s="1">
        <f t="shared" si="140"/>
        <v>16</v>
      </c>
      <c r="B664" s="2" t="s">
        <v>623</v>
      </c>
      <c r="C664" s="3" t="s">
        <v>444</v>
      </c>
      <c r="D664" s="12" t="s">
        <v>40</v>
      </c>
      <c r="E664" s="12" t="s">
        <v>40</v>
      </c>
      <c r="F664" s="12" t="s">
        <v>40</v>
      </c>
      <c r="G664" s="12"/>
      <c r="H664" s="12"/>
      <c r="I664" s="12"/>
      <c r="J664" s="12"/>
      <c r="K664" s="12"/>
      <c r="L664" s="12">
        <v>139400</v>
      </c>
      <c r="M664" s="15">
        <f t="shared" si="138"/>
        <v>4</v>
      </c>
      <c r="N664" s="15">
        <f t="shared" si="139"/>
        <v>0</v>
      </c>
      <c r="O664" s="12">
        <v>139400</v>
      </c>
      <c r="P664" s="12">
        <f t="shared" si="136"/>
        <v>11616.666666666666</v>
      </c>
      <c r="Q664" s="12">
        <f t="shared" si="137"/>
        <v>11616.666666666666</v>
      </c>
    </row>
    <row r="665" spans="1:17" x14ac:dyDescent="0.3">
      <c r="A665" s="1">
        <f t="shared" si="140"/>
        <v>17</v>
      </c>
      <c r="B665" s="2" t="s">
        <v>624</v>
      </c>
      <c r="C665" s="3" t="s">
        <v>444</v>
      </c>
      <c r="D665" s="12" t="s">
        <v>40</v>
      </c>
      <c r="E665" s="12" t="s">
        <v>40</v>
      </c>
      <c r="F665" s="12"/>
      <c r="G665" s="12"/>
      <c r="H665" s="12"/>
      <c r="I665" s="12"/>
      <c r="J665" s="12"/>
      <c r="K665" s="12"/>
      <c r="L665" s="12">
        <v>36000</v>
      </c>
      <c r="M665" s="15">
        <f t="shared" si="138"/>
        <v>2</v>
      </c>
      <c r="N665" s="15">
        <f t="shared" si="139"/>
        <v>0</v>
      </c>
      <c r="O665" s="12">
        <v>36000</v>
      </c>
      <c r="P665" s="12">
        <f t="shared" si="136"/>
        <v>3000</v>
      </c>
      <c r="Q665" s="12">
        <f t="shared" si="137"/>
        <v>3000</v>
      </c>
    </row>
    <row r="666" spans="1:17" x14ac:dyDescent="0.3">
      <c r="A666" s="1">
        <f t="shared" si="140"/>
        <v>18</v>
      </c>
      <c r="B666" s="2" t="s">
        <v>625</v>
      </c>
      <c r="C666" s="3" t="s">
        <v>444</v>
      </c>
      <c r="D666" s="12" t="s">
        <v>40</v>
      </c>
      <c r="E666" s="12" t="s">
        <v>40</v>
      </c>
      <c r="F666" s="12"/>
      <c r="G666" s="12"/>
      <c r="H666" s="12"/>
      <c r="I666" s="12"/>
      <c r="J666" s="12"/>
      <c r="K666" s="12"/>
      <c r="L666" s="12">
        <v>0</v>
      </c>
      <c r="M666" s="15">
        <f t="shared" si="138"/>
        <v>2</v>
      </c>
      <c r="N666" s="15">
        <f t="shared" si="139"/>
        <v>0</v>
      </c>
      <c r="O666" s="20"/>
      <c r="P666" s="12">
        <f t="shared" si="136"/>
        <v>0</v>
      </c>
      <c r="Q666" s="20"/>
    </row>
    <row r="667" spans="1:17" x14ac:dyDescent="0.3">
      <c r="A667" s="1">
        <f t="shared" si="140"/>
        <v>19</v>
      </c>
      <c r="B667" s="2" t="s">
        <v>626</v>
      </c>
      <c r="C667" s="3" t="s">
        <v>444</v>
      </c>
      <c r="D667" s="50" t="s">
        <v>40</v>
      </c>
      <c r="E667" s="50" t="s">
        <v>40</v>
      </c>
      <c r="F667" s="50"/>
      <c r="G667" s="50"/>
      <c r="H667" s="50" t="s">
        <v>40</v>
      </c>
      <c r="I667" s="50" t="s">
        <v>40</v>
      </c>
      <c r="J667" s="50" t="s">
        <v>897</v>
      </c>
      <c r="K667" s="12"/>
      <c r="L667" s="12">
        <v>96000</v>
      </c>
      <c r="M667" s="15">
        <f t="shared" si="138"/>
        <v>15</v>
      </c>
      <c r="N667" s="15">
        <f t="shared" si="139"/>
        <v>0</v>
      </c>
      <c r="O667" s="12">
        <v>96000</v>
      </c>
      <c r="P667" s="12">
        <f t="shared" si="136"/>
        <v>8000</v>
      </c>
      <c r="Q667" s="12">
        <f t="shared" si="137"/>
        <v>8000</v>
      </c>
    </row>
    <row r="668" spans="1:17" x14ac:dyDescent="0.3">
      <c r="A668" s="1">
        <f t="shared" si="140"/>
        <v>20</v>
      </c>
      <c r="B668" s="10"/>
      <c r="C668" s="9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6"/>
      <c r="O668" s="13"/>
      <c r="P668" s="13"/>
      <c r="Q668" s="13"/>
    </row>
    <row r="669" spans="1:17" x14ac:dyDescent="0.3">
      <c r="A669" s="1">
        <f t="shared" si="140"/>
        <v>21</v>
      </c>
      <c r="B669" s="2" t="s">
        <v>627</v>
      </c>
      <c r="C669" s="3" t="s">
        <v>444</v>
      </c>
      <c r="D669" s="12" t="s">
        <v>40</v>
      </c>
      <c r="E669" s="12" t="s">
        <v>40</v>
      </c>
      <c r="F669" s="12"/>
      <c r="G669" s="12"/>
      <c r="H669" s="12" t="s">
        <v>40</v>
      </c>
      <c r="I669" s="12"/>
      <c r="J669" s="12"/>
      <c r="K669" s="12"/>
      <c r="L669" s="12">
        <v>124800</v>
      </c>
      <c r="M669" s="15">
        <f t="shared" si="138"/>
        <v>5</v>
      </c>
      <c r="N669" s="15">
        <f t="shared" si="139"/>
        <v>0</v>
      </c>
      <c r="O669" s="12">
        <v>124800</v>
      </c>
      <c r="P669" s="12">
        <f t="shared" si="136"/>
        <v>10400</v>
      </c>
      <c r="Q669" s="12">
        <f t="shared" si="137"/>
        <v>10400</v>
      </c>
    </row>
    <row r="670" spans="1:17" x14ac:dyDescent="0.3">
      <c r="A670" s="1">
        <f t="shared" si="140"/>
        <v>22</v>
      </c>
      <c r="B670" s="2" t="s">
        <v>628</v>
      </c>
      <c r="C670" s="3" t="s">
        <v>444</v>
      </c>
      <c r="D670" s="12" t="s">
        <v>40</v>
      </c>
      <c r="E670" s="12" t="s">
        <v>40</v>
      </c>
      <c r="F670" s="12"/>
      <c r="G670" s="12" t="s">
        <v>40</v>
      </c>
      <c r="H670" s="12"/>
      <c r="I670" s="12"/>
      <c r="J670" s="12"/>
      <c r="K670" s="12"/>
      <c r="L670" s="12">
        <v>20115</v>
      </c>
      <c r="M670" s="15">
        <f t="shared" si="138"/>
        <v>4</v>
      </c>
      <c r="N670" s="15">
        <f t="shared" si="139"/>
        <v>0</v>
      </c>
      <c r="O670" s="12">
        <v>20115</v>
      </c>
      <c r="P670" s="12">
        <f t="shared" si="136"/>
        <v>1676.25</v>
      </c>
      <c r="Q670" s="12">
        <f t="shared" si="137"/>
        <v>1676.25</v>
      </c>
    </row>
    <row r="671" spans="1:17" x14ac:dyDescent="0.3">
      <c r="A671" s="1">
        <f t="shared" si="140"/>
        <v>23</v>
      </c>
      <c r="B671" s="2" t="s">
        <v>629</v>
      </c>
      <c r="C671" s="3" t="s">
        <v>444</v>
      </c>
      <c r="D671" s="12" t="s">
        <v>40</v>
      </c>
      <c r="E671" s="12" t="s">
        <v>40</v>
      </c>
      <c r="F671" s="12"/>
      <c r="G671" s="12"/>
      <c r="H671" s="12"/>
      <c r="I671" s="12"/>
      <c r="J671" s="12"/>
      <c r="K671" s="12"/>
      <c r="L671" s="12">
        <v>0</v>
      </c>
      <c r="M671" s="15">
        <f t="shared" si="138"/>
        <v>2</v>
      </c>
      <c r="N671" s="15">
        <f t="shared" si="139"/>
        <v>0</v>
      </c>
      <c r="O671" s="20"/>
      <c r="P671" s="12">
        <f t="shared" si="136"/>
        <v>0</v>
      </c>
      <c r="Q671" s="20"/>
    </row>
    <row r="672" spans="1:17" x14ac:dyDescent="0.3">
      <c r="A672" s="1">
        <f t="shared" si="140"/>
        <v>24</v>
      </c>
      <c r="B672" s="18" t="s">
        <v>630</v>
      </c>
      <c r="C672" s="3" t="s">
        <v>444</v>
      </c>
      <c r="D672" s="12" t="s">
        <v>40</v>
      </c>
      <c r="E672" s="12" t="s">
        <v>40</v>
      </c>
      <c r="F672" s="12"/>
      <c r="G672" s="12"/>
      <c r="H672" s="12" t="s">
        <v>40</v>
      </c>
      <c r="I672" s="12"/>
      <c r="J672" s="12"/>
      <c r="K672" s="12"/>
      <c r="L672" s="12">
        <v>51348</v>
      </c>
      <c r="M672" s="15">
        <f t="shared" si="138"/>
        <v>5</v>
      </c>
      <c r="N672" s="15">
        <f t="shared" si="139"/>
        <v>0</v>
      </c>
      <c r="O672" s="12">
        <v>51348</v>
      </c>
      <c r="P672" s="12">
        <f t="shared" si="136"/>
        <v>4279</v>
      </c>
      <c r="Q672" s="12">
        <f t="shared" si="137"/>
        <v>4279</v>
      </c>
    </row>
    <row r="673" spans="1:20" x14ac:dyDescent="0.3">
      <c r="A673" s="1">
        <f t="shared" si="140"/>
        <v>25</v>
      </c>
      <c r="B673" s="2" t="s">
        <v>631</v>
      </c>
      <c r="C673" s="3" t="s">
        <v>444</v>
      </c>
      <c r="D673" s="12" t="s">
        <v>40</v>
      </c>
      <c r="E673" s="12" t="s">
        <v>40</v>
      </c>
      <c r="F673" s="12"/>
      <c r="G673" s="12"/>
      <c r="H673" s="12"/>
      <c r="I673" s="12"/>
      <c r="J673" s="12"/>
      <c r="K673" s="12"/>
      <c r="L673" s="12">
        <v>25200</v>
      </c>
      <c r="M673" s="15">
        <f t="shared" si="138"/>
        <v>2</v>
      </c>
      <c r="N673" s="15">
        <f t="shared" si="139"/>
        <v>0</v>
      </c>
      <c r="O673" s="12">
        <v>25200</v>
      </c>
      <c r="P673" s="12">
        <f t="shared" si="136"/>
        <v>2100</v>
      </c>
      <c r="Q673" s="12">
        <f t="shared" si="137"/>
        <v>2100</v>
      </c>
    </row>
    <row r="674" spans="1:20" x14ac:dyDescent="0.3">
      <c r="A674" s="1">
        <f t="shared" si="140"/>
        <v>26</v>
      </c>
      <c r="B674" s="18" t="s">
        <v>632</v>
      </c>
      <c r="C674" s="3" t="s">
        <v>444</v>
      </c>
      <c r="D674" s="12" t="s">
        <v>40</v>
      </c>
      <c r="E674" s="12" t="s">
        <v>40</v>
      </c>
      <c r="F674" s="12"/>
      <c r="G674" s="12"/>
      <c r="H674" s="12"/>
      <c r="I674" s="12"/>
      <c r="J674" s="12"/>
      <c r="K674" s="12"/>
      <c r="L674" s="12">
        <v>0</v>
      </c>
      <c r="M674" s="15">
        <f t="shared" si="138"/>
        <v>2</v>
      </c>
      <c r="N674" s="15">
        <f t="shared" si="139"/>
        <v>0</v>
      </c>
      <c r="O674" s="20"/>
      <c r="P674" s="12">
        <f t="shared" si="136"/>
        <v>0</v>
      </c>
      <c r="Q674" s="20"/>
    </row>
    <row r="675" spans="1:20" x14ac:dyDescent="0.3">
      <c r="A675" s="1">
        <f t="shared" si="140"/>
        <v>27</v>
      </c>
      <c r="B675" s="2" t="s">
        <v>633</v>
      </c>
      <c r="C675" s="3" t="s">
        <v>444</v>
      </c>
      <c r="D675" s="12" t="s">
        <v>40</v>
      </c>
      <c r="E675" s="12" t="s">
        <v>40</v>
      </c>
      <c r="F675" s="12"/>
      <c r="G675" s="12"/>
      <c r="H675" s="12"/>
      <c r="I675" s="12"/>
      <c r="J675" s="12"/>
      <c r="K675" s="12"/>
      <c r="L675" s="12">
        <v>7200</v>
      </c>
      <c r="M675" s="15">
        <f t="shared" si="138"/>
        <v>2</v>
      </c>
      <c r="N675" s="15">
        <f t="shared" si="139"/>
        <v>0</v>
      </c>
      <c r="O675" s="12">
        <v>7200</v>
      </c>
      <c r="P675" s="12">
        <f t="shared" si="136"/>
        <v>600</v>
      </c>
      <c r="Q675" s="12">
        <f t="shared" si="137"/>
        <v>600</v>
      </c>
    </row>
    <row r="676" spans="1:20" x14ac:dyDescent="0.3">
      <c r="A676" s="1">
        <f t="shared" si="140"/>
        <v>28</v>
      </c>
      <c r="B676" s="2" t="s">
        <v>634</v>
      </c>
      <c r="C676" s="3" t="s">
        <v>444</v>
      </c>
      <c r="D676" s="12" t="s">
        <v>40</v>
      </c>
      <c r="E676" s="12" t="s">
        <v>40</v>
      </c>
      <c r="F676" s="12"/>
      <c r="G676" s="12"/>
      <c r="H676" s="12" t="s">
        <v>40</v>
      </c>
      <c r="I676" s="12"/>
      <c r="J676" s="12"/>
      <c r="K676" s="12"/>
      <c r="L676" s="12">
        <v>21775.4</v>
      </c>
      <c r="M676" s="15">
        <f t="shared" si="138"/>
        <v>5</v>
      </c>
      <c r="N676" s="15">
        <f t="shared" si="139"/>
        <v>0</v>
      </c>
      <c r="O676" s="12">
        <v>21775.4</v>
      </c>
      <c r="P676" s="12">
        <f t="shared" si="136"/>
        <v>1814.6166666666668</v>
      </c>
      <c r="Q676" s="12">
        <f t="shared" si="137"/>
        <v>1814.6166666666668</v>
      </c>
    </row>
    <row r="677" spans="1:20" x14ac:dyDescent="0.3">
      <c r="A677" s="1">
        <f t="shared" si="140"/>
        <v>29</v>
      </c>
      <c r="B677" s="2" t="s">
        <v>635</v>
      </c>
      <c r="C677" s="3" t="s">
        <v>444</v>
      </c>
      <c r="D677" s="12" t="s">
        <v>40</v>
      </c>
      <c r="E677" s="12" t="s">
        <v>40</v>
      </c>
      <c r="F677" s="12"/>
      <c r="G677" s="12"/>
      <c r="H677" s="12"/>
      <c r="I677" s="12"/>
      <c r="J677" s="12"/>
      <c r="K677" s="12"/>
      <c r="L677" s="12">
        <v>0</v>
      </c>
      <c r="M677" s="15">
        <f t="shared" si="138"/>
        <v>2</v>
      </c>
      <c r="N677" s="15">
        <f t="shared" si="139"/>
        <v>0</v>
      </c>
      <c r="O677" s="20"/>
      <c r="P677" s="12">
        <f t="shared" si="136"/>
        <v>0</v>
      </c>
      <c r="Q677" s="20"/>
    </row>
    <row r="678" spans="1:20" x14ac:dyDescent="0.3">
      <c r="A678" s="1">
        <f t="shared" si="140"/>
        <v>30</v>
      </c>
      <c r="B678" s="18" t="s">
        <v>636</v>
      </c>
      <c r="C678" s="3" t="s">
        <v>444</v>
      </c>
      <c r="D678" s="12" t="s">
        <v>40</v>
      </c>
      <c r="E678" s="12" t="s">
        <v>40</v>
      </c>
      <c r="F678" s="12"/>
      <c r="G678" s="12"/>
      <c r="H678" s="12"/>
      <c r="I678" s="12"/>
      <c r="J678" s="12"/>
      <c r="K678" s="12"/>
      <c r="L678" s="12">
        <v>0</v>
      </c>
      <c r="M678" s="15">
        <f t="shared" si="138"/>
        <v>2</v>
      </c>
      <c r="N678" s="15">
        <f t="shared" si="139"/>
        <v>0</v>
      </c>
      <c r="O678" s="20"/>
      <c r="P678" s="12">
        <f t="shared" si="136"/>
        <v>0</v>
      </c>
      <c r="Q678" s="20"/>
    </row>
    <row r="679" spans="1:20" x14ac:dyDescent="0.3">
      <c r="B679" s="29"/>
      <c r="D679"/>
      <c r="E679"/>
      <c r="F679"/>
      <c r="G679"/>
      <c r="H679"/>
      <c r="I679"/>
      <c r="J679"/>
      <c r="L679" s="14">
        <f>+AVERAGE(L649:L678)</f>
        <v>80949.652142857158</v>
      </c>
      <c r="M679" s="14">
        <f>+AVERAGE(M649:M678)</f>
        <v>6.3571428571428568</v>
      </c>
      <c r="N679" s="14">
        <f>+SUM(N649:N678)</f>
        <v>0</v>
      </c>
      <c r="O679" s="14">
        <f>+AVERAGE(O649:O678)</f>
        <v>80216.87947368421</v>
      </c>
      <c r="P679" s="14">
        <f>+AVERAGE(P649:P678)</f>
        <v>6745.8043452380953</v>
      </c>
      <c r="Q679" s="14">
        <f>+AVERAGE(Q649:Q678)</f>
        <v>6684.7399561403508</v>
      </c>
    </row>
    <row r="680" spans="1:20" x14ac:dyDescent="0.3">
      <c r="D680"/>
      <c r="E680"/>
      <c r="F680"/>
      <c r="G680"/>
      <c r="H680"/>
      <c r="I680"/>
      <c r="J680"/>
      <c r="L680" s="14">
        <f>+STDEV(L649:L678)</f>
        <v>145777.70478020734</v>
      </c>
      <c r="M680" s="14">
        <f>+STDEV(M649:M678)</f>
        <v>5.2367242072960476</v>
      </c>
      <c r="N680" s="17"/>
      <c r="O680" s="14">
        <f>+STDEV(O649:O678)</f>
        <v>68206.879670672322</v>
      </c>
      <c r="P680" s="14">
        <f>+STDEV(P649:P678)</f>
        <v>12148.142065017279</v>
      </c>
      <c r="Q680" s="14">
        <f>+STDEV(Q649:Q678)</f>
        <v>5683.9066392226923</v>
      </c>
    </row>
    <row r="681" spans="1:20" x14ac:dyDescent="0.3">
      <c r="D681"/>
      <c r="E681"/>
      <c r="F681"/>
      <c r="G681"/>
      <c r="H681"/>
      <c r="I681" s="15"/>
      <c r="J681" s="15"/>
      <c r="K681" s="11" t="s">
        <v>75</v>
      </c>
      <c r="L681" s="14">
        <f>+COUNTIF(L649:L678,0)</f>
        <v>8</v>
      </c>
      <c r="M681" s="14">
        <f>+COUNT(M649:M678)</f>
        <v>28</v>
      </c>
      <c r="P681" s="14">
        <f>+COUNTIF(P649:P678,0)</f>
        <v>8</v>
      </c>
    </row>
    <row r="682" spans="1:20" x14ac:dyDescent="0.3">
      <c r="D682"/>
      <c r="E682"/>
      <c r="F682"/>
      <c r="G682"/>
      <c r="H682"/>
      <c r="I682"/>
      <c r="J682"/>
    </row>
    <row r="683" spans="1:20" x14ac:dyDescent="0.3">
      <c r="A683" s="1">
        <v>1</v>
      </c>
      <c r="B683" s="2" t="s">
        <v>637</v>
      </c>
      <c r="C683" s="3" t="s">
        <v>288</v>
      </c>
      <c r="D683" s="12" t="s">
        <v>40</v>
      </c>
      <c r="E683" s="12" t="s">
        <v>40</v>
      </c>
      <c r="F683" s="12" t="s">
        <v>40</v>
      </c>
      <c r="G683" s="12" t="s">
        <v>40</v>
      </c>
      <c r="H683" s="12" t="s">
        <v>40</v>
      </c>
      <c r="I683" s="12" t="s">
        <v>40</v>
      </c>
      <c r="J683" s="12"/>
      <c r="K683" s="12"/>
      <c r="L683" s="12">
        <v>110000</v>
      </c>
      <c r="M683" s="15">
        <f>+IF(D683="X",1,0)+IF(E683="X",1,0)+IF(F683="X",2,0)+IF(G683="X",2,0)+IF(H683="X",3,IF(H683="Y",1.5,0))+IF(I683="X",5,IF(I683="Y",2.5,0))+IF(J683="X1",10,IF(J683="X2",5,IF(J683="X3",3,0)))</f>
        <v>14</v>
      </c>
      <c r="N683" s="15">
        <f>+IF(K683="X",1,0)</f>
        <v>0</v>
      </c>
      <c r="O683" s="12">
        <v>110000</v>
      </c>
      <c r="P683" s="12">
        <f t="shared" ref="P683:P712" si="143">+L683/12</f>
        <v>9166.6666666666661</v>
      </c>
      <c r="Q683" s="12">
        <f t="shared" ref="Q683:Q712" si="144">+O683/12</f>
        <v>9166.6666666666661</v>
      </c>
    </row>
    <row r="684" spans="1:20" x14ac:dyDescent="0.3">
      <c r="A684" s="1">
        <f>+A683+1</f>
        <v>2</v>
      </c>
      <c r="B684" s="2" t="s">
        <v>638</v>
      </c>
      <c r="C684" s="3" t="s">
        <v>288</v>
      </c>
      <c r="D684" s="12" t="s">
        <v>40</v>
      </c>
      <c r="E684" s="12" t="s">
        <v>40</v>
      </c>
      <c r="F684" s="12"/>
      <c r="G684" s="12"/>
      <c r="H684" s="12" t="s">
        <v>40</v>
      </c>
      <c r="I684" s="12"/>
      <c r="J684" s="12"/>
      <c r="K684" s="12"/>
      <c r="L684" s="12">
        <v>255648.28</v>
      </c>
      <c r="M684" s="15">
        <f t="shared" ref="M684:M712" si="145">+IF(D684="X",1,0)+IF(E684="X",1,0)+IF(F684="X",2,0)+IF(G684="X",2,0)+IF(H684="X",3,IF(H684="Y",1.5,0))+IF(I684="X",5,IF(I684="Y",2.5,0))+IF(J684="X1",10,IF(J684="X2",5,IF(J684="X3",3,0)))</f>
        <v>5</v>
      </c>
      <c r="N684" s="15">
        <f t="shared" ref="N684:N712" si="146">+IF(K684="X",1,0)</f>
        <v>0</v>
      </c>
      <c r="O684" s="12">
        <v>255648.28</v>
      </c>
      <c r="P684" s="12">
        <f t="shared" si="143"/>
        <v>21304.023333333334</v>
      </c>
      <c r="Q684" s="12">
        <f t="shared" si="144"/>
        <v>21304.023333333334</v>
      </c>
      <c r="S684" t="s">
        <v>288</v>
      </c>
      <c r="T684" t="s">
        <v>151</v>
      </c>
    </row>
    <row r="685" spans="1:20" x14ac:dyDescent="0.3">
      <c r="A685" s="1">
        <f t="shared" ref="A685:A712" si="147">+A684+1</f>
        <v>3</v>
      </c>
      <c r="B685" s="2" t="s">
        <v>639</v>
      </c>
      <c r="C685" s="3" t="s">
        <v>288</v>
      </c>
      <c r="D685" s="12" t="s">
        <v>40</v>
      </c>
      <c r="E685" s="12" t="s">
        <v>40</v>
      </c>
      <c r="F685" s="12"/>
      <c r="G685" s="12"/>
      <c r="H685" s="12" t="s">
        <v>40</v>
      </c>
      <c r="I685" s="12"/>
      <c r="J685" s="12"/>
      <c r="K685" s="12"/>
      <c r="L685" s="12">
        <v>139577</v>
      </c>
      <c r="M685" s="15">
        <f t="shared" si="145"/>
        <v>5</v>
      </c>
      <c r="N685" s="15">
        <f t="shared" si="146"/>
        <v>0</v>
      </c>
      <c r="O685" s="12">
        <v>139577</v>
      </c>
      <c r="P685" s="12">
        <f t="shared" si="143"/>
        <v>11631.416666666666</v>
      </c>
      <c r="Q685" s="12">
        <f t="shared" si="144"/>
        <v>11631.416666666666</v>
      </c>
    </row>
    <row r="686" spans="1:20" x14ac:dyDescent="0.3">
      <c r="A686" s="1">
        <f t="shared" si="147"/>
        <v>4</v>
      </c>
      <c r="B686" s="2" t="s">
        <v>640</v>
      </c>
      <c r="C686" s="3" t="s">
        <v>288</v>
      </c>
      <c r="D686" s="12" t="s">
        <v>40</v>
      </c>
      <c r="E686" s="12" t="s">
        <v>40</v>
      </c>
      <c r="F686" s="12"/>
      <c r="G686" s="12"/>
      <c r="H686" s="12" t="s">
        <v>40</v>
      </c>
      <c r="I686" s="12"/>
      <c r="J686" s="12"/>
      <c r="K686" s="12"/>
      <c r="L686" s="12">
        <v>620984</v>
      </c>
      <c r="M686" s="15">
        <f t="shared" si="145"/>
        <v>5</v>
      </c>
      <c r="N686" s="15">
        <f t="shared" si="146"/>
        <v>0</v>
      </c>
      <c r="O686" s="20"/>
      <c r="P686" s="12">
        <f t="shared" si="143"/>
        <v>51748.666666666664</v>
      </c>
      <c r="Q686" s="20"/>
      <c r="S686" t="s">
        <v>288</v>
      </c>
      <c r="T686" t="s">
        <v>151</v>
      </c>
    </row>
    <row r="687" spans="1:20" x14ac:dyDescent="0.3">
      <c r="A687" s="1">
        <f t="shared" si="147"/>
        <v>5</v>
      </c>
      <c r="B687" s="2" t="s">
        <v>641</v>
      </c>
      <c r="C687" s="3" t="s">
        <v>288</v>
      </c>
      <c r="D687" s="12" t="s">
        <v>40</v>
      </c>
      <c r="E687" s="12" t="s">
        <v>40</v>
      </c>
      <c r="F687" s="12"/>
      <c r="G687" s="12"/>
      <c r="H687" s="12" t="s">
        <v>40</v>
      </c>
      <c r="I687" s="12"/>
      <c r="J687" s="12"/>
      <c r="K687" s="12"/>
      <c r="L687" s="12">
        <v>65640</v>
      </c>
      <c r="M687" s="15">
        <f t="shared" si="145"/>
        <v>5</v>
      </c>
      <c r="N687" s="15">
        <f t="shared" si="146"/>
        <v>0</v>
      </c>
      <c r="O687" s="12">
        <v>65640</v>
      </c>
      <c r="P687" s="12">
        <f t="shared" si="143"/>
        <v>5470</v>
      </c>
      <c r="Q687" s="12">
        <f t="shared" si="144"/>
        <v>5470</v>
      </c>
      <c r="S687" t="s">
        <v>288</v>
      </c>
      <c r="T687" t="s">
        <v>151</v>
      </c>
    </row>
    <row r="688" spans="1:20" x14ac:dyDescent="0.3">
      <c r="A688" s="1">
        <f t="shared" si="147"/>
        <v>6</v>
      </c>
      <c r="B688" s="2" t="s">
        <v>642</v>
      </c>
      <c r="C688" s="3" t="s">
        <v>288</v>
      </c>
      <c r="D688" s="12" t="s">
        <v>40</v>
      </c>
      <c r="E688" s="12" t="s">
        <v>40</v>
      </c>
      <c r="F688" s="12"/>
      <c r="G688" s="12"/>
      <c r="H688" s="12" t="s">
        <v>40</v>
      </c>
      <c r="I688" s="12"/>
      <c r="J688" s="12"/>
      <c r="K688" s="12"/>
      <c r="L688" s="12">
        <v>39036</v>
      </c>
      <c r="M688" s="15">
        <f t="shared" si="145"/>
        <v>5</v>
      </c>
      <c r="N688" s="15">
        <f t="shared" si="146"/>
        <v>0</v>
      </c>
      <c r="O688" s="12">
        <v>39036</v>
      </c>
      <c r="P688" s="12">
        <f t="shared" si="143"/>
        <v>3253</v>
      </c>
      <c r="Q688" s="12">
        <f t="shared" si="144"/>
        <v>3253</v>
      </c>
    </row>
    <row r="689" spans="1:20" x14ac:dyDescent="0.3">
      <c r="A689" s="1">
        <f t="shared" si="147"/>
        <v>7</v>
      </c>
      <c r="B689" s="2" t="s">
        <v>643</v>
      </c>
      <c r="C689" s="3" t="s">
        <v>288</v>
      </c>
      <c r="D689" s="50" t="s">
        <v>40</v>
      </c>
      <c r="E689" s="50" t="s">
        <v>40</v>
      </c>
      <c r="F689" s="50"/>
      <c r="G689" s="50"/>
      <c r="H689" s="50" t="s">
        <v>40</v>
      </c>
      <c r="I689" s="50" t="s">
        <v>40</v>
      </c>
      <c r="J689" s="50" t="s">
        <v>897</v>
      </c>
      <c r="K689" s="12"/>
      <c r="L689" s="12">
        <v>195608.62</v>
      </c>
      <c r="M689" s="15">
        <f t="shared" si="145"/>
        <v>15</v>
      </c>
      <c r="N689" s="15">
        <f t="shared" si="146"/>
        <v>0</v>
      </c>
      <c r="O689" s="12">
        <v>195608.62</v>
      </c>
      <c r="P689" s="12">
        <f t="shared" si="143"/>
        <v>16300.718333333332</v>
      </c>
      <c r="Q689" s="12">
        <f t="shared" si="144"/>
        <v>16300.718333333332</v>
      </c>
    </row>
    <row r="690" spans="1:20" x14ac:dyDescent="0.3">
      <c r="A690" s="1">
        <f t="shared" si="147"/>
        <v>8</v>
      </c>
      <c r="B690" s="2" t="s">
        <v>644</v>
      </c>
      <c r="C690" s="3" t="s">
        <v>288</v>
      </c>
      <c r="D690" s="12" t="s">
        <v>40</v>
      </c>
      <c r="E690" s="12" t="s">
        <v>40</v>
      </c>
      <c r="F690" s="12"/>
      <c r="G690" s="12"/>
      <c r="H690" s="12"/>
      <c r="I690" s="12"/>
      <c r="J690" s="12"/>
      <c r="K690" s="12"/>
      <c r="L690" s="12">
        <v>0</v>
      </c>
      <c r="M690" s="15">
        <f t="shared" si="145"/>
        <v>2</v>
      </c>
      <c r="N690" s="15">
        <f t="shared" si="146"/>
        <v>0</v>
      </c>
      <c r="O690" s="20"/>
      <c r="P690" s="12">
        <f t="shared" si="143"/>
        <v>0</v>
      </c>
      <c r="Q690" s="20"/>
    </row>
    <row r="691" spans="1:20" x14ac:dyDescent="0.3">
      <c r="A691" s="1">
        <f t="shared" si="147"/>
        <v>9</v>
      </c>
      <c r="B691" s="2" t="s">
        <v>645</v>
      </c>
      <c r="C691" s="3" t="s">
        <v>288</v>
      </c>
      <c r="D691" s="12" t="s">
        <v>40</v>
      </c>
      <c r="E691" s="12" t="s">
        <v>40</v>
      </c>
      <c r="F691" s="12" t="s">
        <v>40</v>
      </c>
      <c r="G691" s="12"/>
      <c r="H691" s="12" t="s">
        <v>40</v>
      </c>
      <c r="I691" s="12"/>
      <c r="J691" s="12"/>
      <c r="K691" s="12"/>
      <c r="L691" s="12">
        <v>102000</v>
      </c>
      <c r="M691" s="15">
        <f t="shared" si="145"/>
        <v>7</v>
      </c>
      <c r="N691" s="15">
        <f t="shared" si="146"/>
        <v>0</v>
      </c>
      <c r="O691" s="12">
        <v>102000</v>
      </c>
      <c r="P691" s="12">
        <f t="shared" si="143"/>
        <v>8500</v>
      </c>
      <c r="Q691" s="12">
        <f t="shared" si="144"/>
        <v>8500</v>
      </c>
    </row>
    <row r="692" spans="1:20" x14ac:dyDescent="0.3">
      <c r="A692" s="1">
        <f t="shared" si="147"/>
        <v>10</v>
      </c>
      <c r="B692" s="2" t="s">
        <v>646</v>
      </c>
      <c r="C692" s="3" t="s">
        <v>288</v>
      </c>
      <c r="D692" s="12" t="s">
        <v>40</v>
      </c>
      <c r="E692" s="12" t="s">
        <v>40</v>
      </c>
      <c r="F692" s="12"/>
      <c r="G692" s="12"/>
      <c r="H692" s="12" t="s">
        <v>40</v>
      </c>
      <c r="I692" s="12" t="s">
        <v>40</v>
      </c>
      <c r="J692" s="12"/>
      <c r="K692" s="12"/>
      <c r="L692" s="12">
        <v>519579.24</v>
      </c>
      <c r="M692" s="15">
        <f t="shared" si="145"/>
        <v>10</v>
      </c>
      <c r="N692" s="15">
        <f t="shared" si="146"/>
        <v>0</v>
      </c>
      <c r="O692" s="12">
        <v>519579.24</v>
      </c>
      <c r="P692" s="12">
        <f t="shared" si="143"/>
        <v>43298.27</v>
      </c>
      <c r="Q692" s="12">
        <f t="shared" si="144"/>
        <v>43298.27</v>
      </c>
      <c r="S692" t="s">
        <v>288</v>
      </c>
      <c r="T692" t="s">
        <v>647</v>
      </c>
    </row>
    <row r="693" spans="1:20" x14ac:dyDescent="0.3">
      <c r="A693" s="1">
        <f t="shared" si="147"/>
        <v>11</v>
      </c>
      <c r="B693" s="2" t="s">
        <v>648</v>
      </c>
      <c r="C693" s="3" t="s">
        <v>288</v>
      </c>
      <c r="D693" s="12" t="s">
        <v>40</v>
      </c>
      <c r="E693" s="12" t="s">
        <v>40</v>
      </c>
      <c r="F693" s="12"/>
      <c r="G693" s="12"/>
      <c r="H693" s="12" t="s">
        <v>40</v>
      </c>
      <c r="I693" s="12"/>
      <c r="J693" s="12"/>
      <c r="K693" s="12"/>
      <c r="L693" s="12">
        <v>37770</v>
      </c>
      <c r="M693" s="15">
        <f t="shared" si="145"/>
        <v>5</v>
      </c>
      <c r="N693" s="15">
        <f t="shared" si="146"/>
        <v>0</v>
      </c>
      <c r="O693" s="12">
        <v>37770</v>
      </c>
      <c r="P693" s="12">
        <f t="shared" si="143"/>
        <v>3147.5</v>
      </c>
      <c r="Q693" s="12">
        <f t="shared" si="144"/>
        <v>3147.5</v>
      </c>
    </row>
    <row r="694" spans="1:20" x14ac:dyDescent="0.3">
      <c r="A694" s="1">
        <f t="shared" si="147"/>
        <v>12</v>
      </c>
      <c r="B694" s="2" t="s">
        <v>649</v>
      </c>
      <c r="C694" s="3" t="s">
        <v>288</v>
      </c>
      <c r="D694" s="50" t="s">
        <v>40</v>
      </c>
      <c r="E694" s="50" t="s">
        <v>40</v>
      </c>
      <c r="F694" s="50"/>
      <c r="G694" s="50"/>
      <c r="H694" s="50" t="s">
        <v>40</v>
      </c>
      <c r="I694" s="50" t="s">
        <v>40</v>
      </c>
      <c r="J694" s="50" t="s">
        <v>897</v>
      </c>
      <c r="K694" s="12"/>
      <c r="L694" s="12">
        <v>0</v>
      </c>
      <c r="M694" s="15">
        <f t="shared" si="145"/>
        <v>15</v>
      </c>
      <c r="N694" s="15">
        <f t="shared" si="146"/>
        <v>0</v>
      </c>
      <c r="O694" s="20"/>
      <c r="P694" s="12">
        <f t="shared" si="143"/>
        <v>0</v>
      </c>
      <c r="Q694" s="20"/>
    </row>
    <row r="695" spans="1:20" x14ac:dyDescent="0.3">
      <c r="A695" s="1">
        <f t="shared" si="147"/>
        <v>13</v>
      </c>
      <c r="B695" s="2" t="s">
        <v>650</v>
      </c>
      <c r="C695" s="3" t="s">
        <v>288</v>
      </c>
      <c r="D695" s="12" t="s">
        <v>40</v>
      </c>
      <c r="E695" s="12" t="s">
        <v>40</v>
      </c>
      <c r="F695" s="12"/>
      <c r="G695" s="12"/>
      <c r="H695" s="12" t="s">
        <v>40</v>
      </c>
      <c r="I695" s="12" t="s">
        <v>40</v>
      </c>
      <c r="J695" s="12"/>
      <c r="K695" s="12"/>
      <c r="L695" s="12">
        <v>0</v>
      </c>
      <c r="M695" s="15">
        <f t="shared" si="145"/>
        <v>10</v>
      </c>
      <c r="N695" s="15">
        <f t="shared" si="146"/>
        <v>0</v>
      </c>
      <c r="O695" s="20"/>
      <c r="P695" s="12">
        <f t="shared" si="143"/>
        <v>0</v>
      </c>
      <c r="Q695" s="20"/>
    </row>
    <row r="696" spans="1:20" x14ac:dyDescent="0.3">
      <c r="A696" s="1">
        <f t="shared" si="147"/>
        <v>14</v>
      </c>
      <c r="B696" s="2" t="s">
        <v>651</v>
      </c>
      <c r="C696" s="3" t="s">
        <v>288</v>
      </c>
      <c r="D696" s="12" t="s">
        <v>40</v>
      </c>
      <c r="E696" s="12" t="s">
        <v>40</v>
      </c>
      <c r="F696" s="12"/>
      <c r="G696" s="12"/>
      <c r="H696" s="12"/>
      <c r="I696" s="12"/>
      <c r="J696" s="12"/>
      <c r="K696" s="12"/>
      <c r="L696" s="12">
        <v>15017.4</v>
      </c>
      <c r="M696" s="15">
        <f t="shared" si="145"/>
        <v>2</v>
      </c>
      <c r="N696" s="15">
        <f t="shared" si="146"/>
        <v>0</v>
      </c>
      <c r="O696" s="12">
        <v>15017.4</v>
      </c>
      <c r="P696" s="12">
        <f t="shared" si="143"/>
        <v>1251.45</v>
      </c>
      <c r="Q696" s="12">
        <f t="shared" si="144"/>
        <v>1251.45</v>
      </c>
    </row>
    <row r="697" spans="1:20" x14ac:dyDescent="0.3">
      <c r="A697" s="1">
        <f t="shared" si="147"/>
        <v>15</v>
      </c>
      <c r="B697" s="2" t="s">
        <v>652</v>
      </c>
      <c r="C697" s="3" t="s">
        <v>288</v>
      </c>
      <c r="D697" s="50" t="s">
        <v>40</v>
      </c>
      <c r="E697" s="50" t="s">
        <v>40</v>
      </c>
      <c r="F697" s="50"/>
      <c r="G697" s="50"/>
      <c r="H697" s="50" t="s">
        <v>40</v>
      </c>
      <c r="I697" s="50" t="s">
        <v>40</v>
      </c>
      <c r="J697" s="50" t="s">
        <v>897</v>
      </c>
      <c r="K697" s="12"/>
      <c r="L697" s="12">
        <v>198000</v>
      </c>
      <c r="M697" s="15">
        <f t="shared" si="145"/>
        <v>15</v>
      </c>
      <c r="N697" s="15">
        <f t="shared" si="146"/>
        <v>0</v>
      </c>
      <c r="O697" s="12">
        <v>198000</v>
      </c>
      <c r="P697" s="12">
        <f t="shared" si="143"/>
        <v>16500</v>
      </c>
      <c r="Q697" s="12">
        <f t="shared" si="144"/>
        <v>16500</v>
      </c>
    </row>
    <row r="698" spans="1:20" x14ac:dyDescent="0.3">
      <c r="A698" s="1">
        <f t="shared" si="147"/>
        <v>16</v>
      </c>
      <c r="B698" s="2" t="s">
        <v>653</v>
      </c>
      <c r="C698" s="3" t="s">
        <v>288</v>
      </c>
      <c r="D698" s="12" t="s">
        <v>40</v>
      </c>
      <c r="E698" s="12" t="s">
        <v>40</v>
      </c>
      <c r="F698" s="12"/>
      <c r="G698" s="12"/>
      <c r="H698" s="12" t="s">
        <v>40</v>
      </c>
      <c r="I698" s="12" t="s">
        <v>40</v>
      </c>
      <c r="J698" s="12"/>
      <c r="K698" s="12"/>
      <c r="L698" s="12">
        <v>25025</v>
      </c>
      <c r="M698" s="15">
        <f t="shared" si="145"/>
        <v>10</v>
      </c>
      <c r="N698" s="15">
        <f t="shared" si="146"/>
        <v>0</v>
      </c>
      <c r="O698" s="12">
        <v>25025</v>
      </c>
      <c r="P698" s="12">
        <f t="shared" si="143"/>
        <v>2085.4166666666665</v>
      </c>
      <c r="Q698" s="12">
        <f t="shared" si="144"/>
        <v>2085.4166666666665</v>
      </c>
      <c r="S698" t="s">
        <v>288</v>
      </c>
      <c r="T698" t="s">
        <v>151</v>
      </c>
    </row>
    <row r="699" spans="1:20" x14ac:dyDescent="0.3">
      <c r="A699" s="1">
        <f t="shared" si="147"/>
        <v>17</v>
      </c>
      <c r="B699" s="2" t="s">
        <v>654</v>
      </c>
      <c r="C699" s="3" t="s">
        <v>288</v>
      </c>
      <c r="D699" s="12" t="s">
        <v>40</v>
      </c>
      <c r="E699" s="12" t="s">
        <v>40</v>
      </c>
      <c r="F699" s="12"/>
      <c r="G699" s="12"/>
      <c r="H699" s="12" t="s">
        <v>40</v>
      </c>
      <c r="I699" s="12"/>
      <c r="J699" s="12"/>
      <c r="K699" s="12"/>
      <c r="L699" s="12">
        <v>0</v>
      </c>
      <c r="M699" s="15">
        <f t="shared" si="145"/>
        <v>5</v>
      </c>
      <c r="N699" s="15">
        <f t="shared" si="146"/>
        <v>0</v>
      </c>
      <c r="O699" s="20"/>
      <c r="P699" s="12">
        <f t="shared" si="143"/>
        <v>0</v>
      </c>
      <c r="Q699" s="20"/>
    </row>
    <row r="700" spans="1:20" x14ac:dyDescent="0.3">
      <c r="A700" s="1">
        <f t="shared" si="147"/>
        <v>18</v>
      </c>
      <c r="B700" s="2" t="s">
        <v>655</v>
      </c>
      <c r="C700" s="3" t="s">
        <v>288</v>
      </c>
      <c r="D700" s="12" t="s">
        <v>40</v>
      </c>
      <c r="E700" s="12" t="s">
        <v>40</v>
      </c>
      <c r="F700" s="12"/>
      <c r="G700" s="12"/>
      <c r="H700" s="12" t="s">
        <v>40</v>
      </c>
      <c r="I700" s="12" t="s">
        <v>40</v>
      </c>
      <c r="J700" s="12"/>
      <c r="K700" s="12"/>
      <c r="L700" s="12">
        <v>320477</v>
      </c>
      <c r="M700" s="15">
        <f t="shared" si="145"/>
        <v>10</v>
      </c>
      <c r="N700" s="15">
        <f t="shared" si="146"/>
        <v>0</v>
      </c>
      <c r="O700" s="12">
        <v>320477</v>
      </c>
      <c r="P700" s="12">
        <f t="shared" si="143"/>
        <v>26706.416666666668</v>
      </c>
      <c r="Q700" s="12">
        <f t="shared" si="144"/>
        <v>26706.416666666668</v>
      </c>
      <c r="S700" t="s">
        <v>288</v>
      </c>
      <c r="T700" t="s">
        <v>151</v>
      </c>
    </row>
    <row r="701" spans="1:20" x14ac:dyDescent="0.3">
      <c r="A701" s="1">
        <f t="shared" si="147"/>
        <v>19</v>
      </c>
      <c r="B701" s="2" t="s">
        <v>656</v>
      </c>
      <c r="C701" s="3" t="s">
        <v>288</v>
      </c>
      <c r="D701" s="12" t="s">
        <v>40</v>
      </c>
      <c r="E701" s="12" t="s">
        <v>40</v>
      </c>
      <c r="F701" s="12"/>
      <c r="G701" s="12"/>
      <c r="H701" s="12" t="s">
        <v>40</v>
      </c>
      <c r="I701" s="12" t="s">
        <v>40</v>
      </c>
      <c r="J701" s="12"/>
      <c r="K701" s="12"/>
      <c r="L701" s="12">
        <v>62340</v>
      </c>
      <c r="M701" s="15">
        <f t="shared" si="145"/>
        <v>10</v>
      </c>
      <c r="N701" s="15">
        <f t="shared" si="146"/>
        <v>0</v>
      </c>
      <c r="O701" s="12">
        <v>62340</v>
      </c>
      <c r="P701" s="12">
        <f t="shared" si="143"/>
        <v>5195</v>
      </c>
      <c r="Q701" s="12">
        <f t="shared" si="144"/>
        <v>5195</v>
      </c>
    </row>
    <row r="702" spans="1:20" x14ac:dyDescent="0.3">
      <c r="A702" s="1">
        <f t="shared" si="147"/>
        <v>20</v>
      </c>
      <c r="B702" s="2" t="s">
        <v>657</v>
      </c>
      <c r="C702" s="3" t="s">
        <v>288</v>
      </c>
      <c r="D702" s="12" t="s">
        <v>40</v>
      </c>
      <c r="E702" s="12" t="s">
        <v>40</v>
      </c>
      <c r="F702" s="12"/>
      <c r="G702" s="12"/>
      <c r="H702" s="12" t="s">
        <v>40</v>
      </c>
      <c r="I702" s="12"/>
      <c r="J702" s="12"/>
      <c r="K702" s="12"/>
      <c r="L702" s="12">
        <v>0</v>
      </c>
      <c r="M702" s="15">
        <f t="shared" si="145"/>
        <v>5</v>
      </c>
      <c r="N702" s="15">
        <f t="shared" si="146"/>
        <v>0</v>
      </c>
      <c r="O702" s="20"/>
      <c r="P702" s="12">
        <f t="shared" si="143"/>
        <v>0</v>
      </c>
      <c r="Q702" s="20"/>
      <c r="S702" t="s">
        <v>288</v>
      </c>
      <c r="T702" t="s">
        <v>658</v>
      </c>
    </row>
    <row r="703" spans="1:20" x14ac:dyDescent="0.3">
      <c r="A703" s="1">
        <f t="shared" si="147"/>
        <v>21</v>
      </c>
      <c r="B703" s="2" t="s">
        <v>659</v>
      </c>
      <c r="C703" s="3" t="s">
        <v>288</v>
      </c>
      <c r="D703" s="12" t="s">
        <v>40</v>
      </c>
      <c r="E703" s="12" t="s">
        <v>40</v>
      </c>
      <c r="F703" s="12"/>
      <c r="G703" s="12"/>
      <c r="H703" s="12" t="s">
        <v>40</v>
      </c>
      <c r="I703" s="12"/>
      <c r="J703" s="12"/>
      <c r="K703" s="12"/>
      <c r="L703" s="12">
        <v>0</v>
      </c>
      <c r="M703" s="15">
        <f t="shared" si="145"/>
        <v>5</v>
      </c>
      <c r="N703" s="15">
        <f t="shared" si="146"/>
        <v>0</v>
      </c>
      <c r="O703" s="20"/>
      <c r="P703" s="12">
        <f t="shared" si="143"/>
        <v>0</v>
      </c>
      <c r="Q703" s="20"/>
    </row>
    <row r="704" spans="1:20" x14ac:dyDescent="0.3">
      <c r="A704" s="1">
        <f t="shared" si="147"/>
        <v>22</v>
      </c>
      <c r="B704" s="2" t="s">
        <v>660</v>
      </c>
      <c r="C704" s="3" t="s">
        <v>288</v>
      </c>
      <c r="D704" s="12" t="s">
        <v>40</v>
      </c>
      <c r="E704" s="12" t="s">
        <v>40</v>
      </c>
      <c r="F704" s="12"/>
      <c r="G704" s="12" t="s">
        <v>40</v>
      </c>
      <c r="H704" s="12" t="s">
        <v>40</v>
      </c>
      <c r="I704" s="12"/>
      <c r="J704" s="12"/>
      <c r="K704" s="12"/>
      <c r="L704" s="12">
        <v>132000</v>
      </c>
      <c r="M704" s="15">
        <f t="shared" si="145"/>
        <v>7</v>
      </c>
      <c r="N704" s="15">
        <f t="shared" si="146"/>
        <v>0</v>
      </c>
      <c r="O704" s="12">
        <v>132000</v>
      </c>
      <c r="P704" s="12">
        <f t="shared" si="143"/>
        <v>11000</v>
      </c>
      <c r="Q704" s="12">
        <f t="shared" si="144"/>
        <v>11000</v>
      </c>
    </row>
    <row r="705" spans="1:20" x14ac:dyDescent="0.3">
      <c r="A705" s="1">
        <f t="shared" si="147"/>
        <v>23</v>
      </c>
      <c r="B705" s="2" t="s">
        <v>661</v>
      </c>
      <c r="C705" s="3" t="s">
        <v>288</v>
      </c>
      <c r="D705" s="12" t="s">
        <v>40</v>
      </c>
      <c r="E705" s="12" t="s">
        <v>40</v>
      </c>
      <c r="F705" s="12" t="s">
        <v>40</v>
      </c>
      <c r="G705" s="12"/>
      <c r="H705" s="12" t="s">
        <v>40</v>
      </c>
      <c r="I705" s="12" t="s">
        <v>40</v>
      </c>
      <c r="J705" s="12"/>
      <c r="K705" s="12"/>
      <c r="L705" s="12">
        <v>83069.73</v>
      </c>
      <c r="M705" s="15">
        <f t="shared" si="145"/>
        <v>12</v>
      </c>
      <c r="N705" s="15">
        <f t="shared" si="146"/>
        <v>0</v>
      </c>
      <c r="O705" s="12">
        <v>83069.73</v>
      </c>
      <c r="P705" s="12">
        <f t="shared" si="143"/>
        <v>6922.4775</v>
      </c>
      <c r="Q705" s="12">
        <f t="shared" si="144"/>
        <v>6922.4775</v>
      </c>
    </row>
    <row r="706" spans="1:20" x14ac:dyDescent="0.3">
      <c r="A706" s="1">
        <f t="shared" si="147"/>
        <v>24</v>
      </c>
      <c r="B706" s="10"/>
      <c r="C706" s="9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6"/>
      <c r="O706" s="13"/>
      <c r="P706" s="13"/>
      <c r="Q706" s="13"/>
    </row>
    <row r="707" spans="1:20" x14ac:dyDescent="0.3">
      <c r="A707" s="1">
        <f t="shared" si="147"/>
        <v>25</v>
      </c>
      <c r="B707" s="2" t="s">
        <v>662</v>
      </c>
      <c r="C707" s="3" t="s">
        <v>288</v>
      </c>
      <c r="D707" s="12" t="s">
        <v>40</v>
      </c>
      <c r="E707" s="12" t="s">
        <v>40</v>
      </c>
      <c r="F707" s="12"/>
      <c r="G707" s="12"/>
      <c r="H707" s="12"/>
      <c r="I707" s="12"/>
      <c r="J707" s="12"/>
      <c r="K707" s="12"/>
      <c r="L707" s="12">
        <v>0</v>
      </c>
      <c r="M707" s="15">
        <f t="shared" si="145"/>
        <v>2</v>
      </c>
      <c r="N707" s="15">
        <f t="shared" si="146"/>
        <v>0</v>
      </c>
      <c r="O707" s="20"/>
      <c r="P707" s="12">
        <f t="shared" ref="P707" si="148">+L707/12</f>
        <v>0</v>
      </c>
      <c r="Q707" s="20"/>
    </row>
    <row r="708" spans="1:20" x14ac:dyDescent="0.3">
      <c r="A708" s="1">
        <f t="shared" si="147"/>
        <v>26</v>
      </c>
      <c r="B708" s="2" t="s">
        <v>663</v>
      </c>
      <c r="C708" s="3" t="s">
        <v>288</v>
      </c>
      <c r="D708" s="12" t="s">
        <v>40</v>
      </c>
      <c r="E708" s="12" t="s">
        <v>40</v>
      </c>
      <c r="F708" s="12" t="s">
        <v>40</v>
      </c>
      <c r="G708" s="12" t="s">
        <v>40</v>
      </c>
      <c r="H708" s="12"/>
      <c r="I708" s="12"/>
      <c r="J708" s="12"/>
      <c r="K708" s="12"/>
      <c r="L708" s="12">
        <v>96000</v>
      </c>
      <c r="M708" s="15">
        <f t="shared" si="145"/>
        <v>6</v>
      </c>
      <c r="N708" s="15">
        <f t="shared" si="146"/>
        <v>0</v>
      </c>
      <c r="O708" s="12">
        <v>96000</v>
      </c>
      <c r="P708" s="12">
        <f t="shared" si="143"/>
        <v>8000</v>
      </c>
      <c r="Q708" s="12">
        <f t="shared" si="144"/>
        <v>8000</v>
      </c>
    </row>
    <row r="709" spans="1:20" x14ac:dyDescent="0.3">
      <c r="A709" s="1">
        <f t="shared" si="147"/>
        <v>27</v>
      </c>
      <c r="B709" s="2" t="s">
        <v>664</v>
      </c>
      <c r="C709" s="3" t="s">
        <v>288</v>
      </c>
      <c r="D709" s="12" t="s">
        <v>40</v>
      </c>
      <c r="E709" s="12" t="s">
        <v>40</v>
      </c>
      <c r="F709" s="12"/>
      <c r="G709" s="12"/>
      <c r="H709" s="12" t="s">
        <v>40</v>
      </c>
      <c r="I709" s="12"/>
      <c r="J709" s="12"/>
      <c r="K709" s="12"/>
      <c r="L709" s="12">
        <v>1500</v>
      </c>
      <c r="M709" s="15">
        <f t="shared" si="145"/>
        <v>5</v>
      </c>
      <c r="N709" s="15">
        <f t="shared" si="146"/>
        <v>0</v>
      </c>
      <c r="O709" s="12">
        <v>1500</v>
      </c>
      <c r="P709" s="12">
        <f t="shared" si="143"/>
        <v>125</v>
      </c>
      <c r="Q709" s="12">
        <f t="shared" si="144"/>
        <v>125</v>
      </c>
    </row>
    <row r="710" spans="1:20" x14ac:dyDescent="0.3">
      <c r="A710" s="1">
        <f t="shared" si="147"/>
        <v>28</v>
      </c>
      <c r="B710" s="2" t="s">
        <v>665</v>
      </c>
      <c r="C710" s="3" t="s">
        <v>288</v>
      </c>
      <c r="D710" s="12" t="s">
        <v>40</v>
      </c>
      <c r="E710" s="12" t="s">
        <v>40</v>
      </c>
      <c r="F710" s="12"/>
      <c r="G710" s="12"/>
      <c r="H710" s="12" t="s">
        <v>40</v>
      </c>
      <c r="I710" s="12" t="s">
        <v>40</v>
      </c>
      <c r="J710" s="12"/>
      <c r="K710" s="12"/>
      <c r="L710" s="12">
        <v>168424</v>
      </c>
      <c r="M710" s="15">
        <f t="shared" si="145"/>
        <v>10</v>
      </c>
      <c r="N710" s="15">
        <f t="shared" si="146"/>
        <v>0</v>
      </c>
      <c r="O710" s="12">
        <v>168424</v>
      </c>
      <c r="P710" s="12">
        <f t="shared" si="143"/>
        <v>14035.333333333334</v>
      </c>
      <c r="Q710" s="12">
        <f t="shared" si="144"/>
        <v>14035.333333333334</v>
      </c>
    </row>
    <row r="711" spans="1:20" x14ac:dyDescent="0.3">
      <c r="A711" s="1">
        <f t="shared" si="147"/>
        <v>29</v>
      </c>
      <c r="B711" s="2" t="s">
        <v>666</v>
      </c>
      <c r="C711" s="3" t="s">
        <v>288</v>
      </c>
      <c r="D711" s="12" t="s">
        <v>40</v>
      </c>
      <c r="E711" s="12" t="s">
        <v>40</v>
      </c>
      <c r="F711" s="12"/>
      <c r="G711" s="12"/>
      <c r="H711" s="12"/>
      <c r="I711" s="12"/>
      <c r="J711" s="12"/>
      <c r="K711" s="12"/>
      <c r="L711" s="12">
        <v>40392</v>
      </c>
      <c r="M711" s="15">
        <f t="shared" si="145"/>
        <v>2</v>
      </c>
      <c r="N711" s="15">
        <f t="shared" si="146"/>
        <v>0</v>
      </c>
      <c r="O711" s="12">
        <v>40392</v>
      </c>
      <c r="P711" s="12">
        <f t="shared" si="143"/>
        <v>3366</v>
      </c>
      <c r="Q711" s="12">
        <f t="shared" si="144"/>
        <v>3366</v>
      </c>
    </row>
    <row r="712" spans="1:20" x14ac:dyDescent="0.3">
      <c r="A712" s="1">
        <f t="shared" si="147"/>
        <v>30</v>
      </c>
      <c r="B712" s="2" t="s">
        <v>667</v>
      </c>
      <c r="C712" s="3" t="s">
        <v>288</v>
      </c>
      <c r="D712" s="12" t="s">
        <v>40</v>
      </c>
      <c r="E712" s="12" t="s">
        <v>40</v>
      </c>
      <c r="F712" s="12"/>
      <c r="G712" s="12"/>
      <c r="H712" s="12"/>
      <c r="I712" s="12"/>
      <c r="J712" s="12"/>
      <c r="K712" s="12"/>
      <c r="L712" s="12">
        <v>50424</v>
      </c>
      <c r="M712" s="15">
        <f t="shared" si="145"/>
        <v>2</v>
      </c>
      <c r="N712" s="15">
        <f t="shared" si="146"/>
        <v>0</v>
      </c>
      <c r="O712" s="12">
        <v>50424</v>
      </c>
      <c r="P712" s="12">
        <f t="shared" si="143"/>
        <v>4202</v>
      </c>
      <c r="Q712" s="12">
        <f t="shared" si="144"/>
        <v>4202</v>
      </c>
      <c r="S712" t="s">
        <v>288</v>
      </c>
      <c r="T712" t="s">
        <v>151</v>
      </c>
    </row>
    <row r="713" spans="1:20" x14ac:dyDescent="0.3">
      <c r="B713" s="29"/>
      <c r="D713"/>
      <c r="E713"/>
      <c r="F713"/>
      <c r="G713"/>
      <c r="H713"/>
      <c r="I713"/>
      <c r="J713"/>
      <c r="L713" s="14">
        <f>+AVERAGE(L683:L712)</f>
        <v>113052.14724137931</v>
      </c>
      <c r="M713" s="14">
        <f>+AVERAGE(M683:M712)</f>
        <v>7.2758620689655169</v>
      </c>
      <c r="N713" s="14">
        <f>+SUM(N683:N712)</f>
        <v>0</v>
      </c>
      <c r="O713" s="14">
        <f>+AVERAGE(O683:O712)</f>
        <v>126548.96523809523</v>
      </c>
      <c r="P713" s="14">
        <f>+AVERAGE(P683:P712)</f>
        <v>9421.012270114943</v>
      </c>
      <c r="Q713" s="14">
        <f>+AVERAGE(Q683:Q712)</f>
        <v>10545.747103174603</v>
      </c>
    </row>
    <row r="714" spans="1:20" x14ac:dyDescent="0.3">
      <c r="D714"/>
      <c r="E714"/>
      <c r="F714"/>
      <c r="G714"/>
      <c r="H714"/>
      <c r="I714"/>
      <c r="J714"/>
      <c r="L714" s="14">
        <f>+STDEV(L683:L712)</f>
        <v>152425.09780445849</v>
      </c>
      <c r="M714" s="14">
        <f>+STDEV(M683:M712)</f>
        <v>4.1567204769087747</v>
      </c>
      <c r="N714" s="17"/>
      <c r="O714" s="14">
        <f>+STDEV(O683:O712)</f>
        <v>122321.2498515258</v>
      </c>
      <c r="P714" s="14">
        <f>+STDEV(P683:P712)</f>
        <v>12702.091483704875</v>
      </c>
      <c r="Q714" s="14">
        <f>+STDEV(Q683:Q712)</f>
        <v>10193.437487627149</v>
      </c>
    </row>
    <row r="715" spans="1:20" x14ac:dyDescent="0.3">
      <c r="D715"/>
      <c r="E715"/>
      <c r="F715"/>
      <c r="G715"/>
      <c r="H715"/>
      <c r="I715" s="15"/>
      <c r="J715" s="15"/>
      <c r="K715" s="11" t="s">
        <v>75</v>
      </c>
      <c r="L715" s="14">
        <f>+COUNTIF(L683:L712,0)</f>
        <v>7</v>
      </c>
      <c r="M715" s="14">
        <f>+COUNT(M683:M712)</f>
        <v>29</v>
      </c>
      <c r="P715" s="14">
        <f>+COUNTIF(P683:P712,0)</f>
        <v>7</v>
      </c>
    </row>
    <row r="716" spans="1:20" x14ac:dyDescent="0.3">
      <c r="D716"/>
      <c r="E716"/>
      <c r="F716"/>
      <c r="G716"/>
      <c r="H716"/>
      <c r="I716"/>
      <c r="J716"/>
    </row>
    <row r="717" spans="1:20" x14ac:dyDescent="0.3">
      <c r="A717" s="1">
        <v>1</v>
      </c>
      <c r="B717" s="2" t="s">
        <v>668</v>
      </c>
      <c r="C717" s="3" t="s">
        <v>446</v>
      </c>
      <c r="D717" s="12" t="s">
        <v>40</v>
      </c>
      <c r="E717" s="12" t="s">
        <v>40</v>
      </c>
      <c r="F717" s="12"/>
      <c r="G717" s="12"/>
      <c r="H717" s="12" t="s">
        <v>40</v>
      </c>
      <c r="I717" s="12"/>
      <c r="J717" s="12"/>
      <c r="K717" s="12"/>
      <c r="L717" s="12">
        <v>72000</v>
      </c>
      <c r="M717" s="15">
        <f>+IF(D717="X",1,0)+IF(E717="X",1,0)+IF(F717="X",2,0)+IF(G717="X",2,0)+IF(H717="X",3,IF(H717="Y",1.5,0))+IF(I717="X",5,IF(I717="Y",2.5,0))+IF(J717="X1",10,IF(J717="X2",5,IF(J717="X3",3,0)))</f>
        <v>5</v>
      </c>
      <c r="N717" s="15">
        <f>+IF(K717="X",1,0)</f>
        <v>0</v>
      </c>
      <c r="O717" s="12">
        <v>72000</v>
      </c>
      <c r="P717" s="12">
        <f t="shared" ref="P717:P746" si="149">+L717/12</f>
        <v>6000</v>
      </c>
      <c r="Q717" s="12">
        <f t="shared" ref="Q717:Q746" si="150">+O717/12</f>
        <v>6000</v>
      </c>
    </row>
    <row r="718" spans="1:20" x14ac:dyDescent="0.3">
      <c r="A718" s="1">
        <f>+A717+1</f>
        <v>2</v>
      </c>
      <c r="B718" s="2" t="s">
        <v>669</v>
      </c>
      <c r="C718" s="3" t="s">
        <v>446</v>
      </c>
      <c r="D718" s="12" t="s">
        <v>40</v>
      </c>
      <c r="E718" s="12" t="s">
        <v>40</v>
      </c>
      <c r="F718" s="12"/>
      <c r="G718" s="12"/>
      <c r="H718" s="12" t="s">
        <v>40</v>
      </c>
      <c r="I718" s="12" t="s">
        <v>40</v>
      </c>
      <c r="J718" s="12"/>
      <c r="K718" s="12"/>
      <c r="L718" s="12">
        <v>16800</v>
      </c>
      <c r="M718" s="15">
        <f t="shared" ref="M718:M746" si="151">+IF(D718="X",1,0)+IF(E718="X",1,0)+IF(F718="X",2,0)+IF(G718="X",2,0)+IF(H718="X",3,IF(H718="Y",1.5,0))+IF(I718="X",5,IF(I718="Y",2.5,0))+IF(J718="X1",10,IF(J718="X2",5,IF(J718="X3",3,0)))</f>
        <v>10</v>
      </c>
      <c r="N718" s="15">
        <f t="shared" ref="N718:N746" si="152">+IF(K718="X",1,0)</f>
        <v>0</v>
      </c>
      <c r="O718" s="12">
        <v>16800</v>
      </c>
      <c r="P718" s="12">
        <f t="shared" si="149"/>
        <v>1400</v>
      </c>
      <c r="Q718" s="12">
        <f t="shared" si="150"/>
        <v>1400</v>
      </c>
    </row>
    <row r="719" spans="1:20" x14ac:dyDescent="0.3">
      <c r="A719" s="1">
        <f t="shared" ref="A719:A746" si="153">+A718+1</f>
        <v>3</v>
      </c>
      <c r="B719" s="2">
        <v>16423581</v>
      </c>
      <c r="C719" s="3" t="s">
        <v>446</v>
      </c>
      <c r="D719" s="12" t="s">
        <v>40</v>
      </c>
      <c r="E719" s="12" t="s">
        <v>40</v>
      </c>
      <c r="F719" s="12"/>
      <c r="G719" s="12"/>
      <c r="H719" s="12"/>
      <c r="I719" s="12"/>
      <c r="J719" s="12"/>
      <c r="K719" s="12"/>
      <c r="L719" s="12">
        <v>35188.019999999997</v>
      </c>
      <c r="M719" s="15">
        <f t="shared" si="151"/>
        <v>2</v>
      </c>
      <c r="N719" s="15">
        <f t="shared" si="152"/>
        <v>0</v>
      </c>
      <c r="O719" s="12">
        <v>35188.019999999997</v>
      </c>
      <c r="P719" s="12">
        <f t="shared" si="149"/>
        <v>2932.3349999999996</v>
      </c>
      <c r="Q719" s="12">
        <f t="shared" si="150"/>
        <v>2932.3349999999996</v>
      </c>
    </row>
    <row r="720" spans="1:20" x14ac:dyDescent="0.3">
      <c r="A720" s="1">
        <f t="shared" si="153"/>
        <v>4</v>
      </c>
      <c r="B720" s="10"/>
      <c r="C720" s="9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6"/>
      <c r="O720" s="13"/>
      <c r="P720" s="13"/>
      <c r="Q720" s="13"/>
    </row>
    <row r="721" spans="1:17" x14ac:dyDescent="0.3">
      <c r="A721" s="1">
        <f t="shared" si="153"/>
        <v>5</v>
      </c>
      <c r="B721" s="4" t="s">
        <v>675</v>
      </c>
      <c r="C721" s="3" t="s">
        <v>446</v>
      </c>
      <c r="D721" s="12" t="s">
        <v>40</v>
      </c>
      <c r="E721" s="12" t="s">
        <v>40</v>
      </c>
      <c r="F721" s="12"/>
      <c r="G721" s="12"/>
      <c r="H721" s="12" t="s">
        <v>40</v>
      </c>
      <c r="I721" s="12"/>
      <c r="J721" s="12"/>
      <c r="K721" s="12"/>
      <c r="L721" s="12">
        <v>0</v>
      </c>
      <c r="M721" s="15">
        <f t="shared" si="151"/>
        <v>5</v>
      </c>
      <c r="N721" s="15">
        <f t="shared" si="152"/>
        <v>0</v>
      </c>
      <c r="O721" s="20"/>
      <c r="P721" s="12">
        <f t="shared" ref="P721" si="154">+L721/12</f>
        <v>0</v>
      </c>
      <c r="Q721" s="20"/>
    </row>
    <row r="722" spans="1:17" x14ac:dyDescent="0.3">
      <c r="A722" s="1">
        <f t="shared" si="153"/>
        <v>6</v>
      </c>
      <c r="B722" s="2">
        <v>40094050</v>
      </c>
      <c r="C722" s="3" t="s">
        <v>446</v>
      </c>
      <c r="D722" s="12" t="s">
        <v>40</v>
      </c>
      <c r="E722" s="12" t="s">
        <v>40</v>
      </c>
      <c r="F722" s="12" t="s">
        <v>40</v>
      </c>
      <c r="G722" s="12"/>
      <c r="H722" s="12"/>
      <c r="I722" s="12"/>
      <c r="J722" s="12"/>
      <c r="K722" s="12"/>
      <c r="L722" s="12">
        <v>39600</v>
      </c>
      <c r="M722" s="15">
        <f t="shared" si="151"/>
        <v>4</v>
      </c>
      <c r="N722" s="15">
        <f t="shared" si="152"/>
        <v>0</v>
      </c>
      <c r="O722" s="12">
        <v>39600</v>
      </c>
      <c r="P722" s="12">
        <f t="shared" si="149"/>
        <v>3300</v>
      </c>
      <c r="Q722" s="12">
        <f t="shared" si="150"/>
        <v>3300</v>
      </c>
    </row>
    <row r="723" spans="1:17" x14ac:dyDescent="0.3">
      <c r="A723" s="1">
        <f t="shared" si="153"/>
        <v>7</v>
      </c>
      <c r="B723" s="4" t="s">
        <v>676</v>
      </c>
      <c r="C723" s="3" t="s">
        <v>446</v>
      </c>
      <c r="D723" s="12" t="s">
        <v>40</v>
      </c>
      <c r="E723" s="12" t="s">
        <v>40</v>
      </c>
      <c r="F723" s="12"/>
      <c r="G723" s="12"/>
      <c r="H723" s="12" t="s">
        <v>40</v>
      </c>
      <c r="I723" s="12"/>
      <c r="J723" s="12"/>
      <c r="K723" s="12"/>
      <c r="L723" s="12">
        <v>53803.199999999997</v>
      </c>
      <c r="M723" s="15">
        <f t="shared" si="151"/>
        <v>5</v>
      </c>
      <c r="N723" s="15">
        <f t="shared" si="152"/>
        <v>0</v>
      </c>
      <c r="O723" s="12">
        <v>53803.199999999997</v>
      </c>
      <c r="P723" s="12">
        <f t="shared" si="149"/>
        <v>4483.5999999999995</v>
      </c>
      <c r="Q723" s="12">
        <f t="shared" si="150"/>
        <v>4483.5999999999995</v>
      </c>
    </row>
    <row r="724" spans="1:17" x14ac:dyDescent="0.3">
      <c r="A724" s="1">
        <f t="shared" si="153"/>
        <v>8</v>
      </c>
      <c r="B724" s="2" t="s">
        <v>670</v>
      </c>
      <c r="C724" s="3" t="s">
        <v>446</v>
      </c>
      <c r="D724" s="12" t="s">
        <v>40</v>
      </c>
      <c r="E724" s="12" t="s">
        <v>40</v>
      </c>
      <c r="F724" s="12"/>
      <c r="G724" s="12"/>
      <c r="H724" s="12" t="s">
        <v>40</v>
      </c>
      <c r="I724" s="12"/>
      <c r="J724" s="12"/>
      <c r="K724" s="12"/>
      <c r="L724" s="12">
        <v>311778.46000000002</v>
      </c>
      <c r="M724" s="15">
        <f t="shared" si="151"/>
        <v>5</v>
      </c>
      <c r="N724" s="15">
        <f t="shared" si="152"/>
        <v>0</v>
      </c>
      <c r="O724" s="20"/>
      <c r="P724" s="12">
        <f t="shared" si="149"/>
        <v>25981.538333333334</v>
      </c>
      <c r="Q724" s="20"/>
    </row>
    <row r="725" spans="1:17" x14ac:dyDescent="0.3">
      <c r="A725" s="1">
        <f t="shared" si="153"/>
        <v>9</v>
      </c>
      <c r="B725" s="28" t="s">
        <v>677</v>
      </c>
      <c r="C725" s="3" t="s">
        <v>446</v>
      </c>
      <c r="D725" s="12" t="s">
        <v>40</v>
      </c>
      <c r="E725" s="12" t="s">
        <v>40</v>
      </c>
      <c r="F725" s="12"/>
      <c r="G725" s="12"/>
      <c r="H725" s="12" t="s">
        <v>40</v>
      </c>
      <c r="I725" s="12" t="s">
        <v>40</v>
      </c>
      <c r="J725" s="12"/>
      <c r="K725" s="12"/>
      <c r="L725" s="12">
        <v>195600</v>
      </c>
      <c r="M725" s="15">
        <f t="shared" si="151"/>
        <v>10</v>
      </c>
      <c r="N725" s="15">
        <f t="shared" si="152"/>
        <v>0</v>
      </c>
      <c r="O725" s="12">
        <v>195600</v>
      </c>
      <c r="P725" s="12">
        <f t="shared" si="149"/>
        <v>16300</v>
      </c>
      <c r="Q725" s="12">
        <f t="shared" si="150"/>
        <v>16300</v>
      </c>
    </row>
    <row r="726" spans="1:17" x14ac:dyDescent="0.3">
      <c r="A726" s="1">
        <f t="shared" si="153"/>
        <v>10</v>
      </c>
      <c r="B726" s="2" t="s">
        <v>671</v>
      </c>
      <c r="C726" s="3" t="s">
        <v>446</v>
      </c>
      <c r="D726" s="12" t="s">
        <v>40</v>
      </c>
      <c r="E726" s="12" t="s">
        <v>40</v>
      </c>
      <c r="F726" s="12"/>
      <c r="G726" s="12"/>
      <c r="H726" s="12"/>
      <c r="I726" s="12"/>
      <c r="J726" s="12"/>
      <c r="K726" s="12"/>
      <c r="L726" s="12">
        <v>40370.300000000003</v>
      </c>
      <c r="M726" s="15">
        <f t="shared" si="151"/>
        <v>2</v>
      </c>
      <c r="N726" s="15">
        <f t="shared" si="152"/>
        <v>0</v>
      </c>
      <c r="O726" s="12">
        <v>40370.300000000003</v>
      </c>
      <c r="P726" s="12">
        <f t="shared" si="149"/>
        <v>3364.1916666666671</v>
      </c>
      <c r="Q726" s="12">
        <f t="shared" si="150"/>
        <v>3364.1916666666671</v>
      </c>
    </row>
    <row r="727" spans="1:17" x14ac:dyDescent="0.3">
      <c r="A727" s="1">
        <f t="shared" si="153"/>
        <v>11</v>
      </c>
      <c r="B727" s="10"/>
      <c r="C727" s="9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6"/>
      <c r="O727" s="13"/>
      <c r="P727" s="13"/>
      <c r="Q727" s="13"/>
    </row>
    <row r="728" spans="1:17" x14ac:dyDescent="0.3">
      <c r="A728" s="1">
        <f t="shared" si="153"/>
        <v>12</v>
      </c>
      <c r="B728" s="2" t="s">
        <v>672</v>
      </c>
      <c r="C728" s="3" t="s">
        <v>446</v>
      </c>
      <c r="D728" s="12" t="s">
        <v>40</v>
      </c>
      <c r="E728" s="12" t="s">
        <v>40</v>
      </c>
      <c r="F728" s="12" t="s">
        <v>40</v>
      </c>
      <c r="G728" s="12"/>
      <c r="H728" s="12"/>
      <c r="I728" s="12"/>
      <c r="J728" s="12"/>
      <c r="K728" s="12"/>
      <c r="L728" s="12">
        <v>24000</v>
      </c>
      <c r="M728" s="15">
        <f t="shared" si="151"/>
        <v>4</v>
      </c>
      <c r="N728" s="15">
        <f t="shared" si="152"/>
        <v>0</v>
      </c>
      <c r="O728" s="12">
        <v>24000</v>
      </c>
      <c r="P728" s="12">
        <f t="shared" si="149"/>
        <v>2000</v>
      </c>
      <c r="Q728" s="12">
        <f t="shared" si="150"/>
        <v>2000</v>
      </c>
    </row>
    <row r="729" spans="1:17" x14ac:dyDescent="0.3">
      <c r="A729" s="1">
        <f t="shared" si="153"/>
        <v>13</v>
      </c>
      <c r="B729" s="4" t="s">
        <v>678</v>
      </c>
      <c r="C729" s="3" t="s">
        <v>446</v>
      </c>
      <c r="D729" s="12" t="s">
        <v>40</v>
      </c>
      <c r="E729" s="12" t="s">
        <v>40</v>
      </c>
      <c r="F729" s="12"/>
      <c r="G729" s="12"/>
      <c r="H729" s="12"/>
      <c r="I729" s="12"/>
      <c r="J729" s="12"/>
      <c r="K729" s="12"/>
      <c r="L729" s="12"/>
      <c r="M729" s="15">
        <f t="shared" si="151"/>
        <v>2</v>
      </c>
      <c r="N729" s="15">
        <f t="shared" si="152"/>
        <v>0</v>
      </c>
      <c r="O729" s="20"/>
      <c r="P729" s="12">
        <f t="shared" si="149"/>
        <v>0</v>
      </c>
      <c r="Q729" s="20"/>
    </row>
    <row r="730" spans="1:17" x14ac:dyDescent="0.3">
      <c r="A730" s="1">
        <f t="shared" si="153"/>
        <v>14</v>
      </c>
      <c r="B730" s="10"/>
      <c r="C730" s="9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6"/>
      <c r="O730" s="13"/>
      <c r="P730" s="13"/>
      <c r="Q730" s="13"/>
    </row>
    <row r="731" spans="1:17" x14ac:dyDescent="0.3">
      <c r="A731" s="1">
        <f t="shared" si="153"/>
        <v>15</v>
      </c>
      <c r="B731" s="2">
        <v>22064552</v>
      </c>
      <c r="C731" s="3" t="s">
        <v>446</v>
      </c>
      <c r="D731" s="12" t="s">
        <v>40</v>
      </c>
      <c r="E731" s="12" t="s">
        <v>40</v>
      </c>
      <c r="F731" s="12"/>
      <c r="G731" s="12"/>
      <c r="H731" s="12"/>
      <c r="I731" s="12"/>
      <c r="J731" s="12"/>
      <c r="K731" s="12"/>
      <c r="L731" s="12">
        <v>33338.04</v>
      </c>
      <c r="M731" s="15">
        <f t="shared" si="151"/>
        <v>2</v>
      </c>
      <c r="N731" s="15">
        <f t="shared" si="152"/>
        <v>0</v>
      </c>
      <c r="O731" s="12">
        <v>33338.04</v>
      </c>
      <c r="P731" s="12">
        <f t="shared" si="149"/>
        <v>2778.17</v>
      </c>
      <c r="Q731" s="12">
        <f t="shared" si="150"/>
        <v>2778.17</v>
      </c>
    </row>
    <row r="732" spans="1:17" x14ac:dyDescent="0.3">
      <c r="A732" s="1">
        <f t="shared" si="153"/>
        <v>16</v>
      </c>
      <c r="B732" s="4" t="s">
        <v>679</v>
      </c>
      <c r="C732" s="3" t="s">
        <v>446</v>
      </c>
      <c r="D732" s="12" t="s">
        <v>40</v>
      </c>
      <c r="E732" s="12" t="s">
        <v>40</v>
      </c>
      <c r="F732" s="12"/>
      <c r="G732" s="12"/>
      <c r="H732" s="12"/>
      <c r="I732" s="12"/>
      <c r="J732" s="12"/>
      <c r="K732" s="12"/>
      <c r="L732" s="12">
        <v>0</v>
      </c>
      <c r="M732" s="15">
        <f t="shared" si="151"/>
        <v>2</v>
      </c>
      <c r="N732" s="15">
        <f t="shared" si="152"/>
        <v>0</v>
      </c>
      <c r="O732" s="20"/>
      <c r="P732" s="12">
        <f t="shared" si="149"/>
        <v>0</v>
      </c>
      <c r="Q732" s="20"/>
    </row>
    <row r="733" spans="1:17" x14ac:dyDescent="0.3">
      <c r="A733" s="1">
        <f t="shared" si="153"/>
        <v>17</v>
      </c>
      <c r="B733" s="2" t="s">
        <v>673</v>
      </c>
      <c r="C733" s="3" t="s">
        <v>446</v>
      </c>
      <c r="D733" s="12" t="s">
        <v>40</v>
      </c>
      <c r="E733" s="12" t="s">
        <v>40</v>
      </c>
      <c r="F733" s="12"/>
      <c r="G733" s="12"/>
      <c r="H733" s="12" t="s">
        <v>40</v>
      </c>
      <c r="I733" s="12"/>
      <c r="J733" s="12"/>
      <c r="K733" s="12"/>
      <c r="L733" s="12">
        <v>75904.5</v>
      </c>
      <c r="M733" s="15">
        <f t="shared" si="151"/>
        <v>5</v>
      </c>
      <c r="N733" s="15">
        <f t="shared" si="152"/>
        <v>0</v>
      </c>
      <c r="O733" s="12">
        <v>75904.5</v>
      </c>
      <c r="P733" s="12">
        <f t="shared" si="149"/>
        <v>6325.375</v>
      </c>
      <c r="Q733" s="12">
        <f t="shared" si="150"/>
        <v>6325.375</v>
      </c>
    </row>
    <row r="734" spans="1:17" x14ac:dyDescent="0.3">
      <c r="A734" s="1">
        <f t="shared" si="153"/>
        <v>18</v>
      </c>
      <c r="B734" s="10"/>
      <c r="C734" s="9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6"/>
      <c r="O734" s="13"/>
      <c r="P734" s="13"/>
      <c r="Q734" s="13"/>
    </row>
    <row r="735" spans="1:17" x14ac:dyDescent="0.3">
      <c r="A735" s="1">
        <f t="shared" si="153"/>
        <v>19</v>
      </c>
      <c r="B735" s="4" t="s">
        <v>680</v>
      </c>
      <c r="C735" s="3" t="s">
        <v>446</v>
      </c>
      <c r="D735" s="12" t="s">
        <v>40</v>
      </c>
      <c r="E735" s="12" t="s">
        <v>40</v>
      </c>
      <c r="F735" s="12"/>
      <c r="G735" s="12"/>
      <c r="H735" s="12"/>
      <c r="I735" s="12"/>
      <c r="J735" s="12"/>
      <c r="K735" s="12"/>
      <c r="L735" s="12">
        <v>50000</v>
      </c>
      <c r="M735" s="15">
        <f t="shared" si="151"/>
        <v>2</v>
      </c>
      <c r="N735" s="15">
        <f t="shared" si="152"/>
        <v>0</v>
      </c>
      <c r="O735" s="12">
        <v>50000</v>
      </c>
      <c r="P735" s="12">
        <f t="shared" si="149"/>
        <v>4166.666666666667</v>
      </c>
      <c r="Q735" s="12">
        <f t="shared" si="150"/>
        <v>4166.666666666667</v>
      </c>
    </row>
    <row r="736" spans="1:17" x14ac:dyDescent="0.3">
      <c r="A736" s="1">
        <f t="shared" si="153"/>
        <v>20</v>
      </c>
      <c r="B736" s="10"/>
      <c r="C736" s="9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6"/>
      <c r="O736" s="13"/>
      <c r="P736" s="13"/>
      <c r="Q736" s="13"/>
    </row>
    <row r="737" spans="1:17" x14ac:dyDescent="0.3">
      <c r="A737" s="1">
        <f t="shared" si="153"/>
        <v>21</v>
      </c>
      <c r="B737" s="2">
        <v>29715553</v>
      </c>
      <c r="C737" s="3" t="s">
        <v>446</v>
      </c>
      <c r="D737" s="12" t="s">
        <v>40</v>
      </c>
      <c r="E737" s="12" t="s">
        <v>40</v>
      </c>
      <c r="F737" s="12"/>
      <c r="G737" s="12"/>
      <c r="H737" s="12"/>
      <c r="I737" s="12"/>
      <c r="J737" s="12"/>
      <c r="K737" s="12"/>
      <c r="L737" s="12">
        <v>180000</v>
      </c>
      <c r="M737" s="15">
        <f t="shared" si="151"/>
        <v>2</v>
      </c>
      <c r="N737" s="15">
        <f t="shared" si="152"/>
        <v>0</v>
      </c>
      <c r="O737" s="12">
        <v>180000</v>
      </c>
      <c r="P737" s="12">
        <f t="shared" si="149"/>
        <v>15000</v>
      </c>
      <c r="Q737" s="12">
        <f t="shared" si="150"/>
        <v>15000</v>
      </c>
    </row>
    <row r="738" spans="1:17" x14ac:dyDescent="0.3">
      <c r="A738" s="1">
        <f t="shared" si="153"/>
        <v>22</v>
      </c>
      <c r="B738" s="4" t="s">
        <v>681</v>
      </c>
      <c r="C738" s="3" t="s">
        <v>446</v>
      </c>
      <c r="D738" s="12" t="s">
        <v>40</v>
      </c>
      <c r="E738" s="12" t="s">
        <v>40</v>
      </c>
      <c r="F738" s="12"/>
      <c r="G738" s="12" t="s">
        <v>40</v>
      </c>
      <c r="H738" s="12"/>
      <c r="I738" s="12"/>
      <c r="J738" s="12"/>
      <c r="K738" s="12"/>
      <c r="L738" s="12">
        <v>13000</v>
      </c>
      <c r="M738" s="15">
        <f t="shared" si="151"/>
        <v>4</v>
      </c>
      <c r="N738" s="15">
        <f t="shared" si="152"/>
        <v>0</v>
      </c>
      <c r="O738" s="12">
        <v>13000</v>
      </c>
      <c r="P738" s="12">
        <f t="shared" si="149"/>
        <v>1083.3333333333333</v>
      </c>
      <c r="Q738" s="12">
        <f t="shared" si="150"/>
        <v>1083.3333333333333</v>
      </c>
    </row>
    <row r="739" spans="1:17" x14ac:dyDescent="0.3">
      <c r="A739" s="1">
        <f t="shared" si="153"/>
        <v>23</v>
      </c>
      <c r="B739" s="2" t="s">
        <v>674</v>
      </c>
      <c r="C739" s="3" t="s">
        <v>446</v>
      </c>
      <c r="D739" s="12" t="s">
        <v>40</v>
      </c>
      <c r="E739" s="12" t="s">
        <v>40</v>
      </c>
      <c r="F739" s="12"/>
      <c r="G739" s="12"/>
      <c r="H739" s="12" t="s">
        <v>40</v>
      </c>
      <c r="I739" s="12"/>
      <c r="J739" s="12"/>
      <c r="K739" s="12"/>
      <c r="L739" s="12">
        <v>35000</v>
      </c>
      <c r="M739" s="15">
        <f t="shared" si="151"/>
        <v>5</v>
      </c>
      <c r="N739" s="15">
        <f t="shared" si="152"/>
        <v>0</v>
      </c>
      <c r="O739" s="12">
        <v>35000</v>
      </c>
      <c r="P739" s="12">
        <f t="shared" si="149"/>
        <v>2916.6666666666665</v>
      </c>
      <c r="Q739" s="12">
        <f t="shared" si="150"/>
        <v>2916.6666666666665</v>
      </c>
    </row>
    <row r="740" spans="1:17" x14ac:dyDescent="0.3">
      <c r="A740" s="1">
        <f t="shared" si="153"/>
        <v>24</v>
      </c>
      <c r="B740" s="2">
        <v>40074913</v>
      </c>
      <c r="C740" s="3" t="s">
        <v>446</v>
      </c>
      <c r="D740" s="12" t="s">
        <v>40</v>
      </c>
      <c r="E740" s="12" t="s">
        <v>40</v>
      </c>
      <c r="F740" s="12" t="s">
        <v>40</v>
      </c>
      <c r="G740" s="12"/>
      <c r="H740" s="12"/>
      <c r="I740" s="12"/>
      <c r="J740" s="12"/>
      <c r="K740" s="12"/>
      <c r="L740" s="12">
        <v>32400</v>
      </c>
      <c r="M740" s="15">
        <f t="shared" si="151"/>
        <v>4</v>
      </c>
      <c r="N740" s="15">
        <f t="shared" si="152"/>
        <v>0</v>
      </c>
      <c r="O740" s="12">
        <v>32400</v>
      </c>
      <c r="P740" s="12">
        <f t="shared" si="149"/>
        <v>2700</v>
      </c>
      <c r="Q740" s="12">
        <f t="shared" si="150"/>
        <v>2700</v>
      </c>
    </row>
    <row r="741" spans="1:17" x14ac:dyDescent="0.3">
      <c r="A741" s="1">
        <f t="shared" si="153"/>
        <v>25</v>
      </c>
      <c r="B741" s="2">
        <v>18157357</v>
      </c>
      <c r="C741" s="3" t="s">
        <v>446</v>
      </c>
      <c r="D741" s="12" t="s">
        <v>40</v>
      </c>
      <c r="E741" s="12" t="s">
        <v>40</v>
      </c>
      <c r="F741" s="12" t="s">
        <v>40</v>
      </c>
      <c r="G741" s="12"/>
      <c r="H741" s="12" t="s">
        <v>40</v>
      </c>
      <c r="I741" s="12"/>
      <c r="J741" s="12"/>
      <c r="K741" s="12"/>
      <c r="L741" s="12">
        <v>78540</v>
      </c>
      <c r="M741" s="15">
        <f t="shared" si="151"/>
        <v>7</v>
      </c>
      <c r="N741" s="15">
        <f t="shared" si="152"/>
        <v>0</v>
      </c>
      <c r="O741" s="12">
        <v>78540</v>
      </c>
      <c r="P741" s="12">
        <f t="shared" si="149"/>
        <v>6545</v>
      </c>
      <c r="Q741" s="12">
        <f t="shared" si="150"/>
        <v>6545</v>
      </c>
    </row>
    <row r="742" spans="1:17" x14ac:dyDescent="0.3">
      <c r="A742" s="1">
        <f t="shared" si="153"/>
        <v>26</v>
      </c>
      <c r="B742" s="10"/>
      <c r="C742" s="9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6"/>
      <c r="O742" s="13"/>
      <c r="P742" s="13"/>
      <c r="Q742" s="13"/>
    </row>
    <row r="743" spans="1:17" x14ac:dyDescent="0.3">
      <c r="A743" s="1">
        <f t="shared" si="153"/>
        <v>27</v>
      </c>
      <c r="B743" s="4" t="s">
        <v>682</v>
      </c>
      <c r="C743" s="3" t="s">
        <v>446</v>
      </c>
      <c r="D743" s="12" t="s">
        <v>40</v>
      </c>
      <c r="E743" s="12" t="s">
        <v>40</v>
      </c>
      <c r="F743" s="12"/>
      <c r="G743" s="12"/>
      <c r="H743" s="12" t="s">
        <v>40</v>
      </c>
      <c r="I743" s="12"/>
      <c r="J743" s="12"/>
      <c r="K743" s="12"/>
      <c r="L743" s="12">
        <v>37800</v>
      </c>
      <c r="M743" s="15">
        <f t="shared" si="151"/>
        <v>5</v>
      </c>
      <c r="N743" s="15">
        <f t="shared" si="152"/>
        <v>0</v>
      </c>
      <c r="O743" s="12">
        <v>37800</v>
      </c>
      <c r="P743" s="12">
        <f t="shared" si="149"/>
        <v>3150</v>
      </c>
      <c r="Q743" s="12">
        <f t="shared" si="150"/>
        <v>3150</v>
      </c>
    </row>
    <row r="744" spans="1:17" x14ac:dyDescent="0.3">
      <c r="A744" s="1">
        <f t="shared" si="153"/>
        <v>28</v>
      </c>
      <c r="B744" s="10"/>
      <c r="C744" s="9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6"/>
      <c r="O744" s="13"/>
      <c r="P744" s="13"/>
      <c r="Q744" s="13"/>
    </row>
    <row r="745" spans="1:17" x14ac:dyDescent="0.3">
      <c r="A745" s="1">
        <f t="shared" si="153"/>
        <v>29</v>
      </c>
      <c r="B745" s="4" t="s">
        <v>683</v>
      </c>
      <c r="C745" s="3" t="s">
        <v>446</v>
      </c>
      <c r="D745" s="12" t="s">
        <v>40</v>
      </c>
      <c r="E745" s="12" t="s">
        <v>40</v>
      </c>
      <c r="F745" s="12"/>
      <c r="G745" s="12"/>
      <c r="H745" s="12" t="s">
        <v>40</v>
      </c>
      <c r="I745" s="12"/>
      <c r="J745" s="12"/>
      <c r="K745" s="12"/>
      <c r="L745" s="12">
        <v>10502.1</v>
      </c>
      <c r="M745" s="15">
        <f t="shared" si="151"/>
        <v>5</v>
      </c>
      <c r="N745" s="15">
        <f t="shared" si="152"/>
        <v>0</v>
      </c>
      <c r="O745" s="12">
        <v>10502.1</v>
      </c>
      <c r="P745" s="12">
        <f t="shared" si="149"/>
        <v>875.17500000000007</v>
      </c>
      <c r="Q745" s="12">
        <f t="shared" si="150"/>
        <v>875.17500000000007</v>
      </c>
    </row>
    <row r="746" spans="1:17" x14ac:dyDescent="0.3">
      <c r="A746" s="1">
        <f t="shared" si="153"/>
        <v>30</v>
      </c>
      <c r="B746" s="2">
        <v>32657602</v>
      </c>
      <c r="C746" s="3" t="s">
        <v>446</v>
      </c>
      <c r="D746" s="12" t="s">
        <v>40</v>
      </c>
      <c r="E746" s="12" t="s">
        <v>40</v>
      </c>
      <c r="F746" s="12"/>
      <c r="G746" s="12"/>
      <c r="H746" s="12"/>
      <c r="I746" s="12"/>
      <c r="J746" s="12"/>
      <c r="K746" s="12"/>
      <c r="L746" s="12">
        <v>96000</v>
      </c>
      <c r="M746" s="15">
        <f t="shared" si="151"/>
        <v>2</v>
      </c>
      <c r="N746" s="15">
        <f t="shared" si="152"/>
        <v>0</v>
      </c>
      <c r="O746" s="12">
        <v>96000</v>
      </c>
      <c r="P746" s="12">
        <f t="shared" si="149"/>
        <v>8000</v>
      </c>
      <c r="Q746" s="12">
        <f t="shared" si="150"/>
        <v>8000</v>
      </c>
    </row>
    <row r="747" spans="1:17" x14ac:dyDescent="0.3">
      <c r="B747" s="29"/>
      <c r="D747"/>
      <c r="E747"/>
      <c r="F747"/>
      <c r="G747"/>
      <c r="H747"/>
      <c r="I747"/>
      <c r="J747"/>
      <c r="L747" s="14">
        <f>+AVERAGE(L717:L746)</f>
        <v>65073.846363636367</v>
      </c>
      <c r="M747" s="14">
        <f>+AVERAGE(M717:M746)</f>
        <v>4.3043478260869561</v>
      </c>
      <c r="N747" s="14">
        <f>+SUM(N717:N746)</f>
        <v>0</v>
      </c>
      <c r="O747" s="14">
        <f>+AVERAGE(O717:O746)</f>
        <v>58939.271578947366</v>
      </c>
      <c r="P747" s="14">
        <f>+AVERAGE(P717:P746)</f>
        <v>5187.0457246376809</v>
      </c>
      <c r="Q747" s="14">
        <f>+AVERAGE(Q717:Q746)</f>
        <v>4911.6059649122799</v>
      </c>
    </row>
    <row r="748" spans="1:17" x14ac:dyDescent="0.3">
      <c r="D748"/>
      <c r="E748"/>
      <c r="F748"/>
      <c r="G748"/>
      <c r="H748"/>
      <c r="I748"/>
      <c r="J748"/>
      <c r="L748" s="14">
        <f>+STDEV(L717:L746)</f>
        <v>74583.712471686827</v>
      </c>
      <c r="M748" s="14">
        <f>+STDEV(M717:M746)</f>
        <v>2.3244702741347263</v>
      </c>
      <c r="N748" s="17"/>
      <c r="O748" s="14">
        <f>+STDEV(O717:O746)</f>
        <v>50973.810807702823</v>
      </c>
      <c r="P748" s="14">
        <f>+STDEV(P717:P746)</f>
        <v>6176.7890326958332</v>
      </c>
      <c r="Q748" s="14">
        <f>+STDEV(Q717:Q746)</f>
        <v>4247.8175673085689</v>
      </c>
    </row>
    <row r="749" spans="1:17" x14ac:dyDescent="0.3">
      <c r="D749"/>
      <c r="E749"/>
      <c r="F749"/>
      <c r="G749"/>
      <c r="H749"/>
      <c r="I749" s="15"/>
      <c r="J749" s="15"/>
      <c r="K749" s="11" t="s">
        <v>75</v>
      </c>
      <c r="L749" s="14">
        <f>+COUNTIF(L717:L746,0)</f>
        <v>2</v>
      </c>
      <c r="M749" s="14">
        <f>+COUNT(M717:M746)</f>
        <v>23</v>
      </c>
      <c r="P749" s="14">
        <f>+COUNTIF(P717:P746,0)</f>
        <v>3</v>
      </c>
    </row>
    <row r="750" spans="1:17" x14ac:dyDescent="0.3">
      <c r="D750"/>
      <c r="E750"/>
      <c r="F750"/>
      <c r="G750"/>
      <c r="H750"/>
      <c r="I750"/>
      <c r="J750"/>
    </row>
    <row r="751" spans="1:17" x14ac:dyDescent="0.3">
      <c r="A751" s="1">
        <v>1</v>
      </c>
      <c r="B751" s="2" t="s">
        <v>684</v>
      </c>
      <c r="C751" s="3" t="s">
        <v>447</v>
      </c>
      <c r="D751" s="12" t="s">
        <v>40</v>
      </c>
      <c r="E751" s="12" t="s">
        <v>40</v>
      </c>
      <c r="F751" s="12"/>
      <c r="G751" s="12"/>
      <c r="H751" s="12"/>
      <c r="I751" s="12"/>
      <c r="J751" s="12"/>
      <c r="K751" s="12"/>
      <c r="L751" s="12">
        <v>36000</v>
      </c>
      <c r="M751" s="15">
        <f>+IF(D751="X",1,0)+IF(E751="X",1,0)+IF(F751="X",2,0)+IF(G751="X",2,0)+IF(H751="X",3,IF(H751="Y",1.5,0))+IF(I751="X",5,IF(I751="Y",2.5,0))+IF(J751="X1",10,IF(J751="X2",5,IF(J751="X3",3,0)))</f>
        <v>2</v>
      </c>
      <c r="N751" s="15">
        <f>+IF(K751="X",1,0)</f>
        <v>0</v>
      </c>
      <c r="O751" s="12">
        <v>36000</v>
      </c>
      <c r="P751" s="12">
        <f t="shared" ref="P751:P780" si="155">+L751/12</f>
        <v>3000</v>
      </c>
      <c r="Q751" s="12">
        <f t="shared" ref="Q751:Q780" si="156">+O751/12</f>
        <v>3000</v>
      </c>
    </row>
    <row r="752" spans="1:17" x14ac:dyDescent="0.3">
      <c r="A752" s="1">
        <f>+A751+1</f>
        <v>2</v>
      </c>
      <c r="B752" s="4" t="s">
        <v>699</v>
      </c>
      <c r="C752" s="3" t="s">
        <v>447</v>
      </c>
      <c r="D752" s="12" t="s">
        <v>40</v>
      </c>
      <c r="E752" s="12" t="s">
        <v>40</v>
      </c>
      <c r="F752" s="12"/>
      <c r="G752" s="12"/>
      <c r="H752" s="12"/>
      <c r="I752" s="12"/>
      <c r="J752" s="12"/>
      <c r="K752" s="12"/>
      <c r="L752" s="12">
        <v>0</v>
      </c>
      <c r="M752" s="15">
        <f t="shared" ref="M752:M780" si="157">+IF(D752="X",1,0)+IF(E752="X",1,0)+IF(F752="X",2,0)+IF(G752="X",2,0)+IF(H752="X",3,IF(H752="Y",1.5,0))+IF(I752="X",5,IF(I752="Y",2.5,0))+IF(J752="X1",10,IF(J752="X2",5,IF(J752="X3",3,0)))</f>
        <v>2</v>
      </c>
      <c r="N752" s="15">
        <f t="shared" ref="N752:N780" si="158">+IF(K752="X",1,0)</f>
        <v>0</v>
      </c>
      <c r="O752" s="20"/>
      <c r="P752" s="12">
        <f t="shared" si="155"/>
        <v>0</v>
      </c>
      <c r="Q752" s="20"/>
    </row>
    <row r="753" spans="1:17" x14ac:dyDescent="0.3">
      <c r="A753" s="1">
        <f t="shared" ref="A753:A780" si="159">+A752+1</f>
        <v>3</v>
      </c>
      <c r="B753" s="4" t="s">
        <v>700</v>
      </c>
      <c r="C753" s="3" t="s">
        <v>447</v>
      </c>
      <c r="D753" s="12" t="s">
        <v>40</v>
      </c>
      <c r="E753" s="12" t="s">
        <v>40</v>
      </c>
      <c r="F753" s="12"/>
      <c r="G753" s="12"/>
      <c r="H753" s="12"/>
      <c r="I753" s="12"/>
      <c r="J753" s="12"/>
      <c r="K753" s="12"/>
      <c r="L753" s="12">
        <v>0</v>
      </c>
      <c r="M753" s="15">
        <f t="shared" si="157"/>
        <v>2</v>
      </c>
      <c r="N753" s="15">
        <f t="shared" si="158"/>
        <v>0</v>
      </c>
      <c r="O753" s="20"/>
      <c r="P753" s="12">
        <f t="shared" si="155"/>
        <v>0</v>
      </c>
      <c r="Q753" s="20"/>
    </row>
    <row r="754" spans="1:17" x14ac:dyDescent="0.3">
      <c r="A754" s="1">
        <f t="shared" si="159"/>
        <v>4</v>
      </c>
      <c r="B754" s="2" t="s">
        <v>685</v>
      </c>
      <c r="C754" s="3" t="s">
        <v>447</v>
      </c>
      <c r="D754" s="12" t="s">
        <v>40</v>
      </c>
      <c r="E754" s="12" t="s">
        <v>40</v>
      </c>
      <c r="F754" s="12"/>
      <c r="G754" s="12"/>
      <c r="H754" s="12" t="s">
        <v>40</v>
      </c>
      <c r="I754" s="12" t="s">
        <v>40</v>
      </c>
      <c r="J754" s="12"/>
      <c r="K754" s="12"/>
      <c r="L754" s="12">
        <v>10231.65</v>
      </c>
      <c r="M754" s="15">
        <f t="shared" si="157"/>
        <v>10</v>
      </c>
      <c r="N754" s="15">
        <f t="shared" si="158"/>
        <v>0</v>
      </c>
      <c r="O754" s="12">
        <v>10231.65</v>
      </c>
      <c r="P754" s="12">
        <f t="shared" si="155"/>
        <v>852.63749999999993</v>
      </c>
      <c r="Q754" s="12">
        <f t="shared" si="156"/>
        <v>852.63749999999993</v>
      </c>
    </row>
    <row r="755" spans="1:17" x14ac:dyDescent="0.3">
      <c r="A755" s="1">
        <f t="shared" si="159"/>
        <v>5</v>
      </c>
      <c r="B755" s="2" t="s">
        <v>686</v>
      </c>
      <c r="C755" s="3" t="s">
        <v>447</v>
      </c>
      <c r="D755" s="12" t="s">
        <v>40</v>
      </c>
      <c r="E755" s="12" t="s">
        <v>40</v>
      </c>
      <c r="F755" s="12"/>
      <c r="G755" s="12"/>
      <c r="H755" s="12" t="s">
        <v>40</v>
      </c>
      <c r="I755" s="12" t="s">
        <v>40</v>
      </c>
      <c r="J755" s="12"/>
      <c r="K755" s="12"/>
      <c r="L755" s="12">
        <v>102876</v>
      </c>
      <c r="M755" s="15">
        <f t="shared" si="157"/>
        <v>10</v>
      </c>
      <c r="N755" s="15">
        <f t="shared" si="158"/>
        <v>0</v>
      </c>
      <c r="O755" s="12">
        <v>102876</v>
      </c>
      <c r="P755" s="12">
        <f t="shared" si="155"/>
        <v>8573</v>
      </c>
      <c r="Q755" s="12">
        <f t="shared" si="156"/>
        <v>8573</v>
      </c>
    </row>
    <row r="756" spans="1:17" x14ac:dyDescent="0.3">
      <c r="A756" s="1">
        <f t="shared" si="159"/>
        <v>6</v>
      </c>
      <c r="B756" s="4" t="s">
        <v>701</v>
      </c>
      <c r="C756" s="3" t="s">
        <v>447</v>
      </c>
      <c r="D756" s="12" t="s">
        <v>40</v>
      </c>
      <c r="E756" s="12" t="s">
        <v>40</v>
      </c>
      <c r="F756" s="12"/>
      <c r="G756" s="12"/>
      <c r="H756" s="12"/>
      <c r="I756" s="12"/>
      <c r="J756" s="12"/>
      <c r="K756" s="12"/>
      <c r="L756" s="12">
        <v>0</v>
      </c>
      <c r="M756" s="15">
        <f t="shared" si="157"/>
        <v>2</v>
      </c>
      <c r="N756" s="15">
        <f t="shared" si="158"/>
        <v>0</v>
      </c>
      <c r="O756" s="20"/>
      <c r="P756" s="12">
        <f t="shared" si="155"/>
        <v>0</v>
      </c>
      <c r="Q756" s="20"/>
    </row>
    <row r="757" spans="1:17" x14ac:dyDescent="0.3">
      <c r="A757" s="1">
        <f t="shared" si="159"/>
        <v>7</v>
      </c>
      <c r="B757" s="4" t="s">
        <v>702</v>
      </c>
      <c r="C757" s="3" t="s">
        <v>447</v>
      </c>
      <c r="D757" s="50" t="s">
        <v>40</v>
      </c>
      <c r="E757" s="50" t="s">
        <v>40</v>
      </c>
      <c r="F757" s="50"/>
      <c r="G757" s="50"/>
      <c r="H757" s="50" t="s">
        <v>40</v>
      </c>
      <c r="I757" s="50" t="s">
        <v>40</v>
      </c>
      <c r="J757" s="50" t="s">
        <v>897</v>
      </c>
      <c r="K757" s="12"/>
      <c r="L757" s="12">
        <v>182433</v>
      </c>
      <c r="M757" s="15">
        <f t="shared" si="157"/>
        <v>15</v>
      </c>
      <c r="N757" s="15">
        <f t="shared" si="158"/>
        <v>0</v>
      </c>
      <c r="O757" s="20"/>
      <c r="P757" s="12">
        <f t="shared" si="155"/>
        <v>15202.75</v>
      </c>
      <c r="Q757" s="20"/>
    </row>
    <row r="758" spans="1:17" x14ac:dyDescent="0.3">
      <c r="A758" s="1">
        <f t="shared" si="159"/>
        <v>8</v>
      </c>
      <c r="B758" s="4" t="s">
        <v>703</v>
      </c>
      <c r="C758" s="3" t="s">
        <v>447</v>
      </c>
      <c r="D758" s="12" t="s">
        <v>40</v>
      </c>
      <c r="E758" s="12" t="s">
        <v>40</v>
      </c>
      <c r="F758" s="12"/>
      <c r="G758" s="12"/>
      <c r="H758" s="12"/>
      <c r="I758" s="12"/>
      <c r="J758" s="12"/>
      <c r="K758" s="12"/>
      <c r="L758" s="12">
        <v>6000</v>
      </c>
      <c r="M758" s="15">
        <f t="shared" si="157"/>
        <v>2</v>
      </c>
      <c r="N758" s="15">
        <f t="shared" si="158"/>
        <v>0</v>
      </c>
      <c r="O758" s="12">
        <v>6000</v>
      </c>
      <c r="P758" s="12">
        <f t="shared" si="155"/>
        <v>500</v>
      </c>
      <c r="Q758" s="12">
        <f t="shared" si="156"/>
        <v>500</v>
      </c>
    </row>
    <row r="759" spans="1:17" x14ac:dyDescent="0.3">
      <c r="A759" s="1">
        <f t="shared" si="159"/>
        <v>9</v>
      </c>
      <c r="B759" s="4" t="s">
        <v>704</v>
      </c>
      <c r="C759" s="3" t="s">
        <v>447</v>
      </c>
      <c r="D759" s="12" t="s">
        <v>40</v>
      </c>
      <c r="E759" s="12" t="s">
        <v>40</v>
      </c>
      <c r="F759" s="12" t="s">
        <v>40</v>
      </c>
      <c r="G759" s="12"/>
      <c r="H759" s="12" t="s">
        <v>40</v>
      </c>
      <c r="I759" s="12" t="s">
        <v>40</v>
      </c>
      <c r="J759" s="12"/>
      <c r="K759" s="12" t="s">
        <v>40</v>
      </c>
      <c r="L759" s="12">
        <v>40076.400000000001</v>
      </c>
      <c r="M759" s="15">
        <f t="shared" si="157"/>
        <v>12</v>
      </c>
      <c r="N759" s="15">
        <f t="shared" si="158"/>
        <v>1</v>
      </c>
      <c r="O759" s="12">
        <v>40076.400000000001</v>
      </c>
      <c r="P759" s="12">
        <f t="shared" si="155"/>
        <v>3339.7000000000003</v>
      </c>
      <c r="Q759" s="12">
        <f t="shared" si="156"/>
        <v>3339.7000000000003</v>
      </c>
    </row>
    <row r="760" spans="1:17" x14ac:dyDescent="0.3">
      <c r="A760" s="1">
        <f t="shared" si="159"/>
        <v>10</v>
      </c>
      <c r="B760" s="2" t="s">
        <v>687</v>
      </c>
      <c r="C760" s="3" t="s">
        <v>447</v>
      </c>
      <c r="D760" s="12" t="s">
        <v>40</v>
      </c>
      <c r="E760" s="12" t="s">
        <v>40</v>
      </c>
      <c r="F760" s="12"/>
      <c r="G760" s="12"/>
      <c r="H760" s="12"/>
      <c r="I760" s="12"/>
      <c r="J760" s="12"/>
      <c r="K760" s="12"/>
      <c r="L760" s="12">
        <v>18000</v>
      </c>
      <c r="M760" s="15">
        <f t="shared" si="157"/>
        <v>2</v>
      </c>
      <c r="N760" s="15">
        <f t="shared" si="158"/>
        <v>0</v>
      </c>
      <c r="O760" s="12">
        <v>18000</v>
      </c>
      <c r="P760" s="12">
        <f t="shared" si="155"/>
        <v>1500</v>
      </c>
      <c r="Q760" s="12">
        <f t="shared" si="156"/>
        <v>1500</v>
      </c>
    </row>
    <row r="761" spans="1:17" x14ac:dyDescent="0.3">
      <c r="A761" s="1">
        <f t="shared" si="159"/>
        <v>11</v>
      </c>
      <c r="B761" s="2" t="s">
        <v>688</v>
      </c>
      <c r="C761" s="3" t="s">
        <v>447</v>
      </c>
      <c r="D761" s="12" t="s">
        <v>40</v>
      </c>
      <c r="E761" s="12" t="s">
        <v>40</v>
      </c>
      <c r="F761" s="12"/>
      <c r="G761" s="12"/>
      <c r="H761" s="12" t="s">
        <v>40</v>
      </c>
      <c r="I761" s="12"/>
      <c r="J761" s="12"/>
      <c r="K761" s="12"/>
      <c r="L761" s="12">
        <v>39000</v>
      </c>
      <c r="M761" s="15">
        <f t="shared" si="157"/>
        <v>5</v>
      </c>
      <c r="N761" s="15">
        <f t="shared" si="158"/>
        <v>0</v>
      </c>
      <c r="O761" s="12">
        <v>39000</v>
      </c>
      <c r="P761" s="12">
        <f t="shared" si="155"/>
        <v>3250</v>
      </c>
      <c r="Q761" s="12">
        <f t="shared" si="156"/>
        <v>3250</v>
      </c>
    </row>
    <row r="762" spans="1:17" x14ac:dyDescent="0.3">
      <c r="A762" s="1">
        <f t="shared" si="159"/>
        <v>12</v>
      </c>
      <c r="B762" s="2">
        <v>80056117</v>
      </c>
      <c r="C762" s="3" t="s">
        <v>447</v>
      </c>
      <c r="D762" s="12" t="s">
        <v>40</v>
      </c>
      <c r="E762" s="12" t="s">
        <v>40</v>
      </c>
      <c r="F762" s="12"/>
      <c r="G762" s="12"/>
      <c r="H762" s="12"/>
      <c r="I762" s="12"/>
      <c r="J762" s="12"/>
      <c r="K762" s="12"/>
      <c r="L762" s="12">
        <v>0</v>
      </c>
      <c r="M762" s="15">
        <f t="shared" si="157"/>
        <v>2</v>
      </c>
      <c r="N762" s="15">
        <f t="shared" si="158"/>
        <v>0</v>
      </c>
      <c r="O762" s="20"/>
      <c r="P762" s="12">
        <f t="shared" si="155"/>
        <v>0</v>
      </c>
      <c r="Q762" s="20"/>
    </row>
    <row r="763" spans="1:17" x14ac:dyDescent="0.3">
      <c r="A763" s="1">
        <f t="shared" si="159"/>
        <v>13</v>
      </c>
      <c r="B763" s="2" t="s">
        <v>689</v>
      </c>
      <c r="C763" s="3" t="s">
        <v>447</v>
      </c>
      <c r="D763" s="12" t="s">
        <v>40</v>
      </c>
      <c r="E763" s="12" t="s">
        <v>40</v>
      </c>
      <c r="F763" s="12"/>
      <c r="G763" s="12"/>
      <c r="H763" s="12"/>
      <c r="I763" s="12"/>
      <c r="J763" s="12"/>
      <c r="K763" s="12"/>
      <c r="L763" s="12">
        <v>18000</v>
      </c>
      <c r="M763" s="15">
        <f t="shared" si="157"/>
        <v>2</v>
      </c>
      <c r="N763" s="15">
        <f t="shared" si="158"/>
        <v>0</v>
      </c>
      <c r="O763" s="12">
        <v>18000</v>
      </c>
      <c r="P763" s="12">
        <f t="shared" si="155"/>
        <v>1500</v>
      </c>
      <c r="Q763" s="12">
        <f t="shared" si="156"/>
        <v>1500</v>
      </c>
    </row>
    <row r="764" spans="1:17" x14ac:dyDescent="0.3">
      <c r="A764" s="1">
        <f t="shared" si="159"/>
        <v>14</v>
      </c>
      <c r="B764" s="2" t="s">
        <v>690</v>
      </c>
      <c r="C764" s="3" t="s">
        <v>447</v>
      </c>
      <c r="D764" s="12" t="s">
        <v>40</v>
      </c>
      <c r="E764" s="12" t="s">
        <v>40</v>
      </c>
      <c r="F764" s="12" t="s">
        <v>40</v>
      </c>
      <c r="G764" s="12" t="s">
        <v>40</v>
      </c>
      <c r="H764" s="12"/>
      <c r="I764" s="12"/>
      <c r="J764" s="12"/>
      <c r="K764" s="12"/>
      <c r="L764" s="12">
        <v>24000</v>
      </c>
      <c r="M764" s="15">
        <f t="shared" si="157"/>
        <v>6</v>
      </c>
      <c r="N764" s="15">
        <f t="shared" si="158"/>
        <v>0</v>
      </c>
      <c r="O764" s="12">
        <v>24000</v>
      </c>
      <c r="P764" s="12">
        <f t="shared" si="155"/>
        <v>2000</v>
      </c>
      <c r="Q764" s="12">
        <f t="shared" si="156"/>
        <v>2000</v>
      </c>
    </row>
    <row r="765" spans="1:17" x14ac:dyDescent="0.3">
      <c r="A765" s="1">
        <f t="shared" si="159"/>
        <v>15</v>
      </c>
      <c r="B765" s="2" t="s">
        <v>691</v>
      </c>
      <c r="C765" s="3" t="s">
        <v>447</v>
      </c>
      <c r="D765" s="12" t="s">
        <v>40</v>
      </c>
      <c r="E765" s="12" t="s">
        <v>40</v>
      </c>
      <c r="F765" s="12"/>
      <c r="G765" s="12"/>
      <c r="H765" s="12"/>
      <c r="I765" s="12"/>
      <c r="J765" s="12"/>
      <c r="K765" s="12"/>
      <c r="L765" s="12">
        <v>12300</v>
      </c>
      <c r="M765" s="15">
        <f t="shared" si="157"/>
        <v>2</v>
      </c>
      <c r="N765" s="15">
        <f t="shared" si="158"/>
        <v>0</v>
      </c>
      <c r="O765" s="12">
        <v>12300</v>
      </c>
      <c r="P765" s="12">
        <f t="shared" si="155"/>
        <v>1025</v>
      </c>
      <c r="Q765" s="12">
        <f t="shared" si="156"/>
        <v>1025</v>
      </c>
    </row>
    <row r="766" spans="1:17" x14ac:dyDescent="0.3">
      <c r="A766" s="1">
        <f t="shared" si="159"/>
        <v>16</v>
      </c>
      <c r="B766" s="2" t="s">
        <v>692</v>
      </c>
      <c r="C766" s="3" t="s">
        <v>447</v>
      </c>
      <c r="D766" s="12" t="s">
        <v>40</v>
      </c>
      <c r="E766" s="12" t="s">
        <v>40</v>
      </c>
      <c r="F766" s="12"/>
      <c r="G766" s="12"/>
      <c r="H766" s="12"/>
      <c r="I766" s="12"/>
      <c r="J766" s="12"/>
      <c r="K766" s="12"/>
      <c r="L766" s="12">
        <v>0</v>
      </c>
      <c r="M766" s="15">
        <f t="shared" si="157"/>
        <v>2</v>
      </c>
      <c r="N766" s="15">
        <f t="shared" si="158"/>
        <v>0</v>
      </c>
      <c r="O766" s="20"/>
      <c r="P766" s="12">
        <f t="shared" si="155"/>
        <v>0</v>
      </c>
      <c r="Q766" s="20"/>
    </row>
    <row r="767" spans="1:17" x14ac:dyDescent="0.3">
      <c r="A767" s="1">
        <f t="shared" si="159"/>
        <v>17</v>
      </c>
      <c r="B767" s="2" t="s">
        <v>693</v>
      </c>
      <c r="C767" s="3" t="s">
        <v>447</v>
      </c>
      <c r="D767" s="12" t="s">
        <v>40</v>
      </c>
      <c r="E767" s="12" t="s">
        <v>40</v>
      </c>
      <c r="F767" s="12"/>
      <c r="G767" s="12"/>
      <c r="H767" s="12"/>
      <c r="I767" s="12"/>
      <c r="J767" s="12"/>
      <c r="K767" s="12"/>
      <c r="L767" s="12">
        <v>0</v>
      </c>
      <c r="M767" s="15">
        <f t="shared" si="157"/>
        <v>2</v>
      </c>
      <c r="N767" s="15">
        <f t="shared" si="158"/>
        <v>0</v>
      </c>
      <c r="O767" s="20"/>
      <c r="P767" s="12">
        <f t="shared" si="155"/>
        <v>0</v>
      </c>
      <c r="Q767" s="20"/>
    </row>
    <row r="768" spans="1:17" x14ac:dyDescent="0.3">
      <c r="A768" s="1">
        <f t="shared" si="159"/>
        <v>18</v>
      </c>
      <c r="B768" s="2">
        <v>29535812</v>
      </c>
      <c r="C768" s="3" t="s">
        <v>447</v>
      </c>
      <c r="D768" s="12" t="s">
        <v>40</v>
      </c>
      <c r="E768" s="12" t="s">
        <v>40</v>
      </c>
      <c r="F768" s="12" t="s">
        <v>40</v>
      </c>
      <c r="G768" s="12" t="s">
        <v>40</v>
      </c>
      <c r="H768" s="12"/>
      <c r="I768" s="12"/>
      <c r="J768" s="12"/>
      <c r="K768" s="12"/>
      <c r="L768" s="12">
        <v>24000</v>
      </c>
      <c r="M768" s="15">
        <f t="shared" si="157"/>
        <v>6</v>
      </c>
      <c r="N768" s="15">
        <f t="shared" si="158"/>
        <v>0</v>
      </c>
      <c r="O768" s="12">
        <v>24000</v>
      </c>
      <c r="P768" s="12">
        <f t="shared" si="155"/>
        <v>2000</v>
      </c>
      <c r="Q768" s="12">
        <f t="shared" si="156"/>
        <v>2000</v>
      </c>
    </row>
    <row r="769" spans="1:17" x14ac:dyDescent="0.3">
      <c r="A769" s="1">
        <f t="shared" si="159"/>
        <v>19</v>
      </c>
      <c r="B769" s="2" t="s">
        <v>694</v>
      </c>
      <c r="C769" s="3" t="s">
        <v>447</v>
      </c>
      <c r="D769" s="12" t="s">
        <v>40</v>
      </c>
      <c r="E769" s="12" t="s">
        <v>40</v>
      </c>
      <c r="F769" s="12"/>
      <c r="G769" s="12"/>
      <c r="H769" s="12"/>
      <c r="I769" s="12"/>
      <c r="J769" s="12"/>
      <c r="K769" s="12"/>
      <c r="L769" s="12">
        <v>19800</v>
      </c>
      <c r="M769" s="15">
        <f t="shared" si="157"/>
        <v>2</v>
      </c>
      <c r="N769" s="15">
        <f t="shared" si="158"/>
        <v>0</v>
      </c>
      <c r="O769" s="12">
        <v>19800</v>
      </c>
      <c r="P769" s="12">
        <f t="shared" si="155"/>
        <v>1650</v>
      </c>
      <c r="Q769" s="12">
        <f t="shared" si="156"/>
        <v>1650</v>
      </c>
    </row>
    <row r="770" spans="1:17" x14ac:dyDescent="0.3">
      <c r="A770" s="1">
        <f t="shared" si="159"/>
        <v>20</v>
      </c>
      <c r="B770" s="2" t="s">
        <v>695</v>
      </c>
      <c r="C770" s="3" t="s">
        <v>447</v>
      </c>
      <c r="D770" s="12" t="s">
        <v>40</v>
      </c>
      <c r="E770" s="12" t="s">
        <v>40</v>
      </c>
      <c r="F770" s="12"/>
      <c r="G770" s="12"/>
      <c r="H770" s="12"/>
      <c r="I770" s="12"/>
      <c r="J770" s="12"/>
      <c r="K770" s="12"/>
      <c r="L770" s="12">
        <v>18000</v>
      </c>
      <c r="M770" s="15">
        <f t="shared" si="157"/>
        <v>2</v>
      </c>
      <c r="N770" s="15">
        <f t="shared" si="158"/>
        <v>0</v>
      </c>
      <c r="O770" s="12">
        <v>18000</v>
      </c>
      <c r="P770" s="12">
        <f t="shared" si="155"/>
        <v>1500</v>
      </c>
      <c r="Q770" s="12">
        <f t="shared" si="156"/>
        <v>1500</v>
      </c>
    </row>
    <row r="771" spans="1:17" x14ac:dyDescent="0.3">
      <c r="A771" s="1">
        <f t="shared" si="159"/>
        <v>21</v>
      </c>
      <c r="B771" s="2">
        <v>10561029</v>
      </c>
      <c r="C771" s="3" t="s">
        <v>447</v>
      </c>
      <c r="D771" s="12" t="s">
        <v>40</v>
      </c>
      <c r="E771" s="12" t="s">
        <v>40</v>
      </c>
      <c r="F771" s="12"/>
      <c r="G771" s="12"/>
      <c r="H771" s="12"/>
      <c r="I771" s="12"/>
      <c r="J771" s="12"/>
      <c r="K771" s="12"/>
      <c r="L771" s="12">
        <v>24000</v>
      </c>
      <c r="M771" s="15">
        <f t="shared" si="157"/>
        <v>2</v>
      </c>
      <c r="N771" s="15">
        <f t="shared" si="158"/>
        <v>0</v>
      </c>
      <c r="O771" s="12">
        <v>24000</v>
      </c>
      <c r="P771" s="12">
        <f t="shared" si="155"/>
        <v>2000</v>
      </c>
      <c r="Q771" s="12">
        <f t="shared" si="156"/>
        <v>2000</v>
      </c>
    </row>
    <row r="772" spans="1:17" x14ac:dyDescent="0.3">
      <c r="A772" s="1">
        <f t="shared" si="159"/>
        <v>22</v>
      </c>
      <c r="B772" s="2">
        <v>22093337</v>
      </c>
      <c r="C772" s="3" t="s">
        <v>447</v>
      </c>
      <c r="D772" s="12" t="s">
        <v>40</v>
      </c>
      <c r="E772" s="12" t="s">
        <v>40</v>
      </c>
      <c r="F772" s="12"/>
      <c r="G772" s="12"/>
      <c r="H772" s="12"/>
      <c r="I772" s="12"/>
      <c r="J772" s="12"/>
      <c r="K772" s="12"/>
      <c r="L772" s="12">
        <v>0</v>
      </c>
      <c r="M772" s="15">
        <f t="shared" si="157"/>
        <v>2</v>
      </c>
      <c r="N772" s="15">
        <f t="shared" si="158"/>
        <v>0</v>
      </c>
      <c r="O772" s="20"/>
      <c r="P772" s="12">
        <f t="shared" si="155"/>
        <v>0</v>
      </c>
      <c r="Q772" s="20"/>
    </row>
    <row r="773" spans="1:17" x14ac:dyDescent="0.3">
      <c r="A773" s="1">
        <f t="shared" si="159"/>
        <v>23</v>
      </c>
      <c r="B773" s="2">
        <v>15962311</v>
      </c>
      <c r="C773" s="3" t="s">
        <v>447</v>
      </c>
      <c r="D773" s="12" t="s">
        <v>40</v>
      </c>
      <c r="E773" s="12" t="s">
        <v>40</v>
      </c>
      <c r="F773" s="12"/>
      <c r="G773" s="12"/>
      <c r="H773" s="12"/>
      <c r="I773" s="12"/>
      <c r="J773" s="12"/>
      <c r="K773" s="12"/>
      <c r="L773" s="12">
        <v>18000</v>
      </c>
      <c r="M773" s="15">
        <f t="shared" si="157"/>
        <v>2</v>
      </c>
      <c r="N773" s="15">
        <f t="shared" si="158"/>
        <v>0</v>
      </c>
      <c r="O773" s="12">
        <v>18000</v>
      </c>
      <c r="P773" s="12">
        <f t="shared" si="155"/>
        <v>1500</v>
      </c>
      <c r="Q773" s="12">
        <f t="shared" si="156"/>
        <v>1500</v>
      </c>
    </row>
    <row r="774" spans="1:17" x14ac:dyDescent="0.3">
      <c r="A774" s="1">
        <f t="shared" si="159"/>
        <v>24</v>
      </c>
      <c r="B774" s="10"/>
      <c r="C774" s="9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6"/>
      <c r="O774" s="13"/>
      <c r="P774" s="13"/>
      <c r="Q774" s="13"/>
    </row>
    <row r="775" spans="1:17" x14ac:dyDescent="0.3">
      <c r="A775" s="1">
        <f t="shared" si="159"/>
        <v>25</v>
      </c>
      <c r="B775" s="2" t="s">
        <v>696</v>
      </c>
      <c r="C775" s="3" t="s">
        <v>447</v>
      </c>
      <c r="D775" s="12" t="s">
        <v>40</v>
      </c>
      <c r="E775" s="12" t="s">
        <v>40</v>
      </c>
      <c r="F775" s="12"/>
      <c r="G775" s="12"/>
      <c r="H775" s="12"/>
      <c r="I775" s="12"/>
      <c r="J775" s="12"/>
      <c r="K775" s="12"/>
      <c r="L775" s="12">
        <v>12000</v>
      </c>
      <c r="M775" s="15">
        <f t="shared" si="157"/>
        <v>2</v>
      </c>
      <c r="N775" s="15">
        <f t="shared" si="158"/>
        <v>0</v>
      </c>
      <c r="O775" s="12">
        <v>12000</v>
      </c>
      <c r="P775" s="12">
        <f t="shared" si="155"/>
        <v>1000</v>
      </c>
      <c r="Q775" s="12">
        <f t="shared" si="156"/>
        <v>1000</v>
      </c>
    </row>
    <row r="776" spans="1:17" x14ac:dyDescent="0.3">
      <c r="A776" s="1">
        <f t="shared" si="159"/>
        <v>26</v>
      </c>
      <c r="B776" s="2">
        <v>10796069</v>
      </c>
      <c r="C776" s="3" t="s">
        <v>447</v>
      </c>
      <c r="D776" s="12" t="s">
        <v>40</v>
      </c>
      <c r="E776" s="12" t="s">
        <v>40</v>
      </c>
      <c r="F776" s="12"/>
      <c r="G776" s="12"/>
      <c r="H776" s="12"/>
      <c r="I776" s="12"/>
      <c r="J776" s="12"/>
      <c r="K776" s="12"/>
      <c r="L776" s="12">
        <v>12000</v>
      </c>
      <c r="M776" s="15">
        <f t="shared" si="157"/>
        <v>2</v>
      </c>
      <c r="N776" s="15">
        <f t="shared" si="158"/>
        <v>0</v>
      </c>
      <c r="O776" s="12">
        <v>12000</v>
      </c>
      <c r="P776" s="12">
        <f t="shared" si="155"/>
        <v>1000</v>
      </c>
      <c r="Q776" s="12">
        <f t="shared" si="156"/>
        <v>1000</v>
      </c>
    </row>
    <row r="777" spans="1:17" x14ac:dyDescent="0.3">
      <c r="A777" s="1">
        <f t="shared" si="159"/>
        <v>27</v>
      </c>
      <c r="B777" s="2">
        <v>15627432</v>
      </c>
      <c r="C777" s="3" t="s">
        <v>447</v>
      </c>
      <c r="D777" s="12" t="s">
        <v>40</v>
      </c>
      <c r="E777" s="12" t="s">
        <v>40</v>
      </c>
      <c r="F777" s="12"/>
      <c r="G777" s="12"/>
      <c r="H777" s="12"/>
      <c r="I777" s="12"/>
      <c r="J777" s="12"/>
      <c r="K777" s="12"/>
      <c r="L777" s="12">
        <v>36000</v>
      </c>
      <c r="M777" s="15">
        <f t="shared" si="157"/>
        <v>2</v>
      </c>
      <c r="N777" s="15">
        <f t="shared" si="158"/>
        <v>0</v>
      </c>
      <c r="O777" s="12">
        <v>36000</v>
      </c>
      <c r="P777" s="12">
        <f t="shared" si="155"/>
        <v>3000</v>
      </c>
      <c r="Q777" s="12">
        <f t="shared" si="156"/>
        <v>3000</v>
      </c>
    </row>
    <row r="778" spans="1:17" x14ac:dyDescent="0.3">
      <c r="A778" s="1">
        <f t="shared" si="159"/>
        <v>28</v>
      </c>
      <c r="B778" s="2">
        <v>10036631</v>
      </c>
      <c r="C778" s="3" t="s">
        <v>447</v>
      </c>
      <c r="D778" s="12" t="s">
        <v>40</v>
      </c>
      <c r="E778" s="12" t="s">
        <v>40</v>
      </c>
      <c r="F778" s="12"/>
      <c r="G778" s="12"/>
      <c r="H778" s="12" t="s">
        <v>40</v>
      </c>
      <c r="I778" s="12"/>
      <c r="J778" s="12"/>
      <c r="K778" s="12"/>
      <c r="L778" s="12">
        <v>41760</v>
      </c>
      <c r="M778" s="15">
        <f t="shared" si="157"/>
        <v>5</v>
      </c>
      <c r="N778" s="15">
        <f t="shared" si="158"/>
        <v>0</v>
      </c>
      <c r="O778" s="12">
        <v>41760</v>
      </c>
      <c r="P778" s="12">
        <f t="shared" si="155"/>
        <v>3480</v>
      </c>
      <c r="Q778" s="12">
        <f t="shared" si="156"/>
        <v>3480</v>
      </c>
    </row>
    <row r="779" spans="1:17" x14ac:dyDescent="0.3">
      <c r="A779" s="1">
        <f t="shared" si="159"/>
        <v>29</v>
      </c>
      <c r="B779" s="2" t="s">
        <v>697</v>
      </c>
      <c r="C779" s="3" t="s">
        <v>447</v>
      </c>
      <c r="D779" s="12" t="s">
        <v>40</v>
      </c>
      <c r="E779" s="12" t="s">
        <v>40</v>
      </c>
      <c r="F779" s="12"/>
      <c r="G779" s="12"/>
      <c r="H779" s="12"/>
      <c r="I779" s="12"/>
      <c r="J779" s="12"/>
      <c r="K779" s="12"/>
      <c r="L779" s="12">
        <v>0</v>
      </c>
      <c r="M779" s="15">
        <f t="shared" si="157"/>
        <v>2</v>
      </c>
      <c r="N779" s="15">
        <f t="shared" si="158"/>
        <v>0</v>
      </c>
      <c r="O779" s="20"/>
      <c r="P779" s="12">
        <f t="shared" si="155"/>
        <v>0</v>
      </c>
      <c r="Q779" s="20"/>
    </row>
    <row r="780" spans="1:17" x14ac:dyDescent="0.3">
      <c r="A780" s="1">
        <f t="shared" si="159"/>
        <v>30</v>
      </c>
      <c r="B780" s="2" t="s">
        <v>698</v>
      </c>
      <c r="C780" s="3" t="s">
        <v>447</v>
      </c>
      <c r="D780" s="12" t="s">
        <v>40</v>
      </c>
      <c r="E780" s="12" t="s">
        <v>40</v>
      </c>
      <c r="F780" s="12"/>
      <c r="G780" s="12"/>
      <c r="H780" s="12"/>
      <c r="I780" s="12"/>
      <c r="J780" s="12"/>
      <c r="K780" s="12"/>
      <c r="L780" s="12">
        <v>36000</v>
      </c>
      <c r="M780" s="15">
        <f t="shared" si="157"/>
        <v>2</v>
      </c>
      <c r="N780" s="15">
        <f t="shared" si="158"/>
        <v>0</v>
      </c>
      <c r="O780" s="12">
        <v>36000</v>
      </c>
      <c r="P780" s="12">
        <f t="shared" si="155"/>
        <v>3000</v>
      </c>
      <c r="Q780" s="12">
        <f t="shared" si="156"/>
        <v>3000</v>
      </c>
    </row>
    <row r="781" spans="1:17" x14ac:dyDescent="0.3">
      <c r="B781" s="29"/>
      <c r="D781"/>
      <c r="E781"/>
      <c r="F781"/>
      <c r="G781"/>
      <c r="H781"/>
      <c r="I781"/>
      <c r="J781"/>
      <c r="L781" s="14">
        <f>+AVERAGE(L751:L780)</f>
        <v>25188.86379310345</v>
      </c>
      <c r="M781" s="14">
        <f>+AVERAGE(M751:M780)</f>
        <v>3.8275862068965516</v>
      </c>
      <c r="N781" s="14">
        <f>+SUM(N751:N780)</f>
        <v>1</v>
      </c>
      <c r="O781" s="14">
        <f>+AVERAGE(O751:O780)</f>
        <v>27402.202500000003</v>
      </c>
      <c r="P781" s="14">
        <f>+AVERAGE(P751:P780)</f>
        <v>2099.0719827586208</v>
      </c>
      <c r="Q781" s="14">
        <f>+AVERAGE(Q751:Q780)</f>
        <v>2283.5168750000003</v>
      </c>
    </row>
    <row r="782" spans="1:17" x14ac:dyDescent="0.3">
      <c r="D782"/>
      <c r="E782"/>
      <c r="F782"/>
      <c r="G782"/>
      <c r="H782"/>
      <c r="I782"/>
      <c r="J782"/>
      <c r="L782" s="14">
        <f>+STDEV(L751:L780)</f>
        <v>36946.107492267169</v>
      </c>
      <c r="M782" s="14">
        <f>+STDEV(M751:M780)</f>
        <v>3.5362304942373854</v>
      </c>
      <c r="N782" s="17"/>
      <c r="O782" s="14">
        <f>+STDEV(O751:O780)</f>
        <v>20927.053049836024</v>
      </c>
      <c r="P782" s="14">
        <f>+STDEV(P751:P780)</f>
        <v>3078.8422910222635</v>
      </c>
      <c r="Q782" s="14">
        <f>+STDEV(Q751:Q780)</f>
        <v>1743.9210874863356</v>
      </c>
    </row>
    <row r="783" spans="1:17" x14ac:dyDescent="0.3">
      <c r="D783"/>
      <c r="E783"/>
      <c r="F783"/>
      <c r="G783"/>
      <c r="H783"/>
      <c r="I783" s="15"/>
      <c r="J783" s="15"/>
      <c r="K783" s="11" t="s">
        <v>75</v>
      </c>
      <c r="L783" s="14">
        <f>+COUNTIF(L751:L780,0)</f>
        <v>8</v>
      </c>
      <c r="M783" s="14">
        <f>+COUNT(M751:M780)</f>
        <v>29</v>
      </c>
      <c r="P783" s="14">
        <f>+COUNTIF(P751:P780,0)</f>
        <v>8</v>
      </c>
    </row>
    <row r="784" spans="1:17" x14ac:dyDescent="0.3">
      <c r="D784"/>
      <c r="E784"/>
      <c r="F784"/>
      <c r="G784"/>
      <c r="H784"/>
      <c r="I784"/>
      <c r="J784"/>
    </row>
    <row r="785" spans="1:20" x14ac:dyDescent="0.3">
      <c r="A785" s="1">
        <v>1</v>
      </c>
      <c r="B785" s="2">
        <v>16484970</v>
      </c>
      <c r="C785" s="3" t="s">
        <v>448</v>
      </c>
      <c r="D785" s="50" t="s">
        <v>40</v>
      </c>
      <c r="E785" s="50" t="s">
        <v>40</v>
      </c>
      <c r="F785" s="50"/>
      <c r="G785" s="50"/>
      <c r="H785" s="50" t="s">
        <v>40</v>
      </c>
      <c r="I785" s="50" t="s">
        <v>40</v>
      </c>
      <c r="J785" s="50" t="s">
        <v>897</v>
      </c>
      <c r="K785" s="12" t="s">
        <v>40</v>
      </c>
      <c r="L785" s="12">
        <v>36000</v>
      </c>
      <c r="M785" s="15">
        <f>+IF(D785="X",1,0)+IF(E785="X",1,0)+IF(F785="X",2,0)+IF(G785="X",2,0)+IF(H785="X",3,IF(H785="Y",1.5,0))+IF(I785="X",5,IF(I785="Y",2.5,0))+IF(J785="X1",10,IF(J785="X2",5,IF(J785="X3",3,0)))</f>
        <v>15</v>
      </c>
      <c r="N785" s="15">
        <f>+IF(K785="X",1,0)</f>
        <v>1</v>
      </c>
      <c r="O785" s="12">
        <v>36000</v>
      </c>
      <c r="P785" s="12">
        <f t="shared" ref="P785:P813" si="160">+L785/12</f>
        <v>3000</v>
      </c>
      <c r="Q785" s="12">
        <f t="shared" ref="Q785:Q813" si="161">+O785/12</f>
        <v>3000</v>
      </c>
    </row>
    <row r="786" spans="1:20" x14ac:dyDescent="0.3">
      <c r="A786" s="1">
        <f>+A785+1</f>
        <v>2</v>
      </c>
      <c r="B786" s="2" t="s">
        <v>705</v>
      </c>
      <c r="C786" s="3" t="s">
        <v>448</v>
      </c>
      <c r="D786" s="12" t="s">
        <v>40</v>
      </c>
      <c r="E786" s="12" t="s">
        <v>40</v>
      </c>
      <c r="F786" s="12"/>
      <c r="G786" s="12"/>
      <c r="H786" s="12" t="s">
        <v>40</v>
      </c>
      <c r="I786" s="12"/>
      <c r="J786" s="12"/>
      <c r="K786" s="12"/>
      <c r="L786" s="12">
        <v>62300</v>
      </c>
      <c r="M786" s="15">
        <f t="shared" ref="M786:M813" si="162">+IF(D786="X",1,0)+IF(E786="X",1,0)+IF(F786="X",2,0)+IF(G786="X",2,0)+IF(H786="X",3,IF(H786="Y",1.5,0))+IF(I786="X",5,IF(I786="Y",2.5,0))+IF(J786="X1",10,IF(J786="X2",5,IF(J786="X3",3,0)))</f>
        <v>5</v>
      </c>
      <c r="N786" s="15">
        <f t="shared" ref="N786:N813" si="163">+IF(K786="X",1,0)</f>
        <v>0</v>
      </c>
      <c r="O786" s="12">
        <v>62300</v>
      </c>
      <c r="P786" s="12">
        <f t="shared" si="160"/>
        <v>5191.666666666667</v>
      </c>
      <c r="Q786" s="12">
        <f t="shared" si="161"/>
        <v>5191.666666666667</v>
      </c>
    </row>
    <row r="787" spans="1:20" x14ac:dyDescent="0.3">
      <c r="A787" s="1">
        <f t="shared" ref="A787:A814" si="164">+A786+1</f>
        <v>3</v>
      </c>
      <c r="B787" s="2" t="s">
        <v>706</v>
      </c>
      <c r="C787" s="3" t="s">
        <v>448</v>
      </c>
      <c r="D787" s="12" t="s">
        <v>40</v>
      </c>
      <c r="E787" s="12" t="s">
        <v>40</v>
      </c>
      <c r="F787" s="12"/>
      <c r="G787" s="12"/>
      <c r="H787" s="12" t="s">
        <v>40</v>
      </c>
      <c r="I787" s="12" t="s">
        <v>40</v>
      </c>
      <c r="J787" s="12"/>
      <c r="K787" s="12" t="s">
        <v>40</v>
      </c>
      <c r="L787" s="12">
        <v>44842</v>
      </c>
      <c r="M787" s="15">
        <f t="shared" si="162"/>
        <v>10</v>
      </c>
      <c r="N787" s="15">
        <f t="shared" si="163"/>
        <v>1</v>
      </c>
      <c r="O787" s="12">
        <v>44842</v>
      </c>
      <c r="P787" s="12">
        <f t="shared" si="160"/>
        <v>3736.8333333333335</v>
      </c>
      <c r="Q787" s="12">
        <f t="shared" si="161"/>
        <v>3736.8333333333335</v>
      </c>
      <c r="S787" t="s">
        <v>707</v>
      </c>
      <c r="T787" t="s">
        <v>151</v>
      </c>
    </row>
    <row r="788" spans="1:20" x14ac:dyDescent="0.3">
      <c r="A788" s="1">
        <f t="shared" si="164"/>
        <v>4</v>
      </c>
      <c r="B788" s="2" t="s">
        <v>708</v>
      </c>
      <c r="C788" s="3" t="s">
        <v>448</v>
      </c>
      <c r="D788" s="12" t="s">
        <v>40</v>
      </c>
      <c r="E788" s="12" t="s">
        <v>40</v>
      </c>
      <c r="F788" s="12"/>
      <c r="G788" s="12"/>
      <c r="H788" s="12" t="s">
        <v>40</v>
      </c>
      <c r="I788" s="12"/>
      <c r="J788" s="12"/>
      <c r="K788" s="12"/>
      <c r="L788" s="12">
        <v>161901.34</v>
      </c>
      <c r="M788" s="15">
        <f t="shared" si="162"/>
        <v>5</v>
      </c>
      <c r="N788" s="15">
        <f t="shared" si="163"/>
        <v>0</v>
      </c>
      <c r="O788" s="12">
        <v>161901.34</v>
      </c>
      <c r="P788" s="12">
        <f t="shared" si="160"/>
        <v>13491.778333333334</v>
      </c>
      <c r="Q788" s="12">
        <f t="shared" si="161"/>
        <v>13491.778333333334</v>
      </c>
    </row>
    <row r="789" spans="1:20" x14ac:dyDescent="0.3">
      <c r="A789" s="1">
        <f t="shared" si="164"/>
        <v>5</v>
      </c>
      <c r="B789" s="2" t="s">
        <v>709</v>
      </c>
      <c r="C789" s="3" t="s">
        <v>448</v>
      </c>
      <c r="D789" s="12" t="s">
        <v>40</v>
      </c>
      <c r="E789" s="12" t="s">
        <v>40</v>
      </c>
      <c r="F789" s="12" t="s">
        <v>40</v>
      </c>
      <c r="G789" s="12"/>
      <c r="H789" s="12" t="s">
        <v>40</v>
      </c>
      <c r="I789" s="12"/>
      <c r="J789" s="12"/>
      <c r="K789" s="12"/>
      <c r="L789" s="12">
        <v>341673</v>
      </c>
      <c r="M789" s="15">
        <f t="shared" si="162"/>
        <v>7</v>
      </c>
      <c r="N789" s="15">
        <f t="shared" si="163"/>
        <v>0</v>
      </c>
      <c r="O789" s="12">
        <v>341673</v>
      </c>
      <c r="P789" s="12">
        <f t="shared" si="160"/>
        <v>28472.75</v>
      </c>
      <c r="Q789" s="12">
        <f t="shared" si="161"/>
        <v>28472.75</v>
      </c>
    </row>
    <row r="790" spans="1:20" x14ac:dyDescent="0.3">
      <c r="A790" s="1">
        <f t="shared" si="164"/>
        <v>6</v>
      </c>
      <c r="B790" s="2" t="s">
        <v>710</v>
      </c>
      <c r="C790" s="3" t="s">
        <v>448</v>
      </c>
      <c r="D790" s="12" t="s">
        <v>40</v>
      </c>
      <c r="E790" s="12" t="s">
        <v>40</v>
      </c>
      <c r="F790" s="12" t="s">
        <v>40</v>
      </c>
      <c r="G790" s="12" t="s">
        <v>40</v>
      </c>
      <c r="H790" s="12"/>
      <c r="I790" s="12"/>
      <c r="J790" s="12"/>
      <c r="K790" s="12"/>
      <c r="L790" s="12">
        <v>165768</v>
      </c>
      <c r="M790" s="15">
        <f t="shared" si="162"/>
        <v>6</v>
      </c>
      <c r="N790" s="15">
        <f t="shared" si="163"/>
        <v>0</v>
      </c>
      <c r="O790" s="12">
        <v>165768</v>
      </c>
      <c r="P790" s="12">
        <f t="shared" si="160"/>
        <v>13814</v>
      </c>
      <c r="Q790" s="12">
        <f t="shared" si="161"/>
        <v>13814</v>
      </c>
    </row>
    <row r="791" spans="1:20" x14ac:dyDescent="0.3">
      <c r="A791" s="1">
        <f t="shared" si="164"/>
        <v>7</v>
      </c>
      <c r="B791" s="10"/>
      <c r="C791" s="9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6"/>
      <c r="O791" s="13"/>
      <c r="P791" s="13"/>
      <c r="Q791" s="13"/>
    </row>
    <row r="792" spans="1:20" x14ac:dyDescent="0.3">
      <c r="A792" s="1">
        <f t="shared" si="164"/>
        <v>8</v>
      </c>
      <c r="B792" s="2" t="s">
        <v>711</v>
      </c>
      <c r="C792" s="3" t="s">
        <v>448</v>
      </c>
      <c r="D792" s="12" t="s">
        <v>40</v>
      </c>
      <c r="E792" s="12" t="s">
        <v>40</v>
      </c>
      <c r="F792" s="12"/>
      <c r="G792" s="12"/>
      <c r="H792" s="12" t="s">
        <v>40</v>
      </c>
      <c r="I792" s="12"/>
      <c r="J792" s="12"/>
      <c r="K792" s="12"/>
      <c r="L792" s="12">
        <v>135756</v>
      </c>
      <c r="M792" s="15">
        <f t="shared" si="162"/>
        <v>5</v>
      </c>
      <c r="N792" s="15">
        <f t="shared" si="163"/>
        <v>0</v>
      </c>
      <c r="O792" s="12">
        <v>135756</v>
      </c>
      <c r="P792" s="12">
        <f t="shared" si="160"/>
        <v>11313</v>
      </c>
      <c r="Q792" s="12">
        <f t="shared" si="161"/>
        <v>11313</v>
      </c>
    </row>
    <row r="793" spans="1:20" x14ac:dyDescent="0.3">
      <c r="A793" s="1">
        <f t="shared" si="164"/>
        <v>9</v>
      </c>
      <c r="B793" s="2" t="s">
        <v>712</v>
      </c>
      <c r="C793" s="3" t="s">
        <v>448</v>
      </c>
      <c r="D793" s="12" t="s">
        <v>40</v>
      </c>
      <c r="E793" s="12" t="s">
        <v>40</v>
      </c>
      <c r="F793" s="12"/>
      <c r="G793" s="12"/>
      <c r="H793" s="12" t="s">
        <v>40</v>
      </c>
      <c r="I793" s="12"/>
      <c r="J793" s="12"/>
      <c r="K793" s="12" t="s">
        <v>40</v>
      </c>
      <c r="L793" s="12">
        <v>41000</v>
      </c>
      <c r="M793" s="15">
        <f t="shared" si="162"/>
        <v>5</v>
      </c>
      <c r="N793" s="15">
        <f t="shared" si="163"/>
        <v>1</v>
      </c>
      <c r="O793" s="12">
        <v>41000</v>
      </c>
      <c r="P793" s="12">
        <f t="shared" si="160"/>
        <v>3416.6666666666665</v>
      </c>
      <c r="Q793" s="12">
        <f t="shared" si="161"/>
        <v>3416.6666666666665</v>
      </c>
    </row>
    <row r="794" spans="1:20" x14ac:dyDescent="0.3">
      <c r="A794" s="1">
        <f t="shared" si="164"/>
        <v>10</v>
      </c>
      <c r="B794" s="10"/>
      <c r="C794" s="9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6"/>
      <c r="O794" s="13"/>
      <c r="P794" s="13"/>
      <c r="Q794" s="13"/>
    </row>
    <row r="795" spans="1:20" x14ac:dyDescent="0.3">
      <c r="A795" s="1">
        <f t="shared" si="164"/>
        <v>11</v>
      </c>
      <c r="B795" s="2" t="s">
        <v>713</v>
      </c>
      <c r="C795" s="3" t="s">
        <v>448</v>
      </c>
      <c r="D795" s="12" t="s">
        <v>40</v>
      </c>
      <c r="E795" s="12" t="s">
        <v>40</v>
      </c>
      <c r="F795" s="12"/>
      <c r="G795" s="12"/>
      <c r="H795" s="12" t="s">
        <v>40</v>
      </c>
      <c r="I795" s="12" t="s">
        <v>40</v>
      </c>
      <c r="J795" s="12"/>
      <c r="K795" s="12"/>
      <c r="L795" s="12">
        <v>0</v>
      </c>
      <c r="M795" s="15">
        <f t="shared" si="162"/>
        <v>10</v>
      </c>
      <c r="N795" s="15">
        <f t="shared" si="163"/>
        <v>0</v>
      </c>
      <c r="O795" s="20"/>
      <c r="P795" s="12">
        <f t="shared" ref="P795" si="165">+L795/12</f>
        <v>0</v>
      </c>
      <c r="Q795" s="20"/>
    </row>
    <row r="796" spans="1:20" x14ac:dyDescent="0.3">
      <c r="A796" s="1">
        <f t="shared" si="164"/>
        <v>12</v>
      </c>
      <c r="B796" s="2" t="s">
        <v>714</v>
      </c>
      <c r="C796" s="3" t="s">
        <v>448</v>
      </c>
      <c r="D796" s="12" t="s">
        <v>40</v>
      </c>
      <c r="E796" s="12" t="s">
        <v>40</v>
      </c>
      <c r="F796" s="12" t="s">
        <v>40</v>
      </c>
      <c r="G796" s="12"/>
      <c r="H796" s="12" t="s">
        <v>40</v>
      </c>
      <c r="I796" s="12"/>
      <c r="J796" s="12"/>
      <c r="K796" s="12"/>
      <c r="L796" s="12">
        <v>46000</v>
      </c>
      <c r="M796" s="15">
        <f t="shared" si="162"/>
        <v>7</v>
      </c>
      <c r="N796" s="15">
        <f t="shared" si="163"/>
        <v>0</v>
      </c>
      <c r="O796" s="12">
        <v>46000</v>
      </c>
      <c r="P796" s="12">
        <f t="shared" si="160"/>
        <v>3833.3333333333335</v>
      </c>
      <c r="Q796" s="12">
        <f t="shared" si="161"/>
        <v>3833.3333333333335</v>
      </c>
    </row>
    <row r="797" spans="1:20" x14ac:dyDescent="0.3">
      <c r="A797" s="1">
        <f t="shared" si="164"/>
        <v>13</v>
      </c>
      <c r="B797" s="2" t="s">
        <v>715</v>
      </c>
      <c r="C797" s="3" t="s">
        <v>448</v>
      </c>
      <c r="D797" s="12" t="s">
        <v>40</v>
      </c>
      <c r="E797" s="12" t="s">
        <v>40</v>
      </c>
      <c r="F797" s="12"/>
      <c r="G797" s="12"/>
      <c r="H797" s="12" t="s">
        <v>40</v>
      </c>
      <c r="I797" s="12" t="s">
        <v>40</v>
      </c>
      <c r="J797" s="12"/>
      <c r="K797" s="12" t="s">
        <v>40</v>
      </c>
      <c r="L797" s="12">
        <v>682626</v>
      </c>
      <c r="M797" s="15">
        <f t="shared" si="162"/>
        <v>10</v>
      </c>
      <c r="N797" s="15">
        <f t="shared" si="163"/>
        <v>1</v>
      </c>
      <c r="O797" s="20"/>
      <c r="P797" s="12">
        <f t="shared" si="160"/>
        <v>56885.5</v>
      </c>
      <c r="Q797" s="20"/>
    </row>
    <row r="798" spans="1:20" x14ac:dyDescent="0.3">
      <c r="A798" s="1">
        <f t="shared" si="164"/>
        <v>14</v>
      </c>
      <c r="B798" s="10"/>
      <c r="C798" s="9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6"/>
      <c r="O798" s="13"/>
      <c r="P798" s="13"/>
      <c r="Q798" s="13"/>
    </row>
    <row r="799" spans="1:20" x14ac:dyDescent="0.3">
      <c r="A799" s="1">
        <f t="shared" si="164"/>
        <v>15</v>
      </c>
      <c r="B799" s="2" t="s">
        <v>716</v>
      </c>
      <c r="C799" s="3" t="s">
        <v>448</v>
      </c>
      <c r="D799" s="12" t="s">
        <v>40</v>
      </c>
      <c r="E799" s="12" t="s">
        <v>40</v>
      </c>
      <c r="F799" s="12"/>
      <c r="G799" s="12"/>
      <c r="H799" s="12" t="s">
        <v>40</v>
      </c>
      <c r="I799" s="12" t="s">
        <v>40</v>
      </c>
      <c r="J799" s="12"/>
      <c r="K799" s="12"/>
      <c r="L799" s="12">
        <v>0</v>
      </c>
      <c r="M799" s="15">
        <f t="shared" si="162"/>
        <v>10</v>
      </c>
      <c r="N799" s="15">
        <f t="shared" si="163"/>
        <v>0</v>
      </c>
      <c r="O799" s="20"/>
      <c r="P799" s="12">
        <f t="shared" ref="P799" si="166">+L799/12</f>
        <v>0</v>
      </c>
      <c r="Q799" s="20"/>
    </row>
    <row r="800" spans="1:20" x14ac:dyDescent="0.3">
      <c r="A800" s="1">
        <f t="shared" si="164"/>
        <v>16</v>
      </c>
      <c r="B800" s="2" t="s">
        <v>717</v>
      </c>
      <c r="C800" s="3" t="s">
        <v>448</v>
      </c>
      <c r="D800" s="12" t="s">
        <v>40</v>
      </c>
      <c r="E800" s="12" t="s">
        <v>40</v>
      </c>
      <c r="F800" s="12" t="s">
        <v>40</v>
      </c>
      <c r="G800" s="12"/>
      <c r="H800" s="12"/>
      <c r="I800" s="12"/>
      <c r="J800" s="12"/>
      <c r="K800" s="12"/>
      <c r="L800" s="12">
        <v>36624</v>
      </c>
      <c r="M800" s="15">
        <f t="shared" si="162"/>
        <v>4</v>
      </c>
      <c r="N800" s="15">
        <f t="shared" si="163"/>
        <v>0</v>
      </c>
      <c r="O800" s="12">
        <v>36624</v>
      </c>
      <c r="P800" s="12">
        <f t="shared" si="160"/>
        <v>3052</v>
      </c>
      <c r="Q800" s="12">
        <f t="shared" si="161"/>
        <v>3052</v>
      </c>
    </row>
    <row r="801" spans="1:17" x14ac:dyDescent="0.3">
      <c r="A801" s="1">
        <f t="shared" si="164"/>
        <v>17</v>
      </c>
      <c r="B801" s="2" t="s">
        <v>718</v>
      </c>
      <c r="C801" s="3" t="s">
        <v>448</v>
      </c>
      <c r="D801" s="12" t="s">
        <v>40</v>
      </c>
      <c r="E801" s="12" t="s">
        <v>40</v>
      </c>
      <c r="F801" s="12"/>
      <c r="G801" s="12"/>
      <c r="H801" s="12" t="s">
        <v>40</v>
      </c>
      <c r="I801" s="12" t="s">
        <v>40</v>
      </c>
      <c r="J801" s="12"/>
      <c r="K801" s="12"/>
      <c r="L801" s="12">
        <v>18000</v>
      </c>
      <c r="M801" s="15">
        <f t="shared" si="162"/>
        <v>10</v>
      </c>
      <c r="N801" s="15">
        <f t="shared" si="163"/>
        <v>0</v>
      </c>
      <c r="O801" s="12">
        <v>18000</v>
      </c>
      <c r="P801" s="12">
        <f t="shared" si="160"/>
        <v>1500</v>
      </c>
      <c r="Q801" s="12">
        <f t="shared" si="161"/>
        <v>1500</v>
      </c>
    </row>
    <row r="802" spans="1:17" x14ac:dyDescent="0.3">
      <c r="A802" s="1">
        <f t="shared" si="164"/>
        <v>18</v>
      </c>
      <c r="B802" s="2" t="s">
        <v>719</v>
      </c>
      <c r="C802" s="3" t="s">
        <v>448</v>
      </c>
      <c r="D802" s="12" t="s">
        <v>40</v>
      </c>
      <c r="E802" s="12" t="s">
        <v>40</v>
      </c>
      <c r="F802" s="12"/>
      <c r="G802" s="12"/>
      <c r="H802" s="12" t="s">
        <v>40</v>
      </c>
      <c r="I802" s="12"/>
      <c r="J802" s="12"/>
      <c r="K802" s="12"/>
      <c r="L802" s="12">
        <v>0</v>
      </c>
      <c r="M802" s="15">
        <f t="shared" si="162"/>
        <v>5</v>
      </c>
      <c r="N802" s="15">
        <f t="shared" si="163"/>
        <v>0</v>
      </c>
      <c r="O802" s="20"/>
      <c r="P802" s="12">
        <f t="shared" si="160"/>
        <v>0</v>
      </c>
      <c r="Q802" s="20"/>
    </row>
    <row r="803" spans="1:17" x14ac:dyDescent="0.3">
      <c r="A803" s="1">
        <f t="shared" si="164"/>
        <v>19</v>
      </c>
      <c r="B803" s="2" t="s">
        <v>720</v>
      </c>
      <c r="C803" s="3" t="s">
        <v>448</v>
      </c>
      <c r="D803" s="12" t="s">
        <v>40</v>
      </c>
      <c r="E803" s="12" t="s">
        <v>40</v>
      </c>
      <c r="F803" s="12"/>
      <c r="G803" s="12"/>
      <c r="H803" s="12"/>
      <c r="I803" s="12"/>
      <c r="J803" s="12"/>
      <c r="K803" s="12"/>
      <c r="L803" s="12">
        <v>43200</v>
      </c>
      <c r="M803" s="15">
        <f t="shared" si="162"/>
        <v>2</v>
      </c>
      <c r="N803" s="15">
        <f t="shared" si="163"/>
        <v>0</v>
      </c>
      <c r="O803" s="12">
        <v>43200</v>
      </c>
      <c r="P803" s="12">
        <f t="shared" si="160"/>
        <v>3600</v>
      </c>
      <c r="Q803" s="12">
        <f t="shared" si="161"/>
        <v>3600</v>
      </c>
    </row>
    <row r="804" spans="1:17" x14ac:dyDescent="0.3">
      <c r="A804" s="1">
        <f t="shared" si="164"/>
        <v>20</v>
      </c>
      <c r="B804" s="10"/>
      <c r="C804" s="9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6"/>
      <c r="O804" s="13"/>
      <c r="P804" s="13"/>
      <c r="Q804" s="13"/>
    </row>
    <row r="805" spans="1:17" x14ac:dyDescent="0.3">
      <c r="A805" s="1">
        <f t="shared" si="164"/>
        <v>21</v>
      </c>
      <c r="B805" s="2" t="s">
        <v>721</v>
      </c>
      <c r="C805" s="3" t="s">
        <v>448</v>
      </c>
      <c r="D805" s="12" t="s">
        <v>40</v>
      </c>
      <c r="E805" s="12" t="s">
        <v>40</v>
      </c>
      <c r="F805" s="12" t="s">
        <v>40</v>
      </c>
      <c r="G805" s="12"/>
      <c r="H805" s="12" t="s">
        <v>40</v>
      </c>
      <c r="I805" s="12"/>
      <c r="J805" s="12"/>
      <c r="K805" s="12"/>
      <c r="L805" s="12">
        <v>87150</v>
      </c>
      <c r="M805" s="15">
        <f t="shared" si="162"/>
        <v>7</v>
      </c>
      <c r="N805" s="15">
        <f t="shared" si="163"/>
        <v>0</v>
      </c>
      <c r="O805" s="12">
        <v>87150</v>
      </c>
      <c r="P805" s="12">
        <f t="shared" si="160"/>
        <v>7262.5</v>
      </c>
      <c r="Q805" s="12">
        <f t="shared" si="161"/>
        <v>7262.5</v>
      </c>
    </row>
    <row r="806" spans="1:17" x14ac:dyDescent="0.3">
      <c r="A806" s="1">
        <f t="shared" si="164"/>
        <v>22</v>
      </c>
      <c r="B806" s="10"/>
      <c r="C806" s="9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6"/>
      <c r="O806" s="13"/>
      <c r="P806" s="13"/>
      <c r="Q806" s="13"/>
    </row>
    <row r="807" spans="1:17" x14ac:dyDescent="0.3">
      <c r="A807" s="1">
        <f t="shared" si="164"/>
        <v>23</v>
      </c>
      <c r="B807" s="18" t="s">
        <v>722</v>
      </c>
      <c r="C807" s="3" t="s">
        <v>448</v>
      </c>
      <c r="D807" s="12" t="s">
        <v>40</v>
      </c>
      <c r="E807" s="12" t="s">
        <v>40</v>
      </c>
      <c r="F807" s="12" t="s">
        <v>40</v>
      </c>
      <c r="G807" s="12"/>
      <c r="H807" s="12" t="s">
        <v>40</v>
      </c>
      <c r="I807" s="12"/>
      <c r="J807" s="12"/>
      <c r="K807" s="12"/>
      <c r="L807" s="12">
        <v>31680</v>
      </c>
      <c r="M807" s="15">
        <f t="shared" si="162"/>
        <v>7</v>
      </c>
      <c r="N807" s="15">
        <f t="shared" si="163"/>
        <v>0</v>
      </c>
      <c r="O807" s="12">
        <v>31680</v>
      </c>
      <c r="P807" s="12">
        <f t="shared" si="160"/>
        <v>2640</v>
      </c>
      <c r="Q807" s="12">
        <f t="shared" si="161"/>
        <v>2640</v>
      </c>
    </row>
    <row r="808" spans="1:17" x14ac:dyDescent="0.3">
      <c r="A808" s="1">
        <f t="shared" si="164"/>
        <v>24</v>
      </c>
      <c r="B808" s="2" t="s">
        <v>723</v>
      </c>
      <c r="C808" s="3" t="s">
        <v>448</v>
      </c>
      <c r="D808" s="12" t="s">
        <v>40</v>
      </c>
      <c r="E808" s="12" t="s">
        <v>40</v>
      </c>
      <c r="F808" s="12" t="s">
        <v>40</v>
      </c>
      <c r="G808" s="12"/>
      <c r="H808" s="12"/>
      <c r="I808" s="12"/>
      <c r="J808" s="12"/>
      <c r="K808" s="12"/>
      <c r="L808" s="12">
        <v>0</v>
      </c>
      <c r="M808" s="15">
        <f t="shared" si="162"/>
        <v>4</v>
      </c>
      <c r="N808" s="15">
        <f t="shared" si="163"/>
        <v>0</v>
      </c>
      <c r="O808" s="20"/>
      <c r="P808" s="12">
        <f t="shared" si="160"/>
        <v>0</v>
      </c>
      <c r="Q808" s="20"/>
    </row>
    <row r="809" spans="1:17" x14ac:dyDescent="0.3">
      <c r="A809" s="1">
        <f t="shared" si="164"/>
        <v>25</v>
      </c>
      <c r="B809" s="2" t="s">
        <v>724</v>
      </c>
      <c r="C809" s="3" t="s">
        <v>448</v>
      </c>
      <c r="D809" s="12" t="s">
        <v>40</v>
      </c>
      <c r="E809" s="12" t="s">
        <v>40</v>
      </c>
      <c r="F809" s="12"/>
      <c r="G809" s="12"/>
      <c r="H809" s="12"/>
      <c r="I809" s="12"/>
      <c r="J809" s="12"/>
      <c r="K809" s="12"/>
      <c r="L809" s="12">
        <v>14400</v>
      </c>
      <c r="M809" s="15">
        <f t="shared" si="162"/>
        <v>2</v>
      </c>
      <c r="N809" s="15">
        <f t="shared" si="163"/>
        <v>0</v>
      </c>
      <c r="O809" s="12">
        <v>14400</v>
      </c>
      <c r="P809" s="12">
        <f t="shared" si="160"/>
        <v>1200</v>
      </c>
      <c r="Q809" s="12">
        <f t="shared" si="161"/>
        <v>1200</v>
      </c>
    </row>
    <row r="810" spans="1:17" x14ac:dyDescent="0.3">
      <c r="A810" s="1">
        <f t="shared" si="164"/>
        <v>26</v>
      </c>
      <c r="B810" s="2" t="s">
        <v>725</v>
      </c>
      <c r="C810" s="3" t="s">
        <v>448</v>
      </c>
      <c r="D810" s="12" t="s">
        <v>40</v>
      </c>
      <c r="E810" s="12" t="s">
        <v>40</v>
      </c>
      <c r="F810" s="12"/>
      <c r="G810" s="12"/>
      <c r="H810" s="12"/>
      <c r="I810" s="12"/>
      <c r="J810" s="12"/>
      <c r="K810" s="12"/>
      <c r="L810" s="12">
        <v>12000</v>
      </c>
      <c r="M810" s="15">
        <f t="shared" si="162"/>
        <v>2</v>
      </c>
      <c r="N810" s="15">
        <f t="shared" si="163"/>
        <v>0</v>
      </c>
      <c r="O810" s="12">
        <v>12000</v>
      </c>
      <c r="P810" s="12">
        <f t="shared" si="160"/>
        <v>1000</v>
      </c>
      <c r="Q810" s="12">
        <f t="shared" si="161"/>
        <v>1000</v>
      </c>
    </row>
    <row r="811" spans="1:17" x14ac:dyDescent="0.3">
      <c r="A811" s="1">
        <f t="shared" si="164"/>
        <v>27</v>
      </c>
      <c r="B811" s="2" t="s">
        <v>726</v>
      </c>
      <c r="C811" s="3" t="s">
        <v>448</v>
      </c>
      <c r="D811" s="12" t="s">
        <v>40</v>
      </c>
      <c r="E811" s="12" t="s">
        <v>40</v>
      </c>
      <c r="F811" s="12"/>
      <c r="G811" s="12"/>
      <c r="H811" s="12"/>
      <c r="I811" s="12"/>
      <c r="J811" s="12"/>
      <c r="K811" s="12" t="s">
        <v>40</v>
      </c>
      <c r="L811" s="12">
        <v>4000</v>
      </c>
      <c r="M811" s="15">
        <f t="shared" si="162"/>
        <v>2</v>
      </c>
      <c r="N811" s="15">
        <f t="shared" si="163"/>
        <v>1</v>
      </c>
      <c r="O811" s="12">
        <v>4000</v>
      </c>
      <c r="P811" s="12">
        <f t="shared" si="160"/>
        <v>333.33333333333331</v>
      </c>
      <c r="Q811" s="12">
        <f t="shared" si="161"/>
        <v>333.33333333333331</v>
      </c>
    </row>
    <row r="812" spans="1:17" x14ac:dyDescent="0.3">
      <c r="A812" s="1">
        <f t="shared" si="164"/>
        <v>28</v>
      </c>
      <c r="B812" s="2" t="s">
        <v>727</v>
      </c>
      <c r="C812" s="3" t="s">
        <v>448</v>
      </c>
      <c r="D812" s="12" t="s">
        <v>40</v>
      </c>
      <c r="E812" s="12" t="s">
        <v>40</v>
      </c>
      <c r="F812" s="12" t="s">
        <v>40</v>
      </c>
      <c r="G812" s="12" t="s">
        <v>40</v>
      </c>
      <c r="H812" s="12"/>
      <c r="I812" s="12"/>
      <c r="J812" s="12"/>
      <c r="K812" s="12"/>
      <c r="L812" s="12">
        <v>12000</v>
      </c>
      <c r="M812" s="15">
        <f t="shared" si="162"/>
        <v>6</v>
      </c>
      <c r="N812" s="15">
        <f t="shared" si="163"/>
        <v>0</v>
      </c>
      <c r="O812" s="12">
        <v>12000</v>
      </c>
      <c r="P812" s="12">
        <f t="shared" si="160"/>
        <v>1000</v>
      </c>
      <c r="Q812" s="12">
        <f t="shared" si="161"/>
        <v>1000</v>
      </c>
    </row>
    <row r="813" spans="1:17" x14ac:dyDescent="0.3">
      <c r="A813" s="1">
        <f t="shared" si="164"/>
        <v>29</v>
      </c>
      <c r="B813" s="2" t="s">
        <v>728</v>
      </c>
      <c r="C813" s="3" t="s">
        <v>448</v>
      </c>
      <c r="D813" s="12" t="s">
        <v>40</v>
      </c>
      <c r="E813" s="12" t="s">
        <v>40</v>
      </c>
      <c r="F813" s="12"/>
      <c r="G813" s="12"/>
      <c r="H813" s="12"/>
      <c r="I813" s="12"/>
      <c r="J813" s="12"/>
      <c r="K813" s="12"/>
      <c r="L813" s="12">
        <v>30000</v>
      </c>
      <c r="M813" s="15">
        <f t="shared" si="162"/>
        <v>2</v>
      </c>
      <c r="N813" s="15">
        <f t="shared" si="163"/>
        <v>0</v>
      </c>
      <c r="O813" s="12">
        <v>30000</v>
      </c>
      <c r="P813" s="12">
        <f t="shared" si="160"/>
        <v>2500</v>
      </c>
      <c r="Q813" s="12">
        <f t="shared" si="161"/>
        <v>2500</v>
      </c>
    </row>
    <row r="814" spans="1:17" x14ac:dyDescent="0.3">
      <c r="A814" s="1">
        <f t="shared" si="164"/>
        <v>30</v>
      </c>
      <c r="B814" s="10"/>
      <c r="C814" s="9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6"/>
      <c r="O814" s="13"/>
      <c r="P814" s="13"/>
      <c r="Q814" s="13"/>
    </row>
    <row r="815" spans="1:17" x14ac:dyDescent="0.3">
      <c r="B815" s="29"/>
      <c r="D815"/>
      <c r="E815"/>
      <c r="F815"/>
      <c r="G815"/>
      <c r="H815"/>
      <c r="I815"/>
      <c r="J815"/>
      <c r="L815" s="14">
        <f>+AVERAGE(L785:L814)</f>
        <v>83621.680833333332</v>
      </c>
      <c r="M815" s="14">
        <f>+AVERAGE(M785:M814)</f>
        <v>6.166666666666667</v>
      </c>
      <c r="N815" s="14">
        <f>+SUM(N785:N814)</f>
        <v>5</v>
      </c>
      <c r="O815" s="14">
        <f>+AVERAGE(O785:O814)</f>
        <v>69699.702105263146</v>
      </c>
      <c r="P815" s="14">
        <f>+AVERAGE(P785:P814)</f>
        <v>6968.4734027777777</v>
      </c>
      <c r="Q815" s="14">
        <f>+AVERAGE(Q785:Q814)</f>
        <v>5808.3085087719301</v>
      </c>
    </row>
    <row r="816" spans="1:17" x14ac:dyDescent="0.3">
      <c r="D816"/>
      <c r="E816"/>
      <c r="F816"/>
      <c r="G816"/>
      <c r="H816"/>
      <c r="I816"/>
      <c r="J816"/>
      <c r="L816" s="14">
        <f>+STDEV(L785:L814)</f>
        <v>149134.33762731752</v>
      </c>
      <c r="M816" s="14">
        <f>+STDEV(M785:M814)</f>
        <v>3.3449074422323632</v>
      </c>
      <c r="N816" s="17"/>
      <c r="O816" s="14">
        <f>+STDEV(O785:O814)</f>
        <v>82017.965655604159</v>
      </c>
      <c r="P816" s="14">
        <f>+STDEV(P785:P814)</f>
        <v>12427.861468943123</v>
      </c>
      <c r="Q816" s="14">
        <f>+STDEV(Q785:Q814)</f>
        <v>6834.8304713003454</v>
      </c>
    </row>
    <row r="817" spans="1:21" x14ac:dyDescent="0.3">
      <c r="D817"/>
      <c r="E817"/>
      <c r="F817"/>
      <c r="G817"/>
      <c r="H817"/>
      <c r="I817" s="15"/>
      <c r="J817" s="15"/>
      <c r="K817" s="11" t="s">
        <v>75</v>
      </c>
      <c r="L817" s="14">
        <f>+COUNTIF(L785:L814,0)</f>
        <v>4</v>
      </c>
      <c r="M817" s="14">
        <f>+COUNT(M785:M814)</f>
        <v>24</v>
      </c>
      <c r="P817" s="14">
        <f>+COUNTIF(P785:P814,0)</f>
        <v>4</v>
      </c>
    </row>
    <row r="818" spans="1:21" x14ac:dyDescent="0.3">
      <c r="D818"/>
      <c r="E818"/>
      <c r="F818"/>
      <c r="G818"/>
      <c r="H818"/>
      <c r="I818"/>
      <c r="J818"/>
    </row>
    <row r="819" spans="1:21" x14ac:dyDescent="0.3">
      <c r="A819" s="1">
        <v>1</v>
      </c>
      <c r="B819" s="2" t="s">
        <v>729</v>
      </c>
      <c r="C819" s="3" t="s">
        <v>449</v>
      </c>
      <c r="D819" s="12" t="s">
        <v>40</v>
      </c>
      <c r="E819" s="12" t="s">
        <v>40</v>
      </c>
      <c r="F819" s="12"/>
      <c r="G819" s="12"/>
      <c r="H819" s="12" t="s">
        <v>40</v>
      </c>
      <c r="I819" s="12" t="s">
        <v>40</v>
      </c>
      <c r="J819" s="12"/>
      <c r="K819" s="12"/>
      <c r="L819" s="12">
        <v>457574</v>
      </c>
      <c r="M819" s="15">
        <f>+IF(D819="X",1,0)+IF(E819="X",1,0)+IF(F819="X",2,0)+IF(G819="X",2,0)+IF(H819="X",3,IF(H819="Y",1.5,0))+IF(I819="X",5,IF(I819="Y",2.5,0))+IF(J819="X1",10,IF(J819="X2",5,IF(J819="X3",3,0)))</f>
        <v>10</v>
      </c>
      <c r="N819" s="15">
        <f>+IF(K819="X",1,0)</f>
        <v>0</v>
      </c>
      <c r="O819" s="20"/>
      <c r="P819" s="12">
        <f t="shared" ref="P819:P846" si="167">+L819/12</f>
        <v>38131.166666666664</v>
      </c>
      <c r="Q819" s="20"/>
      <c r="S819" t="s">
        <v>209</v>
      </c>
      <c r="T819" t="s">
        <v>151</v>
      </c>
    </row>
    <row r="820" spans="1:21" x14ac:dyDescent="0.3">
      <c r="A820" s="1">
        <f>+A819+1</f>
        <v>2</v>
      </c>
      <c r="B820" s="2" t="s">
        <v>730</v>
      </c>
      <c r="C820" s="3" t="s">
        <v>449</v>
      </c>
      <c r="D820" s="12" t="s">
        <v>40</v>
      </c>
      <c r="E820" s="12" t="s">
        <v>40</v>
      </c>
      <c r="F820" s="12" t="s">
        <v>40</v>
      </c>
      <c r="G820" s="12"/>
      <c r="H820" s="12" t="s">
        <v>40</v>
      </c>
      <c r="I820" s="12" t="s">
        <v>40</v>
      </c>
      <c r="J820" s="12"/>
      <c r="K820" s="12"/>
      <c r="L820" s="12">
        <v>98035.23</v>
      </c>
      <c r="M820" s="15">
        <f t="shared" ref="M820:M848" si="168">+IF(D820="X",1,0)+IF(E820="X",1,0)+IF(F820="X",2,0)+IF(G820="X",2,0)+IF(H820="X",3,IF(H820="Y",1.5,0))+IF(I820="X",5,IF(I820="Y",2.5,0))+IF(J820="X1",10,IF(J820="X2",5,IF(J820="X3",3,0)))</f>
        <v>12</v>
      </c>
      <c r="N820" s="15">
        <f t="shared" ref="N820:N848" si="169">+IF(K820="X",1,0)</f>
        <v>0</v>
      </c>
      <c r="O820" s="12">
        <v>98035.23</v>
      </c>
      <c r="P820" s="12">
        <f t="shared" si="167"/>
        <v>8169.6025</v>
      </c>
      <c r="Q820" s="12">
        <f t="shared" ref="Q820:Q845" si="170">+O820/12</f>
        <v>8169.6025</v>
      </c>
      <c r="U820" t="s">
        <v>165</v>
      </c>
    </row>
    <row r="821" spans="1:21" x14ac:dyDescent="0.3">
      <c r="A821" s="1">
        <f t="shared" ref="A821:A848" si="171">+A820+1</f>
        <v>3</v>
      </c>
      <c r="B821" s="2" t="s">
        <v>731</v>
      </c>
      <c r="C821" s="3" t="s">
        <v>449</v>
      </c>
      <c r="D821" s="12" t="s">
        <v>40</v>
      </c>
      <c r="E821" s="12" t="s">
        <v>40</v>
      </c>
      <c r="F821" s="12"/>
      <c r="G821" s="12"/>
      <c r="H821" s="12" t="s">
        <v>40</v>
      </c>
      <c r="I821" s="12"/>
      <c r="J821" s="12"/>
      <c r="K821" s="12"/>
      <c r="L821" s="12">
        <v>120000</v>
      </c>
      <c r="M821" s="15">
        <f t="shared" si="168"/>
        <v>5</v>
      </c>
      <c r="N821" s="15">
        <f t="shared" si="169"/>
        <v>0</v>
      </c>
      <c r="O821" s="12">
        <v>120000</v>
      </c>
      <c r="P821" s="12">
        <f t="shared" si="167"/>
        <v>10000</v>
      </c>
      <c r="Q821" s="12">
        <f t="shared" si="170"/>
        <v>10000</v>
      </c>
      <c r="S821" t="s">
        <v>76</v>
      </c>
      <c r="T821" t="s">
        <v>151</v>
      </c>
    </row>
    <row r="822" spans="1:21" x14ac:dyDescent="0.3">
      <c r="A822" s="1">
        <f t="shared" si="171"/>
        <v>4</v>
      </c>
      <c r="B822" s="18" t="s">
        <v>732</v>
      </c>
      <c r="C822" s="3" t="s">
        <v>449</v>
      </c>
      <c r="D822" s="12" t="s">
        <v>40</v>
      </c>
      <c r="E822" s="12" t="s">
        <v>40</v>
      </c>
      <c r="F822" s="12"/>
      <c r="G822" s="12"/>
      <c r="H822" s="12" t="s">
        <v>40</v>
      </c>
      <c r="I822" s="12"/>
      <c r="J822" s="12"/>
      <c r="K822" s="12"/>
      <c r="L822" s="12">
        <v>98000</v>
      </c>
      <c r="M822" s="15">
        <f t="shared" si="168"/>
        <v>5</v>
      </c>
      <c r="N822" s="15">
        <f t="shared" si="169"/>
        <v>0</v>
      </c>
      <c r="O822" s="12">
        <v>98000</v>
      </c>
      <c r="P822" s="12">
        <f t="shared" si="167"/>
        <v>8166.666666666667</v>
      </c>
      <c r="Q822" s="12">
        <f t="shared" si="170"/>
        <v>8166.666666666667</v>
      </c>
    </row>
    <row r="823" spans="1:21" x14ac:dyDescent="0.3">
      <c r="A823" s="1">
        <f t="shared" si="171"/>
        <v>5</v>
      </c>
      <c r="B823" s="2" t="s">
        <v>733</v>
      </c>
      <c r="C823" s="3" t="s">
        <v>449</v>
      </c>
      <c r="D823" s="12" t="s">
        <v>40</v>
      </c>
      <c r="E823" s="12" t="s">
        <v>40</v>
      </c>
      <c r="F823" s="12" t="s">
        <v>40</v>
      </c>
      <c r="G823" s="12"/>
      <c r="H823" s="12"/>
      <c r="I823" s="12"/>
      <c r="J823" s="12"/>
      <c r="K823" s="12"/>
      <c r="L823" s="12">
        <v>34300</v>
      </c>
      <c r="M823" s="15">
        <f t="shared" si="168"/>
        <v>4</v>
      </c>
      <c r="N823" s="15">
        <f t="shared" si="169"/>
        <v>0</v>
      </c>
      <c r="O823" s="12">
        <v>34300</v>
      </c>
      <c r="P823" s="12">
        <f t="shared" si="167"/>
        <v>2858.3333333333335</v>
      </c>
      <c r="Q823" s="12">
        <f t="shared" si="170"/>
        <v>2858.3333333333335</v>
      </c>
    </row>
    <row r="824" spans="1:21" x14ac:dyDescent="0.3">
      <c r="A824" s="1">
        <f t="shared" si="171"/>
        <v>6</v>
      </c>
      <c r="B824" s="2" t="s">
        <v>734</v>
      </c>
      <c r="C824" s="3" t="s">
        <v>449</v>
      </c>
      <c r="D824" s="12" t="s">
        <v>40</v>
      </c>
      <c r="E824" s="12" t="s">
        <v>40</v>
      </c>
      <c r="F824" s="12"/>
      <c r="G824" s="12" t="s">
        <v>40</v>
      </c>
      <c r="H824" s="12"/>
      <c r="I824" s="12"/>
      <c r="J824" s="12"/>
      <c r="K824" s="12"/>
      <c r="L824" s="12">
        <v>426946.27</v>
      </c>
      <c r="M824" s="15">
        <f t="shared" si="168"/>
        <v>4</v>
      </c>
      <c r="N824" s="15">
        <f t="shared" si="169"/>
        <v>0</v>
      </c>
      <c r="O824" s="12">
        <v>426946.27</v>
      </c>
      <c r="P824" s="12">
        <f t="shared" si="167"/>
        <v>35578.855833333335</v>
      </c>
      <c r="Q824" s="12">
        <f t="shared" si="170"/>
        <v>35578.855833333335</v>
      </c>
      <c r="R824" t="s">
        <v>140</v>
      </c>
    </row>
    <row r="825" spans="1:21" x14ac:dyDescent="0.3">
      <c r="A825" s="1">
        <f t="shared" si="171"/>
        <v>7</v>
      </c>
      <c r="B825" s="18" t="s">
        <v>735</v>
      </c>
      <c r="C825" s="3" t="s">
        <v>449</v>
      </c>
      <c r="D825" s="12" t="s">
        <v>40</v>
      </c>
      <c r="E825" s="12" t="s">
        <v>40</v>
      </c>
      <c r="F825" s="12"/>
      <c r="G825" s="12"/>
      <c r="H825" s="12" t="s">
        <v>40</v>
      </c>
      <c r="I825" s="12"/>
      <c r="J825" s="12"/>
      <c r="K825" s="12"/>
      <c r="L825" s="12">
        <v>307200</v>
      </c>
      <c r="M825" s="15">
        <f t="shared" si="168"/>
        <v>5</v>
      </c>
      <c r="N825" s="15">
        <f t="shared" si="169"/>
        <v>0</v>
      </c>
      <c r="O825" s="12">
        <v>307200</v>
      </c>
      <c r="P825" s="12">
        <f t="shared" si="167"/>
        <v>25600</v>
      </c>
      <c r="Q825" s="12">
        <f t="shared" si="170"/>
        <v>25600</v>
      </c>
      <c r="R825" t="s">
        <v>45</v>
      </c>
    </row>
    <row r="826" spans="1:21" x14ac:dyDescent="0.3">
      <c r="A826" s="1">
        <f t="shared" si="171"/>
        <v>8</v>
      </c>
      <c r="B826" s="2" t="s">
        <v>736</v>
      </c>
      <c r="C826" s="3" t="s">
        <v>449</v>
      </c>
      <c r="D826" s="12" t="s">
        <v>40</v>
      </c>
      <c r="E826" s="12" t="s">
        <v>40</v>
      </c>
      <c r="F826" s="12"/>
      <c r="G826" s="12"/>
      <c r="H826" s="12" t="s">
        <v>40</v>
      </c>
      <c r="I826" s="12"/>
      <c r="J826" s="12"/>
      <c r="K826" s="12"/>
      <c r="L826" s="12">
        <v>163979.26999999999</v>
      </c>
      <c r="M826" s="15">
        <f t="shared" si="168"/>
        <v>5</v>
      </c>
      <c r="N826" s="15">
        <f t="shared" si="169"/>
        <v>0</v>
      </c>
      <c r="O826" s="12">
        <v>163979.26999999999</v>
      </c>
      <c r="P826" s="12">
        <f t="shared" si="167"/>
        <v>13664.939166666665</v>
      </c>
      <c r="Q826" s="12">
        <f t="shared" si="170"/>
        <v>13664.939166666665</v>
      </c>
      <c r="U826" t="s">
        <v>737</v>
      </c>
    </row>
    <row r="827" spans="1:21" x14ac:dyDescent="0.3">
      <c r="A827" s="1">
        <f t="shared" si="171"/>
        <v>9</v>
      </c>
      <c r="B827" s="2" t="s">
        <v>738</v>
      </c>
      <c r="C827" s="3" t="s">
        <v>449</v>
      </c>
      <c r="D827" s="12" t="s">
        <v>40</v>
      </c>
      <c r="E827" s="12" t="s">
        <v>40</v>
      </c>
      <c r="F827" s="12"/>
      <c r="G827" s="12"/>
      <c r="H827" s="12" t="s">
        <v>40</v>
      </c>
      <c r="I827" s="12"/>
      <c r="J827" s="12"/>
      <c r="K827" s="12"/>
      <c r="L827" s="12">
        <v>419810.16</v>
      </c>
      <c r="M827" s="15">
        <f t="shared" si="168"/>
        <v>5</v>
      </c>
      <c r="N827" s="15">
        <f t="shared" si="169"/>
        <v>0</v>
      </c>
      <c r="O827" s="12">
        <v>419810.16</v>
      </c>
      <c r="P827" s="12">
        <f t="shared" si="167"/>
        <v>34984.18</v>
      </c>
      <c r="Q827" s="12">
        <f t="shared" si="170"/>
        <v>34984.18</v>
      </c>
      <c r="R827" t="s">
        <v>140</v>
      </c>
    </row>
    <row r="828" spans="1:21" x14ac:dyDescent="0.3">
      <c r="A828" s="1">
        <f t="shared" si="171"/>
        <v>10</v>
      </c>
      <c r="B828" s="2" t="s">
        <v>739</v>
      </c>
      <c r="C828" s="3" t="s">
        <v>449</v>
      </c>
      <c r="D828" s="50" t="s">
        <v>40</v>
      </c>
      <c r="E828" s="50" t="s">
        <v>40</v>
      </c>
      <c r="F828" s="50"/>
      <c r="G828" s="50"/>
      <c r="H828" s="50" t="s">
        <v>40</v>
      </c>
      <c r="I828" s="50" t="s">
        <v>40</v>
      </c>
      <c r="J828" s="50" t="s">
        <v>901</v>
      </c>
      <c r="K828" s="12"/>
      <c r="L828" s="12">
        <v>130836</v>
      </c>
      <c r="M828" s="15">
        <f t="shared" si="168"/>
        <v>13</v>
      </c>
      <c r="N828" s="15">
        <f t="shared" si="169"/>
        <v>0</v>
      </c>
      <c r="O828" s="12">
        <v>130836</v>
      </c>
      <c r="P828" s="12">
        <f t="shared" si="167"/>
        <v>10903</v>
      </c>
      <c r="Q828" s="12">
        <f t="shared" si="170"/>
        <v>10903</v>
      </c>
      <c r="U828" t="s">
        <v>740</v>
      </c>
    </row>
    <row r="829" spans="1:21" x14ac:dyDescent="0.3">
      <c r="A829" s="1">
        <f t="shared" si="171"/>
        <v>11</v>
      </c>
      <c r="B829" s="2" t="s">
        <v>741</v>
      </c>
      <c r="C829" s="3" t="s">
        <v>449</v>
      </c>
      <c r="D829" s="12" t="s">
        <v>40</v>
      </c>
      <c r="E829" s="12" t="s">
        <v>40</v>
      </c>
      <c r="F829" s="12"/>
      <c r="G829" s="12"/>
      <c r="H829" s="12" t="s">
        <v>40</v>
      </c>
      <c r="I829" s="12"/>
      <c r="J829" s="12"/>
      <c r="K829" s="12" t="s">
        <v>40</v>
      </c>
      <c r="L829" s="12">
        <v>20760</v>
      </c>
      <c r="M829" s="15">
        <f t="shared" si="168"/>
        <v>5</v>
      </c>
      <c r="N829" s="15">
        <f t="shared" si="169"/>
        <v>1</v>
      </c>
      <c r="O829" s="12">
        <v>20760</v>
      </c>
      <c r="P829" s="12">
        <f t="shared" si="167"/>
        <v>1730</v>
      </c>
      <c r="Q829" s="12">
        <f t="shared" si="170"/>
        <v>1730</v>
      </c>
    </row>
    <row r="830" spans="1:21" x14ac:dyDescent="0.3">
      <c r="A830" s="1">
        <f t="shared" si="171"/>
        <v>12</v>
      </c>
      <c r="B830" s="2" t="s">
        <v>742</v>
      </c>
      <c r="C830" s="3" t="s">
        <v>449</v>
      </c>
      <c r="D830" s="12" t="s">
        <v>40</v>
      </c>
      <c r="E830" s="12" t="s">
        <v>40</v>
      </c>
      <c r="F830" s="12"/>
      <c r="G830" s="12"/>
      <c r="H830" s="12" t="s">
        <v>40</v>
      </c>
      <c r="I830" s="12"/>
      <c r="J830" s="12"/>
      <c r="K830" s="12"/>
      <c r="L830" s="12">
        <v>10255</v>
      </c>
      <c r="M830" s="15">
        <f t="shared" si="168"/>
        <v>5</v>
      </c>
      <c r="N830" s="15">
        <f t="shared" si="169"/>
        <v>0</v>
      </c>
      <c r="O830" s="12">
        <v>10255</v>
      </c>
      <c r="P830" s="12">
        <f t="shared" si="167"/>
        <v>854.58333333333337</v>
      </c>
      <c r="Q830" s="12">
        <f t="shared" si="170"/>
        <v>854.58333333333337</v>
      </c>
    </row>
    <row r="831" spans="1:21" x14ac:dyDescent="0.3">
      <c r="A831" s="1">
        <f t="shared" si="171"/>
        <v>13</v>
      </c>
      <c r="B831" s="2" t="s">
        <v>743</v>
      </c>
      <c r="C831" s="3" t="s">
        <v>449</v>
      </c>
      <c r="D831" s="12" t="s">
        <v>40</v>
      </c>
      <c r="E831" s="12" t="s">
        <v>40</v>
      </c>
      <c r="F831" s="12"/>
      <c r="G831" s="12"/>
      <c r="H831" s="12" t="s">
        <v>40</v>
      </c>
      <c r="I831" s="12" t="s">
        <v>40</v>
      </c>
      <c r="J831" s="12"/>
      <c r="K831" s="12"/>
      <c r="L831" s="12">
        <v>95400</v>
      </c>
      <c r="M831" s="15">
        <f t="shared" si="168"/>
        <v>10</v>
      </c>
      <c r="N831" s="15">
        <f t="shared" si="169"/>
        <v>0</v>
      </c>
      <c r="O831" s="12">
        <v>95400</v>
      </c>
      <c r="P831" s="12">
        <f t="shared" si="167"/>
        <v>7950</v>
      </c>
      <c r="Q831" s="12">
        <f t="shared" si="170"/>
        <v>7950</v>
      </c>
    </row>
    <row r="832" spans="1:21" x14ac:dyDescent="0.3">
      <c r="A832" s="1">
        <f t="shared" si="171"/>
        <v>14</v>
      </c>
      <c r="B832" s="2" t="s">
        <v>744</v>
      </c>
      <c r="C832" s="3" t="s">
        <v>449</v>
      </c>
      <c r="D832" s="12" t="s">
        <v>40</v>
      </c>
      <c r="E832" s="12" t="s">
        <v>40</v>
      </c>
      <c r="F832" s="12" t="s">
        <v>40</v>
      </c>
      <c r="G832" s="12"/>
      <c r="H832" s="12"/>
      <c r="I832" s="12"/>
      <c r="J832" s="12"/>
      <c r="K832" s="12"/>
      <c r="L832" s="12">
        <v>0</v>
      </c>
      <c r="M832" s="15">
        <f t="shared" si="168"/>
        <v>4</v>
      </c>
      <c r="N832" s="15">
        <f t="shared" si="169"/>
        <v>0</v>
      </c>
      <c r="O832" s="20"/>
      <c r="P832" s="12">
        <f t="shared" si="167"/>
        <v>0</v>
      </c>
      <c r="Q832" s="20"/>
    </row>
    <row r="833" spans="1:21" x14ac:dyDescent="0.3">
      <c r="A833" s="1">
        <f t="shared" si="171"/>
        <v>15</v>
      </c>
      <c r="B833" s="2" t="s">
        <v>745</v>
      </c>
      <c r="C833" s="3" t="s">
        <v>449</v>
      </c>
      <c r="D833" s="12" t="s">
        <v>40</v>
      </c>
      <c r="E833" s="12" t="s">
        <v>40</v>
      </c>
      <c r="F833" s="12"/>
      <c r="G833" s="12"/>
      <c r="H833" s="12"/>
      <c r="I833" s="12"/>
      <c r="J833" s="12"/>
      <c r="K833" s="12"/>
      <c r="L833" s="12">
        <v>45000</v>
      </c>
      <c r="M833" s="15">
        <f t="shared" si="168"/>
        <v>2</v>
      </c>
      <c r="N833" s="15">
        <f t="shared" si="169"/>
        <v>0</v>
      </c>
      <c r="O833" s="12">
        <v>45000</v>
      </c>
      <c r="P833" s="12">
        <f t="shared" si="167"/>
        <v>3750</v>
      </c>
      <c r="Q833" s="12">
        <f t="shared" si="170"/>
        <v>3750</v>
      </c>
      <c r="U833" t="s">
        <v>746</v>
      </c>
    </row>
    <row r="834" spans="1:21" x14ac:dyDescent="0.3">
      <c r="A834" s="1">
        <f t="shared" si="171"/>
        <v>16</v>
      </c>
      <c r="B834" s="2" t="s">
        <v>747</v>
      </c>
      <c r="C834" s="3" t="s">
        <v>449</v>
      </c>
      <c r="D834" s="12" t="s">
        <v>40</v>
      </c>
      <c r="E834" s="12" t="s">
        <v>40</v>
      </c>
      <c r="F834" s="12"/>
      <c r="G834" s="12"/>
      <c r="H834" s="12" t="s">
        <v>40</v>
      </c>
      <c r="I834" s="12" t="s">
        <v>40</v>
      </c>
      <c r="J834" s="12"/>
      <c r="K834" s="12" t="s">
        <v>40</v>
      </c>
      <c r="L834" s="12">
        <v>26200</v>
      </c>
      <c r="M834" s="15">
        <f t="shared" si="168"/>
        <v>10</v>
      </c>
      <c r="N834" s="15">
        <f t="shared" si="169"/>
        <v>1</v>
      </c>
      <c r="O834" s="12">
        <v>26200</v>
      </c>
      <c r="P834" s="12">
        <f t="shared" si="167"/>
        <v>2183.3333333333335</v>
      </c>
      <c r="Q834" s="12">
        <f t="shared" si="170"/>
        <v>2183.3333333333335</v>
      </c>
    </row>
    <row r="835" spans="1:21" x14ac:dyDescent="0.3">
      <c r="A835" s="1">
        <f t="shared" si="171"/>
        <v>17</v>
      </c>
      <c r="B835" s="2" t="s">
        <v>748</v>
      </c>
      <c r="C835" s="3" t="s">
        <v>449</v>
      </c>
      <c r="D835" s="12" t="s">
        <v>40</v>
      </c>
      <c r="E835" s="12" t="s">
        <v>40</v>
      </c>
      <c r="F835" s="12" t="s">
        <v>40</v>
      </c>
      <c r="G835" s="12"/>
      <c r="H835" s="12" t="s">
        <v>40</v>
      </c>
      <c r="I835" s="12"/>
      <c r="J835" s="12"/>
      <c r="K835" s="12"/>
      <c r="L835" s="12">
        <v>80000</v>
      </c>
      <c r="M835" s="15">
        <f t="shared" si="168"/>
        <v>7</v>
      </c>
      <c r="N835" s="15">
        <f t="shared" si="169"/>
        <v>0</v>
      </c>
      <c r="O835" s="12">
        <v>80000</v>
      </c>
      <c r="P835" s="12">
        <f t="shared" si="167"/>
        <v>6666.666666666667</v>
      </c>
      <c r="Q835" s="12">
        <f t="shared" si="170"/>
        <v>6666.666666666667</v>
      </c>
    </row>
    <row r="836" spans="1:21" x14ac:dyDescent="0.3">
      <c r="A836" s="1">
        <f t="shared" si="171"/>
        <v>18</v>
      </c>
      <c r="B836" s="2" t="s">
        <v>749</v>
      </c>
      <c r="C836" s="3" t="s">
        <v>449</v>
      </c>
      <c r="D836" s="12" t="s">
        <v>40</v>
      </c>
      <c r="E836" s="12" t="s">
        <v>40</v>
      </c>
      <c r="F836" s="12"/>
      <c r="G836" s="12" t="s">
        <v>40</v>
      </c>
      <c r="H836" s="12"/>
      <c r="I836" s="12"/>
      <c r="J836" s="12"/>
      <c r="K836" s="12"/>
      <c r="L836" s="12">
        <v>12000</v>
      </c>
      <c r="M836" s="15">
        <f t="shared" si="168"/>
        <v>4</v>
      </c>
      <c r="N836" s="15">
        <f t="shared" si="169"/>
        <v>0</v>
      </c>
      <c r="O836" s="12">
        <v>12000</v>
      </c>
      <c r="P836" s="12">
        <f t="shared" si="167"/>
        <v>1000</v>
      </c>
      <c r="Q836" s="12">
        <f t="shared" si="170"/>
        <v>1000</v>
      </c>
    </row>
    <row r="837" spans="1:21" x14ac:dyDescent="0.3">
      <c r="A837" s="1">
        <f t="shared" si="171"/>
        <v>19</v>
      </c>
      <c r="B837" s="10"/>
      <c r="C837" s="9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6"/>
      <c r="O837" s="13"/>
      <c r="P837" s="13"/>
      <c r="Q837" s="13"/>
    </row>
    <row r="838" spans="1:21" x14ac:dyDescent="0.3">
      <c r="A838" s="1">
        <f t="shared" si="171"/>
        <v>20</v>
      </c>
      <c r="B838" s="2" t="s">
        <v>750</v>
      </c>
      <c r="C838" s="3" t="s">
        <v>449</v>
      </c>
      <c r="D838" s="12" t="s">
        <v>40</v>
      </c>
      <c r="E838" s="12" t="s">
        <v>40</v>
      </c>
      <c r="F838" s="12" t="s">
        <v>40</v>
      </c>
      <c r="G838" s="12"/>
      <c r="H838" s="12"/>
      <c r="I838" s="12"/>
      <c r="J838" s="12"/>
      <c r="K838" s="12"/>
      <c r="L838" s="12">
        <v>9900</v>
      </c>
      <c r="M838" s="15">
        <f t="shared" si="168"/>
        <v>4</v>
      </c>
      <c r="N838" s="15">
        <f t="shared" si="169"/>
        <v>0</v>
      </c>
      <c r="O838" s="12">
        <v>9900</v>
      </c>
      <c r="P838" s="12">
        <f t="shared" si="167"/>
        <v>825</v>
      </c>
      <c r="Q838" s="12">
        <f t="shared" si="170"/>
        <v>825</v>
      </c>
    </row>
    <row r="839" spans="1:21" x14ac:dyDescent="0.3">
      <c r="A839" s="1">
        <f t="shared" si="171"/>
        <v>21</v>
      </c>
      <c r="B839" s="2" t="s">
        <v>751</v>
      </c>
      <c r="C839" s="3" t="s">
        <v>449</v>
      </c>
      <c r="D839" s="12" t="s">
        <v>40</v>
      </c>
      <c r="E839" s="12" t="s">
        <v>40</v>
      </c>
      <c r="F839" s="12" t="s">
        <v>40</v>
      </c>
      <c r="G839" s="12"/>
      <c r="H839" s="12" t="s">
        <v>40</v>
      </c>
      <c r="I839" s="12"/>
      <c r="J839" s="12"/>
      <c r="K839" s="12"/>
      <c r="L839" s="12">
        <v>30750</v>
      </c>
      <c r="M839" s="15">
        <f t="shared" si="168"/>
        <v>7</v>
      </c>
      <c r="N839" s="15">
        <f t="shared" si="169"/>
        <v>0</v>
      </c>
      <c r="O839" s="12">
        <v>30750</v>
      </c>
      <c r="P839" s="12">
        <f t="shared" si="167"/>
        <v>2562.5</v>
      </c>
      <c r="Q839" s="12">
        <f t="shared" si="170"/>
        <v>2562.5</v>
      </c>
    </row>
    <row r="840" spans="1:21" x14ac:dyDescent="0.3">
      <c r="A840" s="1">
        <f t="shared" si="171"/>
        <v>22</v>
      </c>
      <c r="B840" s="2" t="s">
        <v>752</v>
      </c>
      <c r="C840" s="3" t="s">
        <v>449</v>
      </c>
      <c r="D840" s="12" t="s">
        <v>40</v>
      </c>
      <c r="E840" s="12" t="s">
        <v>40</v>
      </c>
      <c r="F840" s="12"/>
      <c r="G840" s="12"/>
      <c r="H840" s="12"/>
      <c r="I840" s="12"/>
      <c r="J840" s="12"/>
      <c r="K840" s="12"/>
      <c r="L840" s="12">
        <v>21600</v>
      </c>
      <c r="M840" s="15">
        <f t="shared" si="168"/>
        <v>2</v>
      </c>
      <c r="N840" s="15">
        <f t="shared" si="169"/>
        <v>0</v>
      </c>
      <c r="O840" s="12">
        <v>21600</v>
      </c>
      <c r="P840" s="12">
        <f t="shared" si="167"/>
        <v>1800</v>
      </c>
      <c r="Q840" s="12">
        <f t="shared" si="170"/>
        <v>1800</v>
      </c>
    </row>
    <row r="841" spans="1:21" x14ac:dyDescent="0.3">
      <c r="A841" s="1">
        <f t="shared" si="171"/>
        <v>23</v>
      </c>
      <c r="B841" s="2" t="s">
        <v>753</v>
      </c>
      <c r="C841" s="3" t="s">
        <v>449</v>
      </c>
      <c r="D841" s="12" t="s">
        <v>40</v>
      </c>
      <c r="E841" s="12" t="s">
        <v>40</v>
      </c>
      <c r="F841" s="12" t="s">
        <v>40</v>
      </c>
      <c r="G841" s="12"/>
      <c r="H841" s="12" t="s">
        <v>40</v>
      </c>
      <c r="I841" s="12"/>
      <c r="J841" s="12"/>
      <c r="K841" s="12"/>
      <c r="L841" s="12">
        <v>87088</v>
      </c>
      <c r="M841" s="15">
        <f t="shared" si="168"/>
        <v>7</v>
      </c>
      <c r="N841" s="15">
        <f t="shared" si="169"/>
        <v>0</v>
      </c>
      <c r="O841" s="12">
        <v>87088</v>
      </c>
      <c r="P841" s="12">
        <f t="shared" si="167"/>
        <v>7257.333333333333</v>
      </c>
      <c r="Q841" s="12">
        <f t="shared" si="170"/>
        <v>7257.333333333333</v>
      </c>
    </row>
    <row r="842" spans="1:21" x14ac:dyDescent="0.3">
      <c r="A842" s="1">
        <f t="shared" si="171"/>
        <v>24</v>
      </c>
      <c r="B842" s="2" t="s">
        <v>754</v>
      </c>
      <c r="C842" s="3" t="s">
        <v>449</v>
      </c>
      <c r="D842" s="12" t="s">
        <v>40</v>
      </c>
      <c r="E842" s="12" t="s">
        <v>40</v>
      </c>
      <c r="F842" s="12"/>
      <c r="G842" s="12"/>
      <c r="H842" s="12"/>
      <c r="I842" s="12"/>
      <c r="J842" s="12"/>
      <c r="K842" s="12"/>
      <c r="L842" s="12">
        <v>9000</v>
      </c>
      <c r="M842" s="15">
        <f t="shared" si="168"/>
        <v>2</v>
      </c>
      <c r="N842" s="15">
        <f t="shared" si="169"/>
        <v>0</v>
      </c>
      <c r="O842" s="12">
        <v>9000</v>
      </c>
      <c r="P842" s="12">
        <f t="shared" si="167"/>
        <v>750</v>
      </c>
      <c r="Q842" s="12">
        <f t="shared" si="170"/>
        <v>750</v>
      </c>
    </row>
    <row r="843" spans="1:21" x14ac:dyDescent="0.3">
      <c r="A843" s="1">
        <f t="shared" si="171"/>
        <v>25</v>
      </c>
      <c r="B843" s="2" t="s">
        <v>755</v>
      </c>
      <c r="C843" s="3" t="s">
        <v>449</v>
      </c>
      <c r="D843" s="50" t="s">
        <v>40</v>
      </c>
      <c r="E843" s="50" t="s">
        <v>40</v>
      </c>
      <c r="F843" s="50"/>
      <c r="G843" s="50"/>
      <c r="H843" s="50" t="s">
        <v>40</v>
      </c>
      <c r="I843" s="50" t="s">
        <v>40</v>
      </c>
      <c r="J843" s="50" t="s">
        <v>897</v>
      </c>
      <c r="K843" s="12"/>
      <c r="L843" s="12">
        <v>124452</v>
      </c>
      <c r="M843" s="15">
        <f t="shared" si="168"/>
        <v>15</v>
      </c>
      <c r="N843" s="15">
        <f t="shared" si="169"/>
        <v>0</v>
      </c>
      <c r="O843" s="12">
        <v>124452</v>
      </c>
      <c r="P843" s="12">
        <f t="shared" si="167"/>
        <v>10371</v>
      </c>
      <c r="Q843" s="12">
        <f t="shared" si="170"/>
        <v>10371</v>
      </c>
    </row>
    <row r="844" spans="1:21" x14ac:dyDescent="0.3">
      <c r="A844" s="1">
        <f t="shared" si="171"/>
        <v>26</v>
      </c>
      <c r="B844" s="2" t="s">
        <v>756</v>
      </c>
      <c r="C844" s="3" t="s">
        <v>449</v>
      </c>
      <c r="D844" s="12" t="s">
        <v>40</v>
      </c>
      <c r="E844" s="12" t="s">
        <v>40</v>
      </c>
      <c r="F844" s="12"/>
      <c r="G844" s="12"/>
      <c r="H844" s="12"/>
      <c r="I844" s="12"/>
      <c r="J844" s="12"/>
      <c r="K844" s="12"/>
      <c r="L844" s="12">
        <v>36000</v>
      </c>
      <c r="M844" s="15">
        <f t="shared" si="168"/>
        <v>2</v>
      </c>
      <c r="N844" s="15">
        <f t="shared" si="169"/>
        <v>0</v>
      </c>
      <c r="O844" s="12">
        <v>36000</v>
      </c>
      <c r="P844" s="12">
        <f t="shared" si="167"/>
        <v>3000</v>
      </c>
      <c r="Q844" s="12">
        <f t="shared" si="170"/>
        <v>3000</v>
      </c>
    </row>
    <row r="845" spans="1:21" x14ac:dyDescent="0.3">
      <c r="A845" s="1">
        <f t="shared" si="171"/>
        <v>27</v>
      </c>
      <c r="B845" s="18" t="s">
        <v>757</v>
      </c>
      <c r="C845" s="3" t="s">
        <v>449</v>
      </c>
      <c r="D845" s="50" t="s">
        <v>40</v>
      </c>
      <c r="E845" s="50" t="s">
        <v>40</v>
      </c>
      <c r="F845" s="50"/>
      <c r="G845" s="50"/>
      <c r="H845" s="50" t="s">
        <v>40</v>
      </c>
      <c r="I845" s="50" t="s">
        <v>40</v>
      </c>
      <c r="J845" s="50" t="s">
        <v>897</v>
      </c>
      <c r="K845" s="12"/>
      <c r="L845" s="12">
        <v>220849</v>
      </c>
      <c r="M845" s="15">
        <f t="shared" si="168"/>
        <v>15</v>
      </c>
      <c r="N845" s="15">
        <f t="shared" si="169"/>
        <v>0</v>
      </c>
      <c r="O845" s="12">
        <v>220849</v>
      </c>
      <c r="P845" s="12">
        <f t="shared" si="167"/>
        <v>18404.083333333332</v>
      </c>
      <c r="Q845" s="12">
        <f t="shared" si="170"/>
        <v>18404.083333333332</v>
      </c>
    </row>
    <row r="846" spans="1:21" x14ac:dyDescent="0.3">
      <c r="A846" s="1">
        <f t="shared" si="171"/>
        <v>28</v>
      </c>
      <c r="B846" s="2" t="s">
        <v>758</v>
      </c>
      <c r="C846" s="3" t="s">
        <v>449</v>
      </c>
      <c r="D846" s="12" t="s">
        <v>40</v>
      </c>
      <c r="E846" s="12" t="s">
        <v>40</v>
      </c>
      <c r="F846" s="12"/>
      <c r="G846" s="12"/>
      <c r="H846" s="12"/>
      <c r="I846" s="12"/>
      <c r="J846" s="12"/>
      <c r="K846" s="12"/>
      <c r="L846" s="12">
        <v>0</v>
      </c>
      <c r="M846" s="15">
        <f t="shared" si="168"/>
        <v>2</v>
      </c>
      <c r="N846" s="15">
        <f t="shared" si="169"/>
        <v>0</v>
      </c>
      <c r="O846" s="20"/>
      <c r="P846" s="12">
        <f t="shared" si="167"/>
        <v>0</v>
      </c>
      <c r="Q846" s="20"/>
    </row>
    <row r="847" spans="1:21" x14ac:dyDescent="0.3">
      <c r="A847" s="1">
        <f t="shared" si="171"/>
        <v>29</v>
      </c>
      <c r="B847" s="10"/>
      <c r="C847" s="9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6"/>
      <c r="O847" s="13"/>
      <c r="P847" s="13"/>
      <c r="Q847" s="13"/>
    </row>
    <row r="848" spans="1:21" x14ac:dyDescent="0.3">
      <c r="A848" s="1">
        <f t="shared" si="171"/>
        <v>30</v>
      </c>
      <c r="B848" s="2" t="s">
        <v>759</v>
      </c>
      <c r="C848" s="3" t="s">
        <v>449</v>
      </c>
      <c r="D848" s="12" t="s">
        <v>40</v>
      </c>
      <c r="E848" s="12" t="s">
        <v>40</v>
      </c>
      <c r="F848" s="12" t="s">
        <v>40</v>
      </c>
      <c r="G848" s="12"/>
      <c r="H848" s="12"/>
      <c r="I848" s="12"/>
      <c r="J848" s="12"/>
      <c r="K848" s="12"/>
      <c r="L848" s="12">
        <v>0</v>
      </c>
      <c r="M848" s="15">
        <f t="shared" si="168"/>
        <v>4</v>
      </c>
      <c r="N848" s="15">
        <f t="shared" si="169"/>
        <v>0</v>
      </c>
      <c r="O848" s="20"/>
      <c r="P848" s="12">
        <f t="shared" ref="P848" si="172">+L848/12</f>
        <v>0</v>
      </c>
      <c r="Q848" s="20"/>
    </row>
    <row r="849" spans="1:17" x14ac:dyDescent="0.3">
      <c r="B849" s="29"/>
      <c r="D849"/>
      <c r="E849"/>
      <c r="F849"/>
      <c r="G849"/>
      <c r="H849"/>
      <c r="I849"/>
      <c r="J849"/>
      <c r="L849" s="14">
        <f>+AVERAGE(L819:L848)</f>
        <v>110211.96178571429</v>
      </c>
      <c r="M849" s="14">
        <f>+AVERAGE(M819:M848)</f>
        <v>6.25</v>
      </c>
      <c r="N849" s="14">
        <f>+SUM(N819:N848)</f>
        <v>2</v>
      </c>
      <c r="O849" s="14">
        <f>+AVERAGE(O819:O848)</f>
        <v>109515.03874999999</v>
      </c>
      <c r="P849" s="14">
        <f>+AVERAGE(P819:P848)</f>
        <v>9184.3301488095258</v>
      </c>
      <c r="Q849" s="14">
        <f>+AVERAGE(Q819:Q848)</f>
        <v>9126.2532291666685</v>
      </c>
    </row>
    <row r="850" spans="1:17" x14ac:dyDescent="0.3">
      <c r="D850"/>
      <c r="E850"/>
      <c r="F850"/>
      <c r="G850"/>
      <c r="H850"/>
      <c r="I850"/>
      <c r="J850"/>
      <c r="L850" s="14">
        <f>+STDEV(L819:L848)</f>
        <v>135344.27747000026</v>
      </c>
      <c r="M850" s="14">
        <f>+STDEV(M819:M848)</f>
        <v>3.8837267325770144</v>
      </c>
      <c r="N850" s="17"/>
      <c r="O850" s="14">
        <f>+STDEV(O819:O848)</f>
        <v>121131.60485677449</v>
      </c>
      <c r="P850" s="14">
        <f>+STDEV(P819:P848)</f>
        <v>11278.689789166687</v>
      </c>
      <c r="Q850" s="14">
        <f>+STDEV(Q819:Q848)</f>
        <v>10094.300404731206</v>
      </c>
    </row>
    <row r="851" spans="1:17" x14ac:dyDescent="0.3">
      <c r="D851"/>
      <c r="E851"/>
      <c r="F851"/>
      <c r="G851"/>
      <c r="H851"/>
      <c r="I851" s="15"/>
      <c r="J851" s="15"/>
      <c r="K851" s="11" t="s">
        <v>75</v>
      </c>
      <c r="L851" s="14">
        <f>+COUNTIF(L819:L848,0)</f>
        <v>3</v>
      </c>
      <c r="M851" s="14">
        <f>+COUNT(M819:M848)</f>
        <v>28</v>
      </c>
      <c r="P851" s="14">
        <f>+COUNTIF(P819:P848,0)</f>
        <v>3</v>
      </c>
    </row>
    <row r="852" spans="1:17" x14ac:dyDescent="0.3">
      <c r="D852"/>
      <c r="E852"/>
      <c r="F852"/>
      <c r="G852"/>
      <c r="H852"/>
      <c r="I852"/>
      <c r="J852"/>
    </row>
    <row r="853" spans="1:17" x14ac:dyDescent="0.3">
      <c r="A853" s="1">
        <v>1</v>
      </c>
      <c r="B853" s="2">
        <v>16121633</v>
      </c>
      <c r="C853" s="3" t="s">
        <v>450</v>
      </c>
      <c r="D853" s="12" t="s">
        <v>40</v>
      </c>
      <c r="E853" s="12" t="s">
        <v>40</v>
      </c>
      <c r="F853" s="12"/>
      <c r="G853" s="12"/>
      <c r="H853" s="12" t="s">
        <v>40</v>
      </c>
      <c r="I853" s="12" t="s">
        <v>40</v>
      </c>
      <c r="J853" s="12"/>
      <c r="K853" s="12"/>
      <c r="L853" s="12">
        <v>152619</v>
      </c>
      <c r="M853" s="15">
        <f>+IF(D853="X",1,0)+IF(E853="X",1,0)+IF(F853="X",2,0)+IF(G853="X",2,0)+IF(H853="X",3,IF(H853="Y",1.5,0))+IF(I853="X",5,IF(I853="Y",2.5,0))+IF(J853="X1",10,IF(J853="X2",5,IF(J853="X3",3,0)))</f>
        <v>10</v>
      </c>
      <c r="N853" s="15">
        <f>+IF(K853="X",1,0)</f>
        <v>0</v>
      </c>
      <c r="O853" s="12">
        <v>152619</v>
      </c>
      <c r="P853" s="12">
        <f t="shared" ref="P853:P882" si="173">+L853/12</f>
        <v>12718.25</v>
      </c>
      <c r="Q853" s="12">
        <f t="shared" ref="Q853:Q882" si="174">+O853/12</f>
        <v>12718.25</v>
      </c>
    </row>
    <row r="854" spans="1:17" x14ac:dyDescent="0.3">
      <c r="A854" s="1">
        <f>+A853+1</f>
        <v>2</v>
      </c>
      <c r="B854" s="2">
        <v>23962652</v>
      </c>
      <c r="C854" s="3" t="s">
        <v>450</v>
      </c>
      <c r="D854" s="12" t="s">
        <v>40</v>
      </c>
      <c r="E854" s="12" t="s">
        <v>40</v>
      </c>
      <c r="F854" s="12"/>
      <c r="G854" s="12"/>
      <c r="H854" s="12"/>
      <c r="I854" s="12"/>
      <c r="J854" s="12"/>
      <c r="K854" s="12"/>
      <c r="L854" s="12">
        <v>26500</v>
      </c>
      <c r="M854" s="15">
        <f t="shared" ref="M854:M882" si="175">+IF(D854="X",1,0)+IF(E854="X",1,0)+IF(F854="X",2,0)+IF(G854="X",2,0)+IF(H854="X",3,IF(H854="Y",1.5,0))+IF(I854="X",5,IF(I854="Y",2.5,0))+IF(J854="X1",10,IF(J854="X2",5,IF(J854="X3",3,0)))</f>
        <v>2</v>
      </c>
      <c r="N854" s="15">
        <f>+IF(K854="X",1,0)</f>
        <v>0</v>
      </c>
      <c r="O854" s="12">
        <v>26500</v>
      </c>
      <c r="P854" s="12">
        <f>+L854/12</f>
        <v>2208.3333333333335</v>
      </c>
      <c r="Q854" s="12">
        <f>+O854/12</f>
        <v>2208.3333333333335</v>
      </c>
    </row>
    <row r="855" spans="1:17" x14ac:dyDescent="0.3">
      <c r="A855" s="1">
        <f t="shared" ref="A855:A882" si="176">+A854+1</f>
        <v>3</v>
      </c>
      <c r="B855" s="4" t="s">
        <v>541</v>
      </c>
      <c r="C855" s="3" t="s">
        <v>450</v>
      </c>
      <c r="D855" s="12" t="s">
        <v>40</v>
      </c>
      <c r="E855" s="12" t="s">
        <v>40</v>
      </c>
      <c r="F855" s="12"/>
      <c r="G855" s="12"/>
      <c r="H855" s="12"/>
      <c r="I855" s="12"/>
      <c r="J855" s="12"/>
      <c r="K855" s="12"/>
      <c r="L855" s="12">
        <v>36000</v>
      </c>
      <c r="M855" s="15">
        <f t="shared" si="175"/>
        <v>2</v>
      </c>
      <c r="N855" s="15">
        <f t="shared" ref="N855:N882" si="177">+IF(K855="X",1,0)</f>
        <v>0</v>
      </c>
      <c r="O855" s="12">
        <v>36000</v>
      </c>
      <c r="P855" s="12">
        <f t="shared" si="173"/>
        <v>3000</v>
      </c>
      <c r="Q855" s="12">
        <f t="shared" si="174"/>
        <v>3000</v>
      </c>
    </row>
    <row r="856" spans="1:17" x14ac:dyDescent="0.3">
      <c r="A856" s="1">
        <f t="shared" si="176"/>
        <v>4</v>
      </c>
      <c r="B856" s="4" t="s">
        <v>542</v>
      </c>
      <c r="C856" s="3" t="s">
        <v>450</v>
      </c>
      <c r="D856" s="12" t="s">
        <v>40</v>
      </c>
      <c r="E856" s="12" t="s">
        <v>40</v>
      </c>
      <c r="F856" s="12"/>
      <c r="G856" s="12"/>
      <c r="H856" s="12" t="s">
        <v>40</v>
      </c>
      <c r="I856" s="12" t="s">
        <v>40</v>
      </c>
      <c r="J856" s="12"/>
      <c r="K856" s="12"/>
      <c r="L856" s="12">
        <v>180000</v>
      </c>
      <c r="M856" s="15">
        <f t="shared" si="175"/>
        <v>10</v>
      </c>
      <c r="N856" s="15">
        <f t="shared" si="177"/>
        <v>0</v>
      </c>
      <c r="O856" s="12">
        <v>180000</v>
      </c>
      <c r="P856" s="12">
        <f t="shared" si="173"/>
        <v>15000</v>
      </c>
      <c r="Q856" s="12">
        <f t="shared" si="174"/>
        <v>15000</v>
      </c>
    </row>
    <row r="857" spans="1:17" x14ac:dyDescent="0.3">
      <c r="A857" s="1">
        <f t="shared" si="176"/>
        <v>5</v>
      </c>
      <c r="B857" s="4" t="s">
        <v>543</v>
      </c>
      <c r="C857" s="3" t="s">
        <v>450</v>
      </c>
      <c r="D857" s="12" t="s">
        <v>40</v>
      </c>
      <c r="E857" s="12" t="s">
        <v>40</v>
      </c>
      <c r="F857" s="12"/>
      <c r="G857" s="12"/>
      <c r="H857" s="12" t="s">
        <v>40</v>
      </c>
      <c r="I857" s="12" t="s">
        <v>40</v>
      </c>
      <c r="J857" s="12"/>
      <c r="K857" s="12"/>
      <c r="L857" s="12">
        <v>144744</v>
      </c>
      <c r="M857" s="15">
        <f t="shared" si="175"/>
        <v>10</v>
      </c>
      <c r="N857" s="15">
        <f t="shared" si="177"/>
        <v>0</v>
      </c>
      <c r="O857" s="12">
        <v>144744</v>
      </c>
      <c r="P857" s="12">
        <f t="shared" si="173"/>
        <v>12062</v>
      </c>
      <c r="Q857" s="12">
        <f t="shared" si="174"/>
        <v>12062</v>
      </c>
    </row>
    <row r="858" spans="1:17" x14ac:dyDescent="0.3">
      <c r="A858" s="1">
        <f t="shared" si="176"/>
        <v>6</v>
      </c>
      <c r="B858" s="4" t="s">
        <v>544</v>
      </c>
      <c r="C858" s="3" t="s">
        <v>450</v>
      </c>
      <c r="D858" s="12" t="s">
        <v>40</v>
      </c>
      <c r="E858" s="12" t="s">
        <v>40</v>
      </c>
      <c r="F858" s="12" t="s">
        <v>40</v>
      </c>
      <c r="G858" s="12" t="s">
        <v>40</v>
      </c>
      <c r="H858" s="12" t="s">
        <v>40</v>
      </c>
      <c r="I858" s="12" t="s">
        <v>40</v>
      </c>
      <c r="J858" s="12"/>
      <c r="K858" s="12"/>
      <c r="L858" s="12">
        <v>200400</v>
      </c>
      <c r="M858" s="15">
        <f t="shared" si="175"/>
        <v>14</v>
      </c>
      <c r="N858" s="15">
        <f t="shared" si="177"/>
        <v>0</v>
      </c>
      <c r="O858" s="20"/>
      <c r="P858" s="12">
        <f t="shared" si="173"/>
        <v>16700</v>
      </c>
      <c r="Q858" s="20"/>
    </row>
    <row r="859" spans="1:17" x14ac:dyDescent="0.3">
      <c r="A859" s="1">
        <f t="shared" si="176"/>
        <v>7</v>
      </c>
      <c r="B859" s="4" t="s">
        <v>545</v>
      </c>
      <c r="C859" s="3" t="s">
        <v>450</v>
      </c>
      <c r="D859" s="12" t="s">
        <v>40</v>
      </c>
      <c r="E859" s="12" t="s">
        <v>40</v>
      </c>
      <c r="F859" s="12"/>
      <c r="G859" s="12"/>
      <c r="H859" s="12" t="s">
        <v>40</v>
      </c>
      <c r="I859" s="12"/>
      <c r="J859" s="12"/>
      <c r="K859" s="12"/>
      <c r="L859" s="12">
        <v>132383</v>
      </c>
      <c r="M859" s="15">
        <f t="shared" si="175"/>
        <v>5</v>
      </c>
      <c r="N859" s="15">
        <f t="shared" si="177"/>
        <v>0</v>
      </c>
      <c r="O859" s="12">
        <v>132383</v>
      </c>
      <c r="P859" s="12">
        <f t="shared" si="173"/>
        <v>11031.916666666666</v>
      </c>
      <c r="Q859" s="12">
        <f t="shared" si="174"/>
        <v>11031.916666666666</v>
      </c>
    </row>
    <row r="860" spans="1:17" x14ac:dyDescent="0.3">
      <c r="A860" s="1">
        <f t="shared" si="176"/>
        <v>8</v>
      </c>
      <c r="B860" s="4" t="s">
        <v>546</v>
      </c>
      <c r="C860" s="3" t="s">
        <v>450</v>
      </c>
      <c r="D860" s="12" t="s">
        <v>40</v>
      </c>
      <c r="E860" s="12" t="s">
        <v>40</v>
      </c>
      <c r="F860" s="12"/>
      <c r="G860" s="12" t="s">
        <v>40</v>
      </c>
      <c r="H860" s="12" t="s">
        <v>40</v>
      </c>
      <c r="I860" s="12"/>
      <c r="J860" s="12"/>
      <c r="K860" s="12"/>
      <c r="L860" s="12">
        <v>54000</v>
      </c>
      <c r="M860" s="15">
        <f t="shared" si="175"/>
        <v>7</v>
      </c>
      <c r="N860" s="15">
        <f t="shared" si="177"/>
        <v>0</v>
      </c>
      <c r="O860" s="12">
        <v>54000</v>
      </c>
      <c r="P860" s="12">
        <f t="shared" si="173"/>
        <v>4500</v>
      </c>
      <c r="Q860" s="12">
        <f t="shared" si="174"/>
        <v>4500</v>
      </c>
    </row>
    <row r="861" spans="1:17" x14ac:dyDescent="0.3">
      <c r="A861" s="1">
        <f t="shared" si="176"/>
        <v>9</v>
      </c>
      <c r="B861" s="4" t="s">
        <v>547</v>
      </c>
      <c r="C861" s="3" t="s">
        <v>450</v>
      </c>
      <c r="D861" s="12" t="s">
        <v>40</v>
      </c>
      <c r="E861" s="12" t="s">
        <v>40</v>
      </c>
      <c r="F861" s="12"/>
      <c r="G861" s="12"/>
      <c r="H861" s="12"/>
      <c r="I861" s="12"/>
      <c r="J861" s="12"/>
      <c r="K861" s="12"/>
      <c r="L861" s="12">
        <v>0</v>
      </c>
      <c r="M861" s="15">
        <f t="shared" si="175"/>
        <v>2</v>
      </c>
      <c r="N861" s="15">
        <f t="shared" si="177"/>
        <v>0</v>
      </c>
      <c r="O861" s="20"/>
      <c r="P861" s="12">
        <f t="shared" si="173"/>
        <v>0</v>
      </c>
      <c r="Q861" s="20"/>
    </row>
    <row r="862" spans="1:17" x14ac:dyDescent="0.3">
      <c r="A862" s="1">
        <f t="shared" si="176"/>
        <v>10</v>
      </c>
      <c r="B862" s="4" t="s">
        <v>548</v>
      </c>
      <c r="C862" s="3" t="s">
        <v>450</v>
      </c>
      <c r="D862" s="12" t="s">
        <v>40</v>
      </c>
      <c r="E862" s="12" t="s">
        <v>40</v>
      </c>
      <c r="F862" s="12"/>
      <c r="G862" s="12"/>
      <c r="H862" s="12"/>
      <c r="I862" s="12"/>
      <c r="J862" s="12"/>
      <c r="K862" s="12"/>
      <c r="L862" s="12">
        <v>84510</v>
      </c>
      <c r="M862" s="15">
        <f t="shared" si="175"/>
        <v>2</v>
      </c>
      <c r="N862" s="15">
        <f t="shared" si="177"/>
        <v>0</v>
      </c>
      <c r="O862" s="12">
        <v>84510</v>
      </c>
      <c r="P862" s="12">
        <f t="shared" si="173"/>
        <v>7042.5</v>
      </c>
      <c r="Q862" s="12">
        <f t="shared" si="174"/>
        <v>7042.5</v>
      </c>
    </row>
    <row r="863" spans="1:17" x14ac:dyDescent="0.3">
      <c r="A863" s="1">
        <f t="shared" si="176"/>
        <v>11</v>
      </c>
      <c r="B863" s="4" t="s">
        <v>549</v>
      </c>
      <c r="C863" s="3" t="s">
        <v>450</v>
      </c>
      <c r="D863" s="12" t="s">
        <v>40</v>
      </c>
      <c r="E863" s="12" t="s">
        <v>40</v>
      </c>
      <c r="F863" s="12"/>
      <c r="G863" s="12"/>
      <c r="H863" s="12" t="s">
        <v>40</v>
      </c>
      <c r="I863" s="12" t="s">
        <v>40</v>
      </c>
      <c r="J863" s="12"/>
      <c r="K863" s="12"/>
      <c r="L863" s="12">
        <v>61800</v>
      </c>
      <c r="M863" s="15">
        <f t="shared" si="175"/>
        <v>10</v>
      </c>
      <c r="N863" s="15">
        <f t="shared" si="177"/>
        <v>0</v>
      </c>
      <c r="O863" s="12">
        <v>61800</v>
      </c>
      <c r="P863" s="12">
        <f t="shared" si="173"/>
        <v>5150</v>
      </c>
      <c r="Q863" s="12">
        <f t="shared" si="174"/>
        <v>5150</v>
      </c>
    </row>
    <row r="864" spans="1:17" x14ac:dyDescent="0.3">
      <c r="A864" s="1">
        <f t="shared" si="176"/>
        <v>12</v>
      </c>
      <c r="B864" s="2">
        <v>29591627</v>
      </c>
      <c r="C864" s="3" t="s">
        <v>450</v>
      </c>
      <c r="D864" s="12" t="s">
        <v>40</v>
      </c>
      <c r="E864" s="12" t="s">
        <v>40</v>
      </c>
      <c r="F864" s="12"/>
      <c r="G864" s="12"/>
      <c r="H864" s="12" t="s">
        <v>40</v>
      </c>
      <c r="I864" s="12"/>
      <c r="J864" s="12"/>
      <c r="K864" s="12"/>
      <c r="L864" s="12">
        <v>24000</v>
      </c>
      <c r="M864" s="15">
        <f t="shared" si="175"/>
        <v>5</v>
      </c>
      <c r="N864" s="15">
        <f t="shared" si="177"/>
        <v>0</v>
      </c>
      <c r="O864" s="12">
        <v>24000</v>
      </c>
      <c r="P864" s="12">
        <f t="shared" si="173"/>
        <v>2000</v>
      </c>
      <c r="Q864" s="12">
        <f t="shared" si="174"/>
        <v>2000</v>
      </c>
    </row>
    <row r="865" spans="1:17" x14ac:dyDescent="0.3">
      <c r="A865" s="1">
        <f t="shared" si="176"/>
        <v>13</v>
      </c>
      <c r="B865" s="2">
        <v>10474708</v>
      </c>
      <c r="C865" s="3" t="s">
        <v>450</v>
      </c>
      <c r="D865" s="50" t="s">
        <v>40</v>
      </c>
      <c r="E865" s="50" t="s">
        <v>40</v>
      </c>
      <c r="F865" s="50"/>
      <c r="G865" s="50"/>
      <c r="H865" s="50" t="s">
        <v>40</v>
      </c>
      <c r="I865" s="50" t="s">
        <v>40</v>
      </c>
      <c r="J865" s="50" t="s">
        <v>901</v>
      </c>
      <c r="K865" s="12"/>
      <c r="L865" s="12">
        <v>67439</v>
      </c>
      <c r="M865" s="15">
        <f t="shared" si="175"/>
        <v>13</v>
      </c>
      <c r="N865" s="15">
        <f t="shared" si="177"/>
        <v>0</v>
      </c>
      <c r="O865" s="12">
        <v>67439</v>
      </c>
      <c r="P865" s="12">
        <f t="shared" si="173"/>
        <v>5619.916666666667</v>
      </c>
      <c r="Q865" s="12">
        <f t="shared" si="174"/>
        <v>5619.916666666667</v>
      </c>
    </row>
    <row r="866" spans="1:17" x14ac:dyDescent="0.3">
      <c r="A866" s="1">
        <f t="shared" si="176"/>
        <v>14</v>
      </c>
      <c r="B866" s="2">
        <v>41468162</v>
      </c>
      <c r="C866" s="3" t="s">
        <v>450</v>
      </c>
      <c r="D866" s="12" t="s">
        <v>40</v>
      </c>
      <c r="E866" s="12" t="s">
        <v>40</v>
      </c>
      <c r="F866" s="12"/>
      <c r="G866" s="12"/>
      <c r="H866" s="12"/>
      <c r="I866" s="12"/>
      <c r="J866" s="12"/>
      <c r="K866" s="12"/>
      <c r="L866" s="12">
        <v>18000</v>
      </c>
      <c r="M866" s="15">
        <f t="shared" si="175"/>
        <v>2</v>
      </c>
      <c r="N866" s="15">
        <f t="shared" si="177"/>
        <v>0</v>
      </c>
      <c r="O866" s="12">
        <v>18000</v>
      </c>
      <c r="P866" s="12">
        <f t="shared" si="173"/>
        <v>1500</v>
      </c>
      <c r="Q866" s="12">
        <f t="shared" si="174"/>
        <v>1500</v>
      </c>
    </row>
    <row r="867" spans="1:17" x14ac:dyDescent="0.3">
      <c r="A867" s="1">
        <f t="shared" si="176"/>
        <v>15</v>
      </c>
      <c r="B867" s="2" t="s">
        <v>530</v>
      </c>
      <c r="C867" s="3" t="s">
        <v>450</v>
      </c>
      <c r="D867" s="12" t="s">
        <v>40</v>
      </c>
      <c r="E867" s="12" t="s">
        <v>40</v>
      </c>
      <c r="F867" s="12" t="s">
        <v>40</v>
      </c>
      <c r="G867" s="12"/>
      <c r="H867" s="12" t="s">
        <v>40</v>
      </c>
      <c r="I867" s="12"/>
      <c r="J867" s="12"/>
      <c r="K867" s="12"/>
      <c r="L867" s="12">
        <v>45800</v>
      </c>
      <c r="M867" s="15">
        <f t="shared" si="175"/>
        <v>7</v>
      </c>
      <c r="N867" s="15">
        <f t="shared" si="177"/>
        <v>0</v>
      </c>
      <c r="O867" s="12">
        <v>45800</v>
      </c>
      <c r="P867" s="12">
        <f t="shared" si="173"/>
        <v>3816.6666666666665</v>
      </c>
      <c r="Q867" s="12">
        <f t="shared" si="174"/>
        <v>3816.6666666666665</v>
      </c>
    </row>
    <row r="868" spans="1:17" x14ac:dyDescent="0.3">
      <c r="A868" s="1">
        <f t="shared" si="176"/>
        <v>16</v>
      </c>
      <c r="B868" s="2" t="s">
        <v>531</v>
      </c>
      <c r="C868" s="3" t="s">
        <v>450</v>
      </c>
      <c r="D868" s="12" t="s">
        <v>40</v>
      </c>
      <c r="E868" s="12" t="s">
        <v>40</v>
      </c>
      <c r="F868" s="12"/>
      <c r="G868" s="12"/>
      <c r="H868" s="12" t="s">
        <v>40</v>
      </c>
      <c r="I868" s="12"/>
      <c r="J868" s="12"/>
      <c r="K868" s="12"/>
      <c r="L868" s="12">
        <v>0</v>
      </c>
      <c r="M868" s="15">
        <f t="shared" si="175"/>
        <v>5</v>
      </c>
      <c r="N868" s="15">
        <f t="shared" si="177"/>
        <v>0</v>
      </c>
      <c r="O868" s="20"/>
      <c r="P868" s="12">
        <f t="shared" si="173"/>
        <v>0</v>
      </c>
      <c r="Q868" s="20"/>
    </row>
    <row r="869" spans="1:17" x14ac:dyDescent="0.3">
      <c r="A869" s="1">
        <f t="shared" si="176"/>
        <v>17</v>
      </c>
      <c r="B869" s="2" t="s">
        <v>532</v>
      </c>
      <c r="C869" s="3" t="s">
        <v>450</v>
      </c>
      <c r="D869" s="12" t="s">
        <v>40</v>
      </c>
      <c r="E869" s="12" t="s">
        <v>40</v>
      </c>
      <c r="F869" s="12" t="s">
        <v>40</v>
      </c>
      <c r="G869" s="12" t="s">
        <v>40</v>
      </c>
      <c r="H869" s="12"/>
      <c r="I869" s="12"/>
      <c r="J869" s="12"/>
      <c r="K869" s="12"/>
      <c r="L869" s="12">
        <v>30000</v>
      </c>
      <c r="M869" s="15">
        <f t="shared" si="175"/>
        <v>6</v>
      </c>
      <c r="N869" s="15">
        <f t="shared" si="177"/>
        <v>0</v>
      </c>
      <c r="O869" s="12">
        <v>30000</v>
      </c>
      <c r="P869" s="12">
        <f t="shared" si="173"/>
        <v>2500</v>
      </c>
      <c r="Q869" s="12">
        <f t="shared" si="174"/>
        <v>2500</v>
      </c>
    </row>
    <row r="870" spans="1:17" x14ac:dyDescent="0.3">
      <c r="A870" s="1">
        <f t="shared" si="176"/>
        <v>18</v>
      </c>
      <c r="B870" s="2" t="s">
        <v>533</v>
      </c>
      <c r="C870" s="3" t="s">
        <v>450</v>
      </c>
      <c r="D870" s="12" t="s">
        <v>40</v>
      </c>
      <c r="E870" s="12" t="s">
        <v>40</v>
      </c>
      <c r="F870" s="12" t="s">
        <v>40</v>
      </c>
      <c r="G870" s="12" t="s">
        <v>40</v>
      </c>
      <c r="H870" s="12" t="s">
        <v>40</v>
      </c>
      <c r="I870" s="12" t="s">
        <v>40</v>
      </c>
      <c r="J870" s="12"/>
      <c r="K870" s="12"/>
      <c r="L870" s="12">
        <v>11000</v>
      </c>
      <c r="M870" s="15">
        <f t="shared" si="175"/>
        <v>14</v>
      </c>
      <c r="N870" s="15">
        <f t="shared" si="177"/>
        <v>0</v>
      </c>
      <c r="O870" s="12">
        <v>11000</v>
      </c>
      <c r="P870" s="12">
        <f t="shared" si="173"/>
        <v>916.66666666666663</v>
      </c>
      <c r="Q870" s="12">
        <f t="shared" si="174"/>
        <v>916.66666666666663</v>
      </c>
    </row>
    <row r="871" spans="1:17" x14ac:dyDescent="0.3">
      <c r="A871" s="1">
        <f t="shared" si="176"/>
        <v>19</v>
      </c>
      <c r="B871" s="2" t="s">
        <v>534</v>
      </c>
      <c r="C871" s="3" t="s">
        <v>450</v>
      </c>
      <c r="D871" s="50" t="s">
        <v>40</v>
      </c>
      <c r="E871" s="50" t="s">
        <v>40</v>
      </c>
      <c r="F871" s="50"/>
      <c r="G871" s="50"/>
      <c r="H871" s="50" t="s">
        <v>40</v>
      </c>
      <c r="I871" s="50" t="s">
        <v>40</v>
      </c>
      <c r="J871" s="50" t="s">
        <v>901</v>
      </c>
      <c r="K871" s="12"/>
      <c r="L871" s="12">
        <v>143600</v>
      </c>
      <c r="M871" s="15">
        <f t="shared" si="175"/>
        <v>13</v>
      </c>
      <c r="N871" s="15">
        <f t="shared" si="177"/>
        <v>0</v>
      </c>
      <c r="O871" s="12">
        <v>143600</v>
      </c>
      <c r="P871" s="12">
        <f t="shared" si="173"/>
        <v>11966.666666666666</v>
      </c>
      <c r="Q871" s="12">
        <f t="shared" si="174"/>
        <v>11966.666666666666</v>
      </c>
    </row>
    <row r="872" spans="1:17" x14ac:dyDescent="0.3">
      <c r="A872" s="1">
        <f t="shared" si="176"/>
        <v>20</v>
      </c>
      <c r="B872" s="10"/>
      <c r="C872" s="9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6"/>
      <c r="O872" s="13"/>
      <c r="P872" s="13"/>
      <c r="Q872" s="13"/>
    </row>
    <row r="873" spans="1:17" x14ac:dyDescent="0.3">
      <c r="A873" s="1">
        <f t="shared" si="176"/>
        <v>21</v>
      </c>
      <c r="B873" s="2">
        <v>32948742</v>
      </c>
      <c r="C873" s="3" t="s">
        <v>450</v>
      </c>
      <c r="D873" s="12" t="s">
        <v>40</v>
      </c>
      <c r="E873" s="12" t="s">
        <v>40</v>
      </c>
      <c r="F873" s="12"/>
      <c r="G873" s="12"/>
      <c r="H873" s="12"/>
      <c r="I873" s="12"/>
      <c r="J873" s="12"/>
      <c r="K873" s="12"/>
      <c r="L873" s="12">
        <v>0</v>
      </c>
      <c r="M873" s="15">
        <f t="shared" si="175"/>
        <v>2</v>
      </c>
      <c r="N873" s="15">
        <f t="shared" si="177"/>
        <v>0</v>
      </c>
      <c r="O873" s="20"/>
      <c r="P873" s="12">
        <f t="shared" ref="P873" si="178">+L873/12</f>
        <v>0</v>
      </c>
      <c r="Q873" s="20"/>
    </row>
    <row r="874" spans="1:17" x14ac:dyDescent="0.3">
      <c r="A874" s="1">
        <f t="shared" si="176"/>
        <v>22</v>
      </c>
      <c r="B874" s="2">
        <v>43317845</v>
      </c>
      <c r="C874" s="3" t="s">
        <v>450</v>
      </c>
      <c r="D874" s="12" t="s">
        <v>40</v>
      </c>
      <c r="E874" s="12" t="s">
        <v>40</v>
      </c>
      <c r="F874" s="12"/>
      <c r="G874" s="12"/>
      <c r="H874" s="12" t="s">
        <v>40</v>
      </c>
      <c r="I874" s="12" t="s">
        <v>40</v>
      </c>
      <c r="J874" s="12"/>
      <c r="K874" s="12"/>
      <c r="L874" s="12">
        <v>112816</v>
      </c>
      <c r="M874" s="15">
        <f t="shared" si="175"/>
        <v>10</v>
      </c>
      <c r="N874" s="15">
        <f t="shared" si="177"/>
        <v>0</v>
      </c>
      <c r="O874" s="12">
        <v>112816</v>
      </c>
      <c r="P874" s="12">
        <f t="shared" si="173"/>
        <v>9401.3333333333339</v>
      </c>
      <c r="Q874" s="12">
        <f t="shared" si="174"/>
        <v>9401.3333333333339</v>
      </c>
    </row>
    <row r="875" spans="1:17" x14ac:dyDescent="0.3">
      <c r="A875" s="1">
        <f t="shared" si="176"/>
        <v>23</v>
      </c>
      <c r="B875" s="18" t="s">
        <v>550</v>
      </c>
      <c r="C875" s="3" t="s">
        <v>450</v>
      </c>
      <c r="D875" s="12"/>
      <c r="E875" s="12"/>
      <c r="F875" s="12"/>
      <c r="G875" s="12"/>
      <c r="H875" s="12"/>
      <c r="I875" s="12"/>
      <c r="J875" s="12"/>
      <c r="K875" s="12"/>
      <c r="L875" s="12">
        <v>0</v>
      </c>
      <c r="M875" s="15">
        <f t="shared" si="175"/>
        <v>0</v>
      </c>
      <c r="N875" s="15">
        <f t="shared" si="177"/>
        <v>0</v>
      </c>
      <c r="O875" s="20"/>
      <c r="P875" s="12">
        <f t="shared" si="173"/>
        <v>0</v>
      </c>
      <c r="Q875" s="20"/>
    </row>
    <row r="876" spans="1:17" x14ac:dyDescent="0.3">
      <c r="A876" s="1">
        <f t="shared" si="176"/>
        <v>24</v>
      </c>
      <c r="B876" s="2" t="s">
        <v>535</v>
      </c>
      <c r="C876" s="3" t="s">
        <v>450</v>
      </c>
      <c r="D876" s="12" t="s">
        <v>40</v>
      </c>
      <c r="E876" s="12" t="s">
        <v>40</v>
      </c>
      <c r="F876" s="12"/>
      <c r="G876" s="12" t="s">
        <v>40</v>
      </c>
      <c r="H876" s="12"/>
      <c r="I876" s="12"/>
      <c r="J876" s="12"/>
      <c r="K876" s="12"/>
      <c r="L876" s="12">
        <v>0</v>
      </c>
      <c r="M876" s="15">
        <f t="shared" si="175"/>
        <v>4</v>
      </c>
      <c r="N876" s="15">
        <f t="shared" si="177"/>
        <v>0</v>
      </c>
      <c r="O876" s="20"/>
      <c r="P876" s="12">
        <f t="shared" si="173"/>
        <v>0</v>
      </c>
      <c r="Q876" s="20"/>
    </row>
    <row r="877" spans="1:17" x14ac:dyDescent="0.3">
      <c r="A877" s="1">
        <f t="shared" si="176"/>
        <v>25</v>
      </c>
      <c r="B877" s="2" t="s">
        <v>551</v>
      </c>
      <c r="C877" s="3" t="s">
        <v>450</v>
      </c>
      <c r="D877" s="12" t="s">
        <v>40</v>
      </c>
      <c r="E877" s="12" t="s">
        <v>40</v>
      </c>
      <c r="F877" s="12"/>
      <c r="G877" s="12"/>
      <c r="H877" s="12"/>
      <c r="I877" s="12"/>
      <c r="J877" s="12"/>
      <c r="K877" s="12"/>
      <c r="L877" s="12">
        <v>34000</v>
      </c>
      <c r="M877" s="15">
        <f t="shared" si="175"/>
        <v>2</v>
      </c>
      <c r="N877" s="15">
        <f t="shared" si="177"/>
        <v>0</v>
      </c>
      <c r="O877" s="12">
        <v>34000</v>
      </c>
      <c r="P877" s="12">
        <f t="shared" si="173"/>
        <v>2833.3333333333335</v>
      </c>
      <c r="Q877" s="12">
        <f t="shared" si="174"/>
        <v>2833.3333333333335</v>
      </c>
    </row>
    <row r="878" spans="1:17" x14ac:dyDescent="0.3">
      <c r="A878" s="1">
        <f t="shared" si="176"/>
        <v>26</v>
      </c>
      <c r="B878" s="2" t="s">
        <v>536</v>
      </c>
      <c r="C878" s="3" t="s">
        <v>450</v>
      </c>
      <c r="D878" s="12" t="s">
        <v>40</v>
      </c>
      <c r="E878" s="12" t="s">
        <v>40</v>
      </c>
      <c r="F878" s="12"/>
      <c r="G878" s="12" t="s">
        <v>40</v>
      </c>
      <c r="H878" s="12"/>
      <c r="I878" s="12"/>
      <c r="J878" s="12"/>
      <c r="K878" s="12"/>
      <c r="L878" s="12">
        <v>30000</v>
      </c>
      <c r="M878" s="15">
        <f t="shared" si="175"/>
        <v>4</v>
      </c>
      <c r="N878" s="15">
        <f t="shared" si="177"/>
        <v>0</v>
      </c>
      <c r="O878" s="12">
        <v>30000</v>
      </c>
      <c r="P878" s="12">
        <f t="shared" si="173"/>
        <v>2500</v>
      </c>
      <c r="Q878" s="12">
        <f t="shared" si="174"/>
        <v>2500</v>
      </c>
    </row>
    <row r="879" spans="1:17" x14ac:dyDescent="0.3">
      <c r="A879" s="1">
        <f t="shared" si="176"/>
        <v>27</v>
      </c>
      <c r="B879" s="2" t="s">
        <v>537</v>
      </c>
      <c r="C879" s="3" t="s">
        <v>450</v>
      </c>
      <c r="D879" s="12" t="s">
        <v>40</v>
      </c>
      <c r="E879" s="12"/>
      <c r="F879" s="12"/>
      <c r="G879" s="12"/>
      <c r="H879" s="12"/>
      <c r="I879" s="12"/>
      <c r="J879" s="12"/>
      <c r="K879" s="12"/>
      <c r="L879" s="12">
        <v>43000</v>
      </c>
      <c r="M879" s="15">
        <f t="shared" si="175"/>
        <v>1</v>
      </c>
      <c r="N879" s="15">
        <f t="shared" si="177"/>
        <v>0</v>
      </c>
      <c r="O879" s="12">
        <v>43000</v>
      </c>
      <c r="P879" s="12">
        <f t="shared" si="173"/>
        <v>3583.3333333333335</v>
      </c>
      <c r="Q879" s="12">
        <f t="shared" si="174"/>
        <v>3583.3333333333335</v>
      </c>
    </row>
    <row r="880" spans="1:17" x14ac:dyDescent="0.3">
      <c r="A880" s="1">
        <f t="shared" si="176"/>
        <v>28</v>
      </c>
      <c r="B880" s="2" t="s">
        <v>538</v>
      </c>
      <c r="C880" s="3" t="s">
        <v>450</v>
      </c>
      <c r="D880" s="12" t="s">
        <v>40</v>
      </c>
      <c r="E880" s="12" t="s">
        <v>40</v>
      </c>
      <c r="F880" s="12" t="s">
        <v>40</v>
      </c>
      <c r="G880" s="12"/>
      <c r="H880" s="12"/>
      <c r="I880" s="12"/>
      <c r="J880" s="12"/>
      <c r="K880" s="12"/>
      <c r="L880" s="12">
        <v>42336</v>
      </c>
      <c r="M880" s="15">
        <f t="shared" si="175"/>
        <v>4</v>
      </c>
      <c r="N880" s="15">
        <f t="shared" si="177"/>
        <v>0</v>
      </c>
      <c r="O880" s="12">
        <v>42336</v>
      </c>
      <c r="P880" s="12">
        <f t="shared" si="173"/>
        <v>3528</v>
      </c>
      <c r="Q880" s="12">
        <f t="shared" si="174"/>
        <v>3528</v>
      </c>
    </row>
    <row r="881" spans="1:17" x14ac:dyDescent="0.3">
      <c r="A881" s="1">
        <f t="shared" si="176"/>
        <v>29</v>
      </c>
      <c r="B881" s="2" t="s">
        <v>539</v>
      </c>
      <c r="C881" s="3" t="s">
        <v>450</v>
      </c>
      <c r="D881" s="12" t="s">
        <v>40</v>
      </c>
      <c r="E881" s="12" t="s">
        <v>40</v>
      </c>
      <c r="F881" s="12"/>
      <c r="G881" s="12"/>
      <c r="H881" s="12"/>
      <c r="I881" s="12"/>
      <c r="J881" s="12"/>
      <c r="K881" s="12"/>
      <c r="L881" s="12">
        <v>0</v>
      </c>
      <c r="M881" s="15">
        <f t="shared" si="175"/>
        <v>2</v>
      </c>
      <c r="N881" s="15">
        <f t="shared" si="177"/>
        <v>0</v>
      </c>
      <c r="O881" s="20"/>
      <c r="P881" s="12">
        <f t="shared" si="173"/>
        <v>0</v>
      </c>
      <c r="Q881" s="20"/>
    </row>
    <row r="882" spans="1:17" x14ac:dyDescent="0.3">
      <c r="A882" s="1">
        <f t="shared" si="176"/>
        <v>30</v>
      </c>
      <c r="B882" s="2" t="s">
        <v>540</v>
      </c>
      <c r="C882" s="3" t="s">
        <v>450</v>
      </c>
      <c r="D882" s="12" t="s">
        <v>40</v>
      </c>
      <c r="E882" s="12" t="s">
        <v>40</v>
      </c>
      <c r="F882" s="12"/>
      <c r="G882" s="12"/>
      <c r="H882" s="12" t="s">
        <v>40</v>
      </c>
      <c r="I882" s="12" t="s">
        <v>40</v>
      </c>
      <c r="J882" s="12"/>
      <c r="K882" s="12"/>
      <c r="L882" s="12">
        <v>160456</v>
      </c>
      <c r="M882" s="15">
        <f t="shared" si="175"/>
        <v>10</v>
      </c>
      <c r="N882" s="15">
        <f t="shared" si="177"/>
        <v>0</v>
      </c>
      <c r="O882" s="12">
        <v>160456</v>
      </c>
      <c r="P882" s="12">
        <f t="shared" si="173"/>
        <v>13371.333333333334</v>
      </c>
      <c r="Q882" s="12">
        <f t="shared" si="174"/>
        <v>13371.333333333334</v>
      </c>
    </row>
    <row r="883" spans="1:17" x14ac:dyDescent="0.3">
      <c r="B883" s="29"/>
      <c r="D883"/>
      <c r="E883"/>
      <c r="F883"/>
      <c r="G883"/>
      <c r="H883"/>
      <c r="I883"/>
      <c r="J883"/>
      <c r="L883" s="14">
        <f>+AVERAGE(L853:L882)</f>
        <v>63289.758620689652</v>
      </c>
      <c r="M883" s="14">
        <f>+AVERAGE(M853:M882)</f>
        <v>6.1379310344827589</v>
      </c>
      <c r="N883" s="14">
        <f>+SUM(N853:N882)</f>
        <v>0</v>
      </c>
      <c r="O883" s="14">
        <f>+AVERAGE(O853:O882)</f>
        <v>74318.318181818177</v>
      </c>
      <c r="P883" s="14">
        <f>+AVERAGE(P853:P882)</f>
        <v>5274.1465517241386</v>
      </c>
      <c r="Q883" s="14">
        <f>+AVERAGE(Q853:Q882)</f>
        <v>6193.193181818182</v>
      </c>
    </row>
    <row r="884" spans="1:17" x14ac:dyDescent="0.3">
      <c r="D884"/>
      <c r="E884"/>
      <c r="F884"/>
      <c r="G884"/>
      <c r="H884"/>
      <c r="I884"/>
      <c r="J884"/>
      <c r="L884" s="14">
        <f>+STDEV(L853:L882)</f>
        <v>61933.30342660976</v>
      </c>
      <c r="M884" s="14">
        <f>+STDEV(M853:M882)</f>
        <v>4.3402117947912773</v>
      </c>
      <c r="N884" s="17"/>
      <c r="O884" s="14">
        <f>+STDEV(O853:O882)</f>
        <v>54288.442036067521</v>
      </c>
      <c r="P884" s="14">
        <f>+STDEV(P853:P882)</f>
        <v>5161.1086188841455</v>
      </c>
      <c r="Q884" s="14">
        <f>+STDEV(Q853:Q882)</f>
        <v>4524.0368363389607</v>
      </c>
    </row>
    <row r="885" spans="1:17" x14ac:dyDescent="0.3">
      <c r="D885"/>
      <c r="E885"/>
      <c r="F885"/>
      <c r="G885"/>
      <c r="H885"/>
      <c r="I885" s="15"/>
      <c r="J885" s="15"/>
      <c r="K885" s="11" t="s">
        <v>75</v>
      </c>
      <c r="L885" s="14">
        <f>+COUNTIF(L853:L882,0)</f>
        <v>6</v>
      </c>
      <c r="M885" s="14">
        <f>+COUNT(M853:M882)</f>
        <v>29</v>
      </c>
      <c r="P885" s="14">
        <f>+COUNTIF(P853:P882,0)</f>
        <v>6</v>
      </c>
    </row>
    <row r="886" spans="1:17" x14ac:dyDescent="0.3">
      <c r="D886"/>
      <c r="E886"/>
      <c r="F886"/>
      <c r="G886"/>
      <c r="H886"/>
      <c r="I886"/>
      <c r="J886"/>
    </row>
    <row r="887" spans="1:17" x14ac:dyDescent="0.3">
      <c r="A887" s="1">
        <v>1</v>
      </c>
      <c r="B887" s="2">
        <v>43409673</v>
      </c>
      <c r="C887" s="3" t="s">
        <v>451</v>
      </c>
      <c r="D887" s="12" t="s">
        <v>40</v>
      </c>
      <c r="E887" s="12" t="s">
        <v>40</v>
      </c>
      <c r="F887" s="12"/>
      <c r="G887" s="12"/>
      <c r="H887" s="12" t="s">
        <v>40</v>
      </c>
      <c r="I887" s="12" t="s">
        <v>40</v>
      </c>
      <c r="J887" s="12"/>
      <c r="K887" s="12"/>
      <c r="L887" s="12">
        <v>186259.32</v>
      </c>
      <c r="M887" s="15">
        <f>+IF(D887="X",1,0)+IF(E887="X",1,0)+IF(F887="X",2,0)+IF(G887="X",2,0)+IF(H887="X",3,IF(H887="Y",1.5,0))+IF(I887="X",5,IF(I887="Y",2.5,0))+IF(J887="X1",10,IF(J887="X2",5,IF(J887="X3",3,0)))</f>
        <v>10</v>
      </c>
      <c r="N887" s="15">
        <f>+IF(K887="X",1,0)</f>
        <v>0</v>
      </c>
      <c r="O887" s="12">
        <v>24000</v>
      </c>
      <c r="P887" s="12">
        <f t="shared" ref="P887:P916" si="179">+L887/12</f>
        <v>15521.61</v>
      </c>
      <c r="Q887" s="12">
        <f t="shared" ref="Q887:Q916" si="180">+O887/12</f>
        <v>2000</v>
      </c>
    </row>
    <row r="888" spans="1:17" x14ac:dyDescent="0.3">
      <c r="A888" s="1">
        <f>+A887+1</f>
        <v>2</v>
      </c>
      <c r="B888" s="4" t="s">
        <v>769</v>
      </c>
      <c r="C888" s="3" t="s">
        <v>451</v>
      </c>
      <c r="D888" s="12" t="s">
        <v>40</v>
      </c>
      <c r="E888" s="12" t="s">
        <v>40</v>
      </c>
      <c r="F888" s="12"/>
      <c r="G888" s="12"/>
      <c r="H888" s="12"/>
      <c r="I888" s="12"/>
      <c r="J888" s="12"/>
      <c r="K888" s="12"/>
      <c r="L888" s="12">
        <v>24000</v>
      </c>
      <c r="M888" s="15">
        <f t="shared" ref="M888:M916" si="181">+IF(D888="X",1,0)+IF(E888="X",1,0)+IF(F888="X",2,0)+IF(G888="X",2,0)+IF(H888="X",3,IF(H888="Y",1.5,0))+IF(I888="X",5,IF(I888="Y",2.5,0))+IF(J888="X1",10,IF(J888="X2",5,IF(J888="X3",3,0)))</f>
        <v>2</v>
      </c>
      <c r="N888" s="15">
        <f t="shared" ref="N888:N916" si="182">+IF(K888="X",1,0)</f>
        <v>0</v>
      </c>
      <c r="O888" s="12">
        <v>24000</v>
      </c>
      <c r="P888" s="12">
        <f t="shared" si="179"/>
        <v>2000</v>
      </c>
      <c r="Q888" s="12">
        <f t="shared" si="180"/>
        <v>2000</v>
      </c>
    </row>
    <row r="889" spans="1:17" x14ac:dyDescent="0.3">
      <c r="A889" s="1">
        <f t="shared" ref="A889:A916" si="183">+A888+1</f>
        <v>3</v>
      </c>
      <c r="B889" s="4" t="s">
        <v>770</v>
      </c>
      <c r="C889" s="3" t="s">
        <v>451</v>
      </c>
      <c r="D889" s="50" t="s">
        <v>40</v>
      </c>
      <c r="E889" s="50" t="s">
        <v>40</v>
      </c>
      <c r="F889" s="50"/>
      <c r="G889" s="50"/>
      <c r="H889" s="50" t="s">
        <v>40</v>
      </c>
      <c r="I889" s="50" t="s">
        <v>40</v>
      </c>
      <c r="J889" s="50" t="s">
        <v>897</v>
      </c>
      <c r="K889" s="12"/>
      <c r="L889" s="12">
        <v>15370</v>
      </c>
      <c r="M889" s="15">
        <f t="shared" si="181"/>
        <v>15</v>
      </c>
      <c r="N889" s="15">
        <f t="shared" si="182"/>
        <v>0</v>
      </c>
      <c r="O889" s="12">
        <v>15370</v>
      </c>
      <c r="P889" s="12">
        <f t="shared" si="179"/>
        <v>1280.8333333333333</v>
      </c>
      <c r="Q889" s="12">
        <f t="shared" si="180"/>
        <v>1280.8333333333333</v>
      </c>
    </row>
    <row r="890" spans="1:17" x14ac:dyDescent="0.3">
      <c r="A890" s="1">
        <f t="shared" si="183"/>
        <v>4</v>
      </c>
      <c r="B890" s="4" t="s">
        <v>771</v>
      </c>
      <c r="C890" s="3" t="s">
        <v>451</v>
      </c>
      <c r="D890" s="12" t="s">
        <v>40</v>
      </c>
      <c r="E890" s="12" t="s">
        <v>40</v>
      </c>
      <c r="F890" s="12"/>
      <c r="G890" s="12"/>
      <c r="H890" s="12" t="s">
        <v>40</v>
      </c>
      <c r="I890" s="12"/>
      <c r="J890" s="12"/>
      <c r="K890" s="12"/>
      <c r="L890" s="12">
        <v>500</v>
      </c>
      <c r="M890" s="15">
        <f t="shared" si="181"/>
        <v>5</v>
      </c>
      <c r="N890" s="15">
        <f t="shared" si="182"/>
        <v>0</v>
      </c>
      <c r="O890" s="12">
        <v>500</v>
      </c>
      <c r="P890" s="12">
        <f t="shared" si="179"/>
        <v>41.666666666666664</v>
      </c>
      <c r="Q890" s="12">
        <f t="shared" si="180"/>
        <v>41.666666666666664</v>
      </c>
    </row>
    <row r="891" spans="1:17" x14ac:dyDescent="0.3">
      <c r="A891" s="1">
        <f t="shared" si="183"/>
        <v>5</v>
      </c>
      <c r="B891" s="2">
        <v>40758358</v>
      </c>
      <c r="C891" s="3" t="s">
        <v>451</v>
      </c>
      <c r="D891" s="12" t="s">
        <v>40</v>
      </c>
      <c r="E891" s="12" t="s">
        <v>40</v>
      </c>
      <c r="F891" s="12"/>
      <c r="G891" s="12"/>
      <c r="H891" s="12" t="s">
        <v>40</v>
      </c>
      <c r="I891" s="12"/>
      <c r="J891" s="12"/>
      <c r="K891" s="12"/>
      <c r="L891" s="12">
        <v>123024</v>
      </c>
      <c r="M891" s="15">
        <f t="shared" si="181"/>
        <v>5</v>
      </c>
      <c r="N891" s="15">
        <f t="shared" si="182"/>
        <v>0</v>
      </c>
      <c r="O891" s="12">
        <v>123024</v>
      </c>
      <c r="P891" s="12">
        <f t="shared" si="179"/>
        <v>10252</v>
      </c>
      <c r="Q891" s="12">
        <f t="shared" si="180"/>
        <v>10252</v>
      </c>
    </row>
    <row r="892" spans="1:17" x14ac:dyDescent="0.3">
      <c r="A892" s="1">
        <f t="shared" si="183"/>
        <v>6</v>
      </c>
      <c r="B892" s="10"/>
      <c r="C892" s="9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6"/>
      <c r="O892" s="13"/>
      <c r="P892" s="13"/>
      <c r="Q892" s="13"/>
    </row>
    <row r="893" spans="1:17" x14ac:dyDescent="0.3">
      <c r="A893" s="1">
        <f t="shared" si="183"/>
        <v>7</v>
      </c>
      <c r="B893" s="4" t="s">
        <v>772</v>
      </c>
      <c r="C893" s="3" t="s">
        <v>451</v>
      </c>
      <c r="D893" s="12" t="s">
        <v>40</v>
      </c>
      <c r="E893" s="12" t="s">
        <v>40</v>
      </c>
      <c r="F893" s="12"/>
      <c r="G893" s="12"/>
      <c r="H893" s="12" t="s">
        <v>40</v>
      </c>
      <c r="I893" s="12"/>
      <c r="J893" s="12"/>
      <c r="K893" s="12"/>
      <c r="L893" s="12">
        <v>20000</v>
      </c>
      <c r="M893" s="15">
        <f t="shared" si="181"/>
        <v>5</v>
      </c>
      <c r="N893" s="15">
        <f t="shared" si="182"/>
        <v>0</v>
      </c>
      <c r="O893" s="12">
        <v>20000</v>
      </c>
      <c r="P893" s="12">
        <f t="shared" si="179"/>
        <v>1666.6666666666667</v>
      </c>
      <c r="Q893" s="12">
        <f t="shared" si="180"/>
        <v>1666.6666666666667</v>
      </c>
    </row>
    <row r="894" spans="1:17" x14ac:dyDescent="0.3">
      <c r="A894" s="1">
        <f t="shared" si="183"/>
        <v>8</v>
      </c>
      <c r="B894" s="2">
        <v>23930593</v>
      </c>
      <c r="C894" s="3" t="s">
        <v>451</v>
      </c>
      <c r="D894" s="12" t="s">
        <v>40</v>
      </c>
      <c r="E894" s="12" t="s">
        <v>40</v>
      </c>
      <c r="F894" s="12" t="s">
        <v>40</v>
      </c>
      <c r="G894" s="12"/>
      <c r="H894" s="12" t="s">
        <v>40</v>
      </c>
      <c r="I894" s="12"/>
      <c r="J894" s="12"/>
      <c r="K894" s="12"/>
      <c r="L894" s="12">
        <v>0</v>
      </c>
      <c r="M894" s="15">
        <f t="shared" si="181"/>
        <v>7</v>
      </c>
      <c r="N894" s="15">
        <f t="shared" si="182"/>
        <v>0</v>
      </c>
      <c r="O894" s="20"/>
      <c r="P894" s="12">
        <f t="shared" si="179"/>
        <v>0</v>
      </c>
      <c r="Q894" s="20"/>
    </row>
    <row r="895" spans="1:17" x14ac:dyDescent="0.3">
      <c r="A895" s="1">
        <f t="shared" si="183"/>
        <v>9</v>
      </c>
      <c r="B895" s="2">
        <v>10355825</v>
      </c>
      <c r="C895" s="3" t="s">
        <v>451</v>
      </c>
      <c r="D895" s="12" t="s">
        <v>40</v>
      </c>
      <c r="E895" s="12" t="s">
        <v>40</v>
      </c>
      <c r="F895" s="12"/>
      <c r="G895" s="12" t="s">
        <v>40</v>
      </c>
      <c r="H895" s="12" t="s">
        <v>40</v>
      </c>
      <c r="I895" s="12"/>
      <c r="J895" s="12"/>
      <c r="K895" s="12"/>
      <c r="L895" s="12">
        <v>24000</v>
      </c>
      <c r="M895" s="15">
        <f t="shared" si="181"/>
        <v>7</v>
      </c>
      <c r="N895" s="15">
        <f t="shared" si="182"/>
        <v>0</v>
      </c>
      <c r="O895" s="12">
        <v>24000</v>
      </c>
      <c r="P895" s="12">
        <f t="shared" si="179"/>
        <v>2000</v>
      </c>
      <c r="Q895" s="12">
        <f t="shared" si="180"/>
        <v>2000</v>
      </c>
    </row>
    <row r="896" spans="1:17" x14ac:dyDescent="0.3">
      <c r="A896" s="1">
        <f t="shared" si="183"/>
        <v>10</v>
      </c>
      <c r="B896" s="2">
        <v>32928393</v>
      </c>
      <c r="C896" s="3" t="s">
        <v>451</v>
      </c>
      <c r="D896" s="12" t="s">
        <v>40</v>
      </c>
      <c r="E896" s="12" t="s">
        <v>40</v>
      </c>
      <c r="F896" s="12"/>
      <c r="G896" s="12"/>
      <c r="H896" s="12"/>
      <c r="I896" s="12"/>
      <c r="J896" s="12"/>
      <c r="K896" s="12"/>
      <c r="L896" s="12">
        <v>72000</v>
      </c>
      <c r="M896" s="15">
        <f t="shared" si="181"/>
        <v>2</v>
      </c>
      <c r="N896" s="15">
        <f t="shared" si="182"/>
        <v>0</v>
      </c>
      <c r="O896" s="12">
        <v>72000</v>
      </c>
      <c r="P896" s="12">
        <f t="shared" si="179"/>
        <v>6000</v>
      </c>
      <c r="Q896" s="12">
        <f t="shared" si="180"/>
        <v>6000</v>
      </c>
    </row>
    <row r="897" spans="1:17" x14ac:dyDescent="0.3">
      <c r="A897" s="1">
        <f t="shared" si="183"/>
        <v>11</v>
      </c>
      <c r="B897" s="2" t="s">
        <v>762</v>
      </c>
      <c r="C897" s="3" t="s">
        <v>451</v>
      </c>
      <c r="D897" s="12" t="s">
        <v>40</v>
      </c>
      <c r="E897" s="12" t="s">
        <v>40</v>
      </c>
      <c r="F897" s="12"/>
      <c r="G897" s="12"/>
      <c r="H897" s="12"/>
      <c r="I897" s="12"/>
      <c r="J897" s="12"/>
      <c r="K897" s="12"/>
      <c r="L897" s="12">
        <v>33720</v>
      </c>
      <c r="M897" s="15">
        <f t="shared" si="181"/>
        <v>2</v>
      </c>
      <c r="N897" s="15">
        <f t="shared" si="182"/>
        <v>0</v>
      </c>
      <c r="O897" s="12">
        <v>33720</v>
      </c>
      <c r="P897" s="12">
        <f t="shared" si="179"/>
        <v>2810</v>
      </c>
      <c r="Q897" s="12">
        <f t="shared" si="180"/>
        <v>2810</v>
      </c>
    </row>
    <row r="898" spans="1:17" x14ac:dyDescent="0.3">
      <c r="A898" s="1">
        <f t="shared" si="183"/>
        <v>12</v>
      </c>
      <c r="B898" s="2">
        <v>40846145</v>
      </c>
      <c r="C898" s="3" t="s">
        <v>451</v>
      </c>
      <c r="D898" s="12" t="s">
        <v>40</v>
      </c>
      <c r="E898" s="12" t="s">
        <v>40</v>
      </c>
      <c r="F898" s="12"/>
      <c r="G898" s="12"/>
      <c r="H898" s="12" t="s">
        <v>40</v>
      </c>
      <c r="I898" s="12"/>
      <c r="J898" s="12"/>
      <c r="K898" s="12"/>
      <c r="L898" s="12">
        <v>18000</v>
      </c>
      <c r="M898" s="15">
        <f t="shared" si="181"/>
        <v>5</v>
      </c>
      <c r="N898" s="15">
        <f t="shared" si="182"/>
        <v>0</v>
      </c>
      <c r="O898" s="12">
        <v>18000</v>
      </c>
      <c r="P898" s="12">
        <f t="shared" si="179"/>
        <v>1500</v>
      </c>
      <c r="Q898" s="12">
        <f t="shared" si="180"/>
        <v>1500</v>
      </c>
    </row>
    <row r="899" spans="1:17" x14ac:dyDescent="0.3">
      <c r="A899" s="1">
        <f t="shared" si="183"/>
        <v>13</v>
      </c>
      <c r="B899" s="2" t="s">
        <v>763</v>
      </c>
      <c r="C899" s="3" t="s">
        <v>451</v>
      </c>
      <c r="D899" s="12" t="s">
        <v>40</v>
      </c>
      <c r="E899" s="12" t="s">
        <v>40</v>
      </c>
      <c r="F899" s="12"/>
      <c r="G899" s="12"/>
      <c r="H899" s="12"/>
      <c r="I899" s="12"/>
      <c r="J899" s="12"/>
      <c r="K899" s="12"/>
      <c r="L899" s="12">
        <v>30000</v>
      </c>
      <c r="M899" s="15">
        <f t="shared" si="181"/>
        <v>2</v>
      </c>
      <c r="N899" s="15">
        <f t="shared" si="182"/>
        <v>0</v>
      </c>
      <c r="O899" s="12">
        <v>30000</v>
      </c>
      <c r="P899" s="12">
        <f t="shared" si="179"/>
        <v>2500</v>
      </c>
      <c r="Q899" s="12">
        <f t="shared" si="180"/>
        <v>2500</v>
      </c>
    </row>
    <row r="900" spans="1:17" x14ac:dyDescent="0.3">
      <c r="A900" s="1">
        <f t="shared" si="183"/>
        <v>14</v>
      </c>
      <c r="B900" s="2">
        <v>32874925</v>
      </c>
      <c r="C900" s="3" t="s">
        <v>451</v>
      </c>
      <c r="D900" s="12" t="s">
        <v>40</v>
      </c>
      <c r="E900" s="12" t="s">
        <v>40</v>
      </c>
      <c r="F900" s="12" t="s">
        <v>40</v>
      </c>
      <c r="G900" s="12"/>
      <c r="H900" s="12"/>
      <c r="I900" s="12"/>
      <c r="J900" s="12"/>
      <c r="K900" s="12"/>
      <c r="L900" s="12">
        <v>37200</v>
      </c>
      <c r="M900" s="15">
        <f t="shared" si="181"/>
        <v>4</v>
      </c>
      <c r="N900" s="15">
        <f t="shared" si="182"/>
        <v>0</v>
      </c>
      <c r="O900" s="12">
        <v>37200</v>
      </c>
      <c r="P900" s="12">
        <f t="shared" si="179"/>
        <v>3100</v>
      </c>
      <c r="Q900" s="12">
        <f t="shared" si="180"/>
        <v>3100</v>
      </c>
    </row>
    <row r="901" spans="1:17" x14ac:dyDescent="0.3">
      <c r="A901" s="1">
        <f t="shared" si="183"/>
        <v>15</v>
      </c>
      <c r="B901" s="2" t="s">
        <v>764</v>
      </c>
      <c r="C901" s="3" t="s">
        <v>451</v>
      </c>
      <c r="D901" s="12" t="s">
        <v>40</v>
      </c>
      <c r="E901" s="12" t="s">
        <v>40</v>
      </c>
      <c r="F901" s="12"/>
      <c r="G901" s="12"/>
      <c r="H901" s="12"/>
      <c r="I901" s="12"/>
      <c r="J901" s="12"/>
      <c r="K901" s="12"/>
      <c r="L901" s="12">
        <v>47528.639999999999</v>
      </c>
      <c r="M901" s="15">
        <f t="shared" si="181"/>
        <v>2</v>
      </c>
      <c r="N901" s="15">
        <f t="shared" si="182"/>
        <v>0</v>
      </c>
      <c r="O901" s="12">
        <v>47528.639999999999</v>
      </c>
      <c r="P901" s="12">
        <f t="shared" si="179"/>
        <v>3960.72</v>
      </c>
      <c r="Q901" s="12">
        <f t="shared" si="180"/>
        <v>3960.72</v>
      </c>
    </row>
    <row r="902" spans="1:17" x14ac:dyDescent="0.3">
      <c r="A902" s="1">
        <f t="shared" si="183"/>
        <v>16</v>
      </c>
      <c r="B902" s="2">
        <v>32796381</v>
      </c>
      <c r="C902" s="3" t="s">
        <v>451</v>
      </c>
      <c r="D902" s="12" t="s">
        <v>40</v>
      </c>
      <c r="E902" s="12" t="s">
        <v>40</v>
      </c>
      <c r="F902" s="12"/>
      <c r="G902" s="12" t="s">
        <v>40</v>
      </c>
      <c r="H902" s="12" t="s">
        <v>40</v>
      </c>
      <c r="I902" s="12" t="s">
        <v>40</v>
      </c>
      <c r="J902" s="12"/>
      <c r="K902" s="12"/>
      <c r="L902" s="12">
        <v>30000</v>
      </c>
      <c r="M902" s="15">
        <f t="shared" si="181"/>
        <v>12</v>
      </c>
      <c r="N902" s="15">
        <f t="shared" si="182"/>
        <v>0</v>
      </c>
      <c r="O902" s="12">
        <v>30000</v>
      </c>
      <c r="P902" s="12">
        <f t="shared" si="179"/>
        <v>2500</v>
      </c>
      <c r="Q902" s="12">
        <f t="shared" si="180"/>
        <v>2500</v>
      </c>
    </row>
    <row r="903" spans="1:17" x14ac:dyDescent="0.3">
      <c r="A903" s="1">
        <f t="shared" si="183"/>
        <v>17</v>
      </c>
      <c r="B903" s="4" t="s">
        <v>773</v>
      </c>
      <c r="C903" s="3" t="s">
        <v>451</v>
      </c>
      <c r="D903" s="12" t="s">
        <v>40</v>
      </c>
      <c r="E903" s="12" t="s">
        <v>40</v>
      </c>
      <c r="F903" s="12"/>
      <c r="G903" s="12"/>
      <c r="H903" s="12"/>
      <c r="I903" s="12"/>
      <c r="J903" s="12"/>
      <c r="K903" s="12"/>
      <c r="L903" s="12">
        <v>25000</v>
      </c>
      <c r="M903" s="15">
        <f t="shared" si="181"/>
        <v>2</v>
      </c>
      <c r="N903" s="15">
        <f t="shared" si="182"/>
        <v>0</v>
      </c>
      <c r="O903" s="12">
        <v>25000</v>
      </c>
      <c r="P903" s="12">
        <f t="shared" si="179"/>
        <v>2083.3333333333335</v>
      </c>
      <c r="Q903" s="12">
        <f t="shared" si="180"/>
        <v>2083.3333333333335</v>
      </c>
    </row>
    <row r="904" spans="1:17" x14ac:dyDescent="0.3">
      <c r="A904" s="1">
        <f t="shared" si="183"/>
        <v>18</v>
      </c>
      <c r="B904" s="10"/>
      <c r="C904" s="9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6"/>
      <c r="O904" s="13"/>
      <c r="P904" s="13"/>
      <c r="Q904" s="13"/>
    </row>
    <row r="905" spans="1:17" x14ac:dyDescent="0.3">
      <c r="A905" s="1">
        <f t="shared" si="183"/>
        <v>19</v>
      </c>
      <c r="B905" s="2">
        <v>43448254</v>
      </c>
      <c r="C905" s="3" t="s">
        <v>451</v>
      </c>
      <c r="D905" s="12" t="s">
        <v>40</v>
      </c>
      <c r="E905" s="12" t="s">
        <v>40</v>
      </c>
      <c r="F905" s="12"/>
      <c r="G905" s="12"/>
      <c r="H905" s="12" t="s">
        <v>40</v>
      </c>
      <c r="I905" s="12" t="s">
        <v>40</v>
      </c>
      <c r="J905" s="12"/>
      <c r="K905" s="12"/>
      <c r="L905" s="12">
        <v>220000</v>
      </c>
      <c r="M905" s="15">
        <f t="shared" si="181"/>
        <v>10</v>
      </c>
      <c r="N905" s="15">
        <f t="shared" si="182"/>
        <v>0</v>
      </c>
      <c r="O905" s="20"/>
      <c r="P905" s="12">
        <f t="shared" ref="P905" si="184">+L905/12</f>
        <v>18333.333333333332</v>
      </c>
      <c r="Q905" s="20"/>
    </row>
    <row r="906" spans="1:17" x14ac:dyDescent="0.3">
      <c r="A906" s="1">
        <f t="shared" si="183"/>
        <v>20</v>
      </c>
      <c r="B906" s="2">
        <v>20099934</v>
      </c>
      <c r="C906" s="3" t="s">
        <v>451</v>
      </c>
      <c r="D906" s="12" t="s">
        <v>40</v>
      </c>
      <c r="E906" s="12" t="s">
        <v>40</v>
      </c>
      <c r="F906" s="12"/>
      <c r="G906" s="12" t="s">
        <v>40</v>
      </c>
      <c r="H906" s="12" t="s">
        <v>40</v>
      </c>
      <c r="I906" s="12"/>
      <c r="J906" s="12"/>
      <c r="K906" s="12"/>
      <c r="L906" s="12">
        <v>36000</v>
      </c>
      <c r="M906" s="15">
        <f t="shared" si="181"/>
        <v>7</v>
      </c>
      <c r="N906" s="15">
        <f t="shared" si="182"/>
        <v>0</v>
      </c>
      <c r="O906" s="12">
        <v>36000</v>
      </c>
      <c r="P906" s="12">
        <f t="shared" si="179"/>
        <v>3000</v>
      </c>
      <c r="Q906" s="12">
        <f t="shared" si="180"/>
        <v>3000</v>
      </c>
    </row>
    <row r="907" spans="1:17" x14ac:dyDescent="0.3">
      <c r="A907" s="1">
        <f t="shared" si="183"/>
        <v>21</v>
      </c>
      <c r="B907" s="2">
        <v>20591425</v>
      </c>
      <c r="C907" s="3" t="s">
        <v>451</v>
      </c>
      <c r="D907" s="12" t="s">
        <v>40</v>
      </c>
      <c r="E907" s="12" t="s">
        <v>40</v>
      </c>
      <c r="F907" s="12"/>
      <c r="G907" s="12"/>
      <c r="H907" s="12"/>
      <c r="I907" s="12"/>
      <c r="J907" s="12"/>
      <c r="K907" s="12"/>
      <c r="L907" s="12">
        <v>24000</v>
      </c>
      <c r="M907" s="15">
        <f t="shared" si="181"/>
        <v>2</v>
      </c>
      <c r="N907" s="15">
        <f t="shared" si="182"/>
        <v>0</v>
      </c>
      <c r="O907" s="12">
        <v>24000</v>
      </c>
      <c r="P907" s="12">
        <f t="shared" si="179"/>
        <v>2000</v>
      </c>
      <c r="Q907" s="12">
        <f t="shared" si="180"/>
        <v>2000</v>
      </c>
    </row>
    <row r="908" spans="1:17" x14ac:dyDescent="0.3">
      <c r="A908" s="1">
        <f t="shared" si="183"/>
        <v>22</v>
      </c>
      <c r="B908" s="2">
        <v>23923643</v>
      </c>
      <c r="C908" s="3" t="s">
        <v>451</v>
      </c>
      <c r="D908" s="12" t="s">
        <v>40</v>
      </c>
      <c r="E908" s="12" t="s">
        <v>40</v>
      </c>
      <c r="F908" s="12"/>
      <c r="G908" s="12"/>
      <c r="H908" s="12"/>
      <c r="I908" s="12"/>
      <c r="J908" s="12"/>
      <c r="K908" s="12"/>
      <c r="L908" s="12">
        <v>18000</v>
      </c>
      <c r="M908" s="15">
        <f t="shared" si="181"/>
        <v>2</v>
      </c>
      <c r="N908" s="15">
        <f t="shared" si="182"/>
        <v>0</v>
      </c>
      <c r="O908" s="12">
        <v>18000</v>
      </c>
      <c r="P908" s="12">
        <f t="shared" si="179"/>
        <v>1500</v>
      </c>
      <c r="Q908" s="12">
        <f t="shared" si="180"/>
        <v>1500</v>
      </c>
    </row>
    <row r="909" spans="1:17" x14ac:dyDescent="0.3">
      <c r="A909" s="1">
        <f t="shared" si="183"/>
        <v>23</v>
      </c>
      <c r="B909" s="2" t="s">
        <v>765</v>
      </c>
      <c r="C909" s="3" t="s">
        <v>451</v>
      </c>
      <c r="D909" s="50" t="s">
        <v>40</v>
      </c>
      <c r="E909" s="50" t="s">
        <v>40</v>
      </c>
      <c r="F909" s="50"/>
      <c r="G909" s="50"/>
      <c r="H909" s="50" t="s">
        <v>40</v>
      </c>
      <c r="I909" s="50" t="s">
        <v>40</v>
      </c>
      <c r="J909" s="50" t="s">
        <v>897</v>
      </c>
      <c r="K909" s="12"/>
      <c r="L909" s="12">
        <v>78000</v>
      </c>
      <c r="M909" s="15">
        <f t="shared" si="181"/>
        <v>15</v>
      </c>
      <c r="N909" s="15">
        <f t="shared" si="182"/>
        <v>0</v>
      </c>
      <c r="O909" s="12">
        <v>78000</v>
      </c>
      <c r="P909" s="12">
        <f t="shared" si="179"/>
        <v>6500</v>
      </c>
      <c r="Q909" s="12">
        <f t="shared" si="180"/>
        <v>6500</v>
      </c>
    </row>
    <row r="910" spans="1:17" x14ac:dyDescent="0.3">
      <c r="A910" s="1">
        <f t="shared" si="183"/>
        <v>24</v>
      </c>
      <c r="B910" s="2" t="s">
        <v>766</v>
      </c>
      <c r="C910" s="3" t="s">
        <v>451</v>
      </c>
      <c r="D910" s="12" t="s">
        <v>40</v>
      </c>
      <c r="E910" s="12" t="s">
        <v>40</v>
      </c>
      <c r="F910" s="12"/>
      <c r="G910" s="12"/>
      <c r="H910" s="12"/>
      <c r="I910" s="12"/>
      <c r="J910" s="12"/>
      <c r="K910" s="12"/>
      <c r="L910" s="12">
        <v>18000</v>
      </c>
      <c r="M910" s="15">
        <f t="shared" si="181"/>
        <v>2</v>
      </c>
      <c r="N910" s="15">
        <f t="shared" si="182"/>
        <v>0</v>
      </c>
      <c r="O910" s="12">
        <v>18000</v>
      </c>
      <c r="P910" s="12">
        <f t="shared" si="179"/>
        <v>1500</v>
      </c>
      <c r="Q910" s="12">
        <f t="shared" si="180"/>
        <v>1500</v>
      </c>
    </row>
    <row r="911" spans="1:17" x14ac:dyDescent="0.3">
      <c r="A911" s="1">
        <f t="shared" si="183"/>
        <v>25</v>
      </c>
      <c r="B911" s="2" t="s">
        <v>767</v>
      </c>
      <c r="C911" s="3" t="s">
        <v>451</v>
      </c>
      <c r="D911" s="12" t="s">
        <v>40</v>
      </c>
      <c r="E911" s="12" t="s">
        <v>40</v>
      </c>
      <c r="F911" s="12"/>
      <c r="G911" s="12"/>
      <c r="H911" s="12"/>
      <c r="I911" s="12"/>
      <c r="J911" s="12"/>
      <c r="K911" s="12"/>
      <c r="L911" s="12">
        <v>0</v>
      </c>
      <c r="M911" s="15">
        <f t="shared" si="181"/>
        <v>2</v>
      </c>
      <c r="N911" s="15">
        <f t="shared" si="182"/>
        <v>0</v>
      </c>
      <c r="O911" s="20"/>
      <c r="P911" s="12">
        <f t="shared" si="179"/>
        <v>0</v>
      </c>
      <c r="Q911" s="20"/>
    </row>
    <row r="912" spans="1:17" x14ac:dyDescent="0.3">
      <c r="A912" s="1">
        <f t="shared" si="183"/>
        <v>26</v>
      </c>
      <c r="B912" s="2">
        <v>32972493</v>
      </c>
      <c r="C912" s="3" t="s">
        <v>451</v>
      </c>
      <c r="D912" s="12" t="s">
        <v>40</v>
      </c>
      <c r="E912" s="12" t="s">
        <v>40</v>
      </c>
      <c r="F912" s="12"/>
      <c r="G912" s="12"/>
      <c r="H912" s="12"/>
      <c r="I912" s="12"/>
      <c r="J912" s="12"/>
      <c r="K912" s="12"/>
      <c r="L912" s="12">
        <v>24000</v>
      </c>
      <c r="M912" s="15">
        <f t="shared" si="181"/>
        <v>2</v>
      </c>
      <c r="N912" s="15">
        <f t="shared" si="182"/>
        <v>0</v>
      </c>
      <c r="O912" s="12">
        <v>24000</v>
      </c>
      <c r="P912" s="12">
        <f t="shared" si="179"/>
        <v>2000</v>
      </c>
      <c r="Q912" s="12">
        <f t="shared" si="180"/>
        <v>2000</v>
      </c>
    </row>
    <row r="913" spans="1:28" x14ac:dyDescent="0.3">
      <c r="A913" s="1">
        <f t="shared" si="183"/>
        <v>27</v>
      </c>
      <c r="B913" s="10"/>
      <c r="C913" s="9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6"/>
      <c r="O913" s="13"/>
      <c r="P913" s="13"/>
      <c r="Q913" s="13"/>
    </row>
    <row r="914" spans="1:28" x14ac:dyDescent="0.3">
      <c r="A914" s="1">
        <f t="shared" si="183"/>
        <v>28</v>
      </c>
      <c r="B914" s="2" t="s">
        <v>768</v>
      </c>
      <c r="C914" s="3" t="s">
        <v>451</v>
      </c>
      <c r="D914" s="12" t="s">
        <v>40</v>
      </c>
      <c r="E914" s="12" t="s">
        <v>40</v>
      </c>
      <c r="F914" s="12"/>
      <c r="G914" s="12"/>
      <c r="H914" s="12"/>
      <c r="I914" s="12"/>
      <c r="J914" s="12"/>
      <c r="K914" s="12"/>
      <c r="L914" s="12">
        <v>18000</v>
      </c>
      <c r="M914" s="15">
        <f t="shared" si="181"/>
        <v>2</v>
      </c>
      <c r="N914" s="15">
        <f t="shared" si="182"/>
        <v>0</v>
      </c>
      <c r="O914" s="12">
        <v>18000</v>
      </c>
      <c r="P914" s="12">
        <f t="shared" si="179"/>
        <v>1500</v>
      </c>
      <c r="Q914" s="12">
        <f t="shared" si="180"/>
        <v>1500</v>
      </c>
    </row>
    <row r="915" spans="1:28" x14ac:dyDescent="0.3">
      <c r="A915" s="1">
        <f t="shared" si="183"/>
        <v>29</v>
      </c>
      <c r="B915" s="10"/>
      <c r="C915" s="9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6"/>
      <c r="O915" s="13"/>
      <c r="P915" s="13"/>
      <c r="Q915" s="13"/>
    </row>
    <row r="916" spans="1:28" x14ac:dyDescent="0.3">
      <c r="A916" s="1">
        <f t="shared" si="183"/>
        <v>30</v>
      </c>
      <c r="B916" s="2">
        <v>15411799</v>
      </c>
      <c r="C916" s="3" t="s">
        <v>451</v>
      </c>
      <c r="D916" s="12" t="s">
        <v>40</v>
      </c>
      <c r="E916" s="12" t="s">
        <v>40</v>
      </c>
      <c r="F916" s="12"/>
      <c r="G916" s="12"/>
      <c r="H916" s="12"/>
      <c r="I916" s="12"/>
      <c r="J916" s="12"/>
      <c r="K916" s="12"/>
      <c r="L916" s="12">
        <v>18000</v>
      </c>
      <c r="M916" s="15">
        <f t="shared" si="181"/>
        <v>2</v>
      </c>
      <c r="N916" s="15">
        <f t="shared" si="182"/>
        <v>0</v>
      </c>
      <c r="O916" s="12">
        <v>18000</v>
      </c>
      <c r="P916" s="12">
        <f t="shared" si="179"/>
        <v>1500</v>
      </c>
      <c r="Q916" s="12">
        <f t="shared" si="180"/>
        <v>1500</v>
      </c>
    </row>
    <row r="917" spans="1:28" x14ac:dyDescent="0.3">
      <c r="B917" s="29"/>
      <c r="D917"/>
      <c r="E917"/>
      <c r="F917"/>
      <c r="G917"/>
      <c r="H917"/>
      <c r="I917"/>
      <c r="J917"/>
      <c r="L917" s="14">
        <f>+AVERAGE(L887:L916)</f>
        <v>43869.306153846155</v>
      </c>
      <c r="M917" s="14">
        <f>+AVERAGE(M887:M916)</f>
        <v>5.115384615384615</v>
      </c>
      <c r="N917" s="14">
        <f>+SUM(N887:N916)</f>
        <v>0</v>
      </c>
      <c r="O917" s="14">
        <f>+AVERAGE(O887:O916)</f>
        <v>32971.419130434784</v>
      </c>
      <c r="P917" s="14">
        <f>+AVERAGE(P887:P916)</f>
        <v>3655.7755128205131</v>
      </c>
      <c r="Q917" s="14">
        <f>+AVERAGE(Q887:Q916)</f>
        <v>2747.6182608695658</v>
      </c>
    </row>
    <row r="918" spans="1:28" x14ac:dyDescent="0.3">
      <c r="D918"/>
      <c r="E918"/>
      <c r="F918"/>
      <c r="G918"/>
      <c r="H918"/>
      <c r="I918"/>
      <c r="J918"/>
      <c r="L918" s="14">
        <f>+STDEV(L887:L916)</f>
        <v>53858.83741790014</v>
      </c>
      <c r="M918" s="14">
        <f>+STDEV(M887:M916)</f>
        <v>4.1407914516616078</v>
      </c>
      <c r="N918" s="17"/>
      <c r="O918" s="14">
        <f>+STDEV(O887:O916)</f>
        <v>26143.492557534693</v>
      </c>
      <c r="P918" s="14">
        <f>+STDEV(P887:P916)</f>
        <v>4488.2364514916781</v>
      </c>
      <c r="Q918" s="14">
        <f>+STDEV(Q887:Q916)</f>
        <v>2178.6243797945576</v>
      </c>
    </row>
    <row r="919" spans="1:28" x14ac:dyDescent="0.3">
      <c r="D919"/>
      <c r="E919"/>
      <c r="F919"/>
      <c r="G919"/>
      <c r="H919"/>
      <c r="I919" s="15"/>
      <c r="J919" s="15"/>
      <c r="K919" s="11" t="s">
        <v>75</v>
      </c>
      <c r="L919" s="14">
        <f>+COUNTIF(L887:L916,0)</f>
        <v>2</v>
      </c>
      <c r="M919" s="14">
        <f>+COUNT(M887:M916)</f>
        <v>26</v>
      </c>
      <c r="P919" s="14">
        <f>+COUNTIF(P887:P916,0)</f>
        <v>2</v>
      </c>
    </row>
    <row r="920" spans="1:28" x14ac:dyDescent="0.3">
      <c r="D920"/>
      <c r="E920"/>
      <c r="F920"/>
      <c r="G920"/>
      <c r="H920"/>
      <c r="I920"/>
      <c r="J920"/>
    </row>
    <row r="921" spans="1:28" x14ac:dyDescent="0.3">
      <c r="A921" s="1">
        <v>1</v>
      </c>
      <c r="B921" s="2" t="s">
        <v>462</v>
      </c>
      <c r="C921" s="3" t="s">
        <v>452</v>
      </c>
      <c r="D921" s="12" t="s">
        <v>40</v>
      </c>
      <c r="E921" s="12" t="s">
        <v>40</v>
      </c>
      <c r="F921" s="12"/>
      <c r="G921" s="12"/>
      <c r="H921" s="12" t="s">
        <v>40</v>
      </c>
      <c r="I921" s="12"/>
      <c r="J921" s="12"/>
      <c r="K921" s="12"/>
      <c r="L921" s="12">
        <v>45000</v>
      </c>
      <c r="M921" s="15">
        <f>+IF(D921="X",1,0)+IF(E921="X",1,0)+IF(F921="X",2,0)+IF(G921="X",2,0)+IF(H921="X",3,IF(H921="Y",1.5,0))+IF(I921="X",5,IF(I921="Y",2.5,0))+IF(J921="X1",10,IF(J921="X2",5,IF(J921="X3",3,0)))</f>
        <v>5</v>
      </c>
      <c r="N921" s="15">
        <f>+IF(K921="X",1,0)</f>
        <v>0</v>
      </c>
      <c r="O921" s="12">
        <v>45000</v>
      </c>
      <c r="P921" s="12">
        <f t="shared" ref="P921:P950" si="185">+L921/12</f>
        <v>3750</v>
      </c>
      <c r="Q921" s="12">
        <f t="shared" ref="Q921:Q945" si="186">+O921/12</f>
        <v>3750</v>
      </c>
      <c r="S921" s="3" t="s">
        <v>452</v>
      </c>
      <c r="T921" s="3" t="s">
        <v>463</v>
      </c>
      <c r="U921" s="3" t="s">
        <v>464</v>
      </c>
      <c r="V921" s="3"/>
      <c r="W921" s="3"/>
      <c r="X921" s="3"/>
      <c r="Y921" s="3"/>
      <c r="Z921" s="3"/>
      <c r="AA921" s="3"/>
      <c r="AB921" s="31">
        <v>0</v>
      </c>
    </row>
    <row r="922" spans="1:28" x14ac:dyDescent="0.3">
      <c r="A922" s="1">
        <f>+A921+1</f>
        <v>2</v>
      </c>
      <c r="B922" s="28" t="s">
        <v>774</v>
      </c>
      <c r="C922" s="3" t="s">
        <v>452</v>
      </c>
      <c r="D922" s="12" t="s">
        <v>40</v>
      </c>
      <c r="E922" s="12" t="s">
        <v>40</v>
      </c>
      <c r="F922" s="12" t="s">
        <v>40</v>
      </c>
      <c r="G922" s="12"/>
      <c r="H922" s="12" t="s">
        <v>40</v>
      </c>
      <c r="I922" s="12"/>
      <c r="J922" s="12"/>
      <c r="K922" s="12"/>
      <c r="L922" s="12">
        <v>40486</v>
      </c>
      <c r="M922" s="15">
        <f t="shared" ref="M922:M950" si="187">+IF(D922="X",1,0)+IF(E922="X",1,0)+IF(F922="X",2,0)+IF(G922="X",2,0)+IF(H922="X",3,IF(H922="Y",1.5,0))+IF(I922="X",5,IF(I922="Y",2.5,0))+IF(J922="X1",10,IF(J922="X2",5,IF(J922="X3",3,0)))</f>
        <v>7</v>
      </c>
      <c r="N922" s="15">
        <f t="shared" ref="N922:N950" si="188">+IF(K922="X",1,0)</f>
        <v>0</v>
      </c>
      <c r="O922" s="12">
        <v>40486</v>
      </c>
      <c r="P922" s="12">
        <f t="shared" si="185"/>
        <v>3373.8333333333335</v>
      </c>
      <c r="Q922" s="12">
        <f t="shared" si="186"/>
        <v>3373.8333333333335</v>
      </c>
      <c r="S922" s="3" t="s">
        <v>452</v>
      </c>
      <c r="T922" s="3"/>
      <c r="U922" s="3"/>
      <c r="V922" s="3"/>
      <c r="W922" s="3"/>
      <c r="X922" s="3"/>
      <c r="Y922" s="3"/>
      <c r="Z922" s="3"/>
      <c r="AA922" s="3"/>
      <c r="AB922" s="31"/>
    </row>
    <row r="923" spans="1:28" x14ac:dyDescent="0.3">
      <c r="A923" s="1">
        <f t="shared" ref="A923:A950" si="189">+A922+1</f>
        <v>3</v>
      </c>
      <c r="B923" s="2" t="s">
        <v>465</v>
      </c>
      <c r="C923" s="3" t="s">
        <v>452</v>
      </c>
      <c r="D923" s="12" t="s">
        <v>40</v>
      </c>
      <c r="E923" s="12" t="s">
        <v>40</v>
      </c>
      <c r="F923" s="12" t="s">
        <v>40</v>
      </c>
      <c r="G923" s="12" t="s">
        <v>40</v>
      </c>
      <c r="H923" s="12" t="s">
        <v>40</v>
      </c>
      <c r="I923" s="12"/>
      <c r="J923" s="12"/>
      <c r="K923" s="12"/>
      <c r="L923" s="12">
        <v>22800</v>
      </c>
      <c r="M923" s="15">
        <f t="shared" si="187"/>
        <v>9</v>
      </c>
      <c r="N923" s="15">
        <f t="shared" si="188"/>
        <v>0</v>
      </c>
      <c r="O923" s="12">
        <v>22800</v>
      </c>
      <c r="P923" s="12">
        <f t="shared" si="185"/>
        <v>1900</v>
      </c>
      <c r="Q923" s="12">
        <f t="shared" si="186"/>
        <v>1900</v>
      </c>
      <c r="S923" s="3" t="s">
        <v>452</v>
      </c>
      <c r="T923" s="3"/>
      <c r="U923" s="3"/>
      <c r="V923" s="3"/>
      <c r="W923" s="3"/>
      <c r="X923" s="3"/>
      <c r="Y923" s="3"/>
      <c r="Z923" s="3"/>
      <c r="AA923" s="3"/>
      <c r="AB923" s="31">
        <v>0</v>
      </c>
    </row>
    <row r="924" spans="1:28" x14ac:dyDescent="0.3">
      <c r="A924" s="1">
        <f t="shared" si="189"/>
        <v>4</v>
      </c>
      <c r="B924" s="2" t="s">
        <v>466</v>
      </c>
      <c r="C924" s="3" t="s">
        <v>452</v>
      </c>
      <c r="D924" s="12" t="s">
        <v>40</v>
      </c>
      <c r="E924" s="12" t="s">
        <v>40</v>
      </c>
      <c r="F924" s="12" t="s">
        <v>40</v>
      </c>
      <c r="G924" s="12"/>
      <c r="H924" s="12"/>
      <c r="I924" s="12"/>
      <c r="J924" s="12"/>
      <c r="K924" s="12"/>
      <c r="L924" s="12">
        <v>12000</v>
      </c>
      <c r="M924" s="15">
        <f t="shared" si="187"/>
        <v>4</v>
      </c>
      <c r="N924" s="15">
        <f t="shared" si="188"/>
        <v>0</v>
      </c>
      <c r="O924" s="12">
        <v>12000</v>
      </c>
      <c r="P924" s="12">
        <f t="shared" si="185"/>
        <v>1000</v>
      </c>
      <c r="Q924" s="12">
        <f t="shared" si="186"/>
        <v>1000</v>
      </c>
      <c r="S924" s="3" t="s">
        <v>452</v>
      </c>
      <c r="T924" s="3"/>
      <c r="U924" s="3"/>
      <c r="V924" s="3"/>
      <c r="W924" s="3"/>
      <c r="X924" s="3"/>
      <c r="Y924" s="3"/>
      <c r="Z924" s="3"/>
      <c r="AA924" s="3"/>
      <c r="AB924" s="31">
        <v>0</v>
      </c>
    </row>
    <row r="925" spans="1:28" x14ac:dyDescent="0.3">
      <c r="A925" s="1">
        <f t="shared" si="189"/>
        <v>5</v>
      </c>
      <c r="B925" s="2" t="s">
        <v>467</v>
      </c>
      <c r="C925" s="3" t="s">
        <v>452</v>
      </c>
      <c r="D925" s="12" t="s">
        <v>40</v>
      </c>
      <c r="E925" s="12" t="s">
        <v>40</v>
      </c>
      <c r="F925" s="12"/>
      <c r="G925" s="12"/>
      <c r="H925" s="12"/>
      <c r="I925" s="12"/>
      <c r="J925" s="12"/>
      <c r="K925" s="12"/>
      <c r="L925" s="12">
        <v>10275</v>
      </c>
      <c r="M925" s="15">
        <f t="shared" si="187"/>
        <v>2</v>
      </c>
      <c r="N925" s="15">
        <f t="shared" si="188"/>
        <v>0</v>
      </c>
      <c r="O925" s="12">
        <v>10275</v>
      </c>
      <c r="P925" s="12">
        <f t="shared" si="185"/>
        <v>856.25</v>
      </c>
      <c r="Q925" s="12">
        <f t="shared" si="186"/>
        <v>856.25</v>
      </c>
      <c r="S925" s="3" t="s">
        <v>452</v>
      </c>
      <c r="T925" s="3"/>
      <c r="U925" s="3"/>
      <c r="V925" s="3"/>
      <c r="W925" s="3"/>
      <c r="X925" s="3"/>
      <c r="Y925" s="3"/>
      <c r="Z925" s="3"/>
      <c r="AA925" s="3"/>
      <c r="AB925" s="31">
        <v>0</v>
      </c>
    </row>
    <row r="926" spans="1:28" x14ac:dyDescent="0.3">
      <c r="A926" s="1">
        <f t="shared" si="189"/>
        <v>6</v>
      </c>
      <c r="B926" s="4" t="s">
        <v>775</v>
      </c>
      <c r="C926" s="3" t="s">
        <v>452</v>
      </c>
      <c r="D926" s="50" t="s">
        <v>40</v>
      </c>
      <c r="E926" s="50" t="s">
        <v>40</v>
      </c>
      <c r="F926" s="50"/>
      <c r="G926" s="50"/>
      <c r="H926" s="50" t="s">
        <v>40</v>
      </c>
      <c r="I926" s="50" t="s">
        <v>40</v>
      </c>
      <c r="J926" s="50" t="s">
        <v>896</v>
      </c>
      <c r="K926" s="12"/>
      <c r="L926" s="12">
        <v>199000</v>
      </c>
      <c r="M926" s="15">
        <f t="shared" si="187"/>
        <v>20</v>
      </c>
      <c r="N926" s="15">
        <f t="shared" si="188"/>
        <v>0</v>
      </c>
      <c r="O926" s="20"/>
      <c r="P926" s="12">
        <f t="shared" si="185"/>
        <v>16583.333333333332</v>
      </c>
      <c r="Q926" s="20"/>
      <c r="S926" s="3" t="s">
        <v>452</v>
      </c>
      <c r="T926" s="3"/>
      <c r="U926" s="3"/>
      <c r="V926" s="3"/>
      <c r="W926" s="3"/>
      <c r="X926" s="3"/>
      <c r="Y926" s="3"/>
      <c r="Z926" s="3"/>
      <c r="AA926" s="3"/>
      <c r="AB926" s="31"/>
    </row>
    <row r="927" spans="1:28" x14ac:dyDescent="0.3">
      <c r="A927" s="1">
        <f t="shared" si="189"/>
        <v>7</v>
      </c>
      <c r="B927" s="4" t="s">
        <v>776</v>
      </c>
      <c r="C927" s="3" t="s">
        <v>452</v>
      </c>
      <c r="D927" s="12" t="s">
        <v>40</v>
      </c>
      <c r="E927" s="12" t="s">
        <v>40</v>
      </c>
      <c r="F927" s="12"/>
      <c r="G927" s="12"/>
      <c r="H927" s="12" t="s">
        <v>40</v>
      </c>
      <c r="I927" s="12"/>
      <c r="J927" s="12"/>
      <c r="K927" s="12"/>
      <c r="L927" s="12">
        <v>50000</v>
      </c>
      <c r="M927" s="15">
        <f t="shared" si="187"/>
        <v>5</v>
      </c>
      <c r="N927" s="15">
        <f t="shared" si="188"/>
        <v>0</v>
      </c>
      <c r="O927" s="12">
        <v>50000</v>
      </c>
      <c r="P927" s="12">
        <f t="shared" si="185"/>
        <v>4166.666666666667</v>
      </c>
      <c r="Q927" s="12">
        <f t="shared" si="186"/>
        <v>4166.666666666667</v>
      </c>
      <c r="S927" s="3" t="s">
        <v>452</v>
      </c>
      <c r="T927" s="3"/>
      <c r="U927" s="3"/>
      <c r="V927" s="3"/>
      <c r="W927" s="3"/>
      <c r="X927" s="3"/>
      <c r="Y927" s="3"/>
      <c r="Z927" s="3"/>
      <c r="AA927" s="3"/>
      <c r="AB927" s="31"/>
    </row>
    <row r="928" spans="1:28" x14ac:dyDescent="0.3">
      <c r="A928" s="1">
        <f t="shared" si="189"/>
        <v>8</v>
      </c>
      <c r="B928" s="4" t="s">
        <v>777</v>
      </c>
      <c r="C928" s="3" t="s">
        <v>452</v>
      </c>
      <c r="D928" s="12" t="s">
        <v>40</v>
      </c>
      <c r="E928" s="12" t="s">
        <v>40</v>
      </c>
      <c r="F928" s="12"/>
      <c r="G928" s="12"/>
      <c r="H928" s="12"/>
      <c r="I928" s="12"/>
      <c r="J928" s="12"/>
      <c r="K928" s="12"/>
      <c r="L928" s="12">
        <v>0</v>
      </c>
      <c r="M928" s="15">
        <f t="shared" si="187"/>
        <v>2</v>
      </c>
      <c r="N928" s="15">
        <f t="shared" si="188"/>
        <v>0</v>
      </c>
      <c r="O928" s="20"/>
      <c r="P928" s="12">
        <f t="shared" si="185"/>
        <v>0</v>
      </c>
      <c r="Q928" s="20"/>
      <c r="S928" s="3" t="s">
        <v>452</v>
      </c>
      <c r="T928" s="3"/>
      <c r="U928" s="3"/>
      <c r="V928" s="3"/>
      <c r="W928" s="3"/>
      <c r="X928" s="3"/>
      <c r="Y928" s="3"/>
      <c r="Z928" s="3"/>
      <c r="AA928" s="3"/>
      <c r="AB928" s="31"/>
    </row>
    <row r="929" spans="1:28" x14ac:dyDescent="0.3">
      <c r="A929" s="1">
        <f t="shared" si="189"/>
        <v>9</v>
      </c>
      <c r="B929" s="2">
        <v>22081767</v>
      </c>
      <c r="C929" s="3" t="s">
        <v>452</v>
      </c>
      <c r="D929" s="12" t="s">
        <v>40</v>
      </c>
      <c r="E929" s="12" t="s">
        <v>40</v>
      </c>
      <c r="F929" s="12"/>
      <c r="G929" s="12"/>
      <c r="H929" s="12" t="s">
        <v>40</v>
      </c>
      <c r="I929" s="12"/>
      <c r="J929" s="12"/>
      <c r="K929" s="12"/>
      <c r="L929" s="12">
        <v>60000</v>
      </c>
      <c r="M929" s="15">
        <f t="shared" si="187"/>
        <v>5</v>
      </c>
      <c r="N929" s="15">
        <f t="shared" si="188"/>
        <v>0</v>
      </c>
      <c r="O929" s="12">
        <v>60000</v>
      </c>
      <c r="P929" s="12">
        <f t="shared" si="185"/>
        <v>5000</v>
      </c>
      <c r="Q929" s="12">
        <f t="shared" si="186"/>
        <v>5000</v>
      </c>
      <c r="S929" s="3" t="s">
        <v>452</v>
      </c>
      <c r="T929" s="32" t="s">
        <v>468</v>
      </c>
      <c r="U929" s="33">
        <v>45096</v>
      </c>
      <c r="V929" s="32" t="s">
        <v>469</v>
      </c>
      <c r="W929" s="33">
        <v>44649</v>
      </c>
      <c r="X929" s="32" t="s">
        <v>470</v>
      </c>
      <c r="Y929" s="34">
        <v>44963</v>
      </c>
      <c r="Z929" s="32" t="s">
        <v>471</v>
      </c>
      <c r="AA929" s="33">
        <v>44973</v>
      </c>
      <c r="AB929" s="31">
        <v>0</v>
      </c>
    </row>
    <row r="930" spans="1:28" x14ac:dyDescent="0.3">
      <c r="A930" s="1">
        <f t="shared" si="189"/>
        <v>10</v>
      </c>
      <c r="B930" s="2" t="s">
        <v>780</v>
      </c>
      <c r="C930" s="3" t="s">
        <v>452</v>
      </c>
      <c r="D930" s="12" t="s">
        <v>40</v>
      </c>
      <c r="E930" s="12" t="s">
        <v>40</v>
      </c>
      <c r="F930" s="12" t="s">
        <v>40</v>
      </c>
      <c r="G930" s="12" t="s">
        <v>40</v>
      </c>
      <c r="H930" s="12" t="s">
        <v>40</v>
      </c>
      <c r="I930" s="12"/>
      <c r="J930" s="12"/>
      <c r="K930" s="12"/>
      <c r="L930" s="12">
        <v>28800</v>
      </c>
      <c r="M930" s="15">
        <f t="shared" si="187"/>
        <v>9</v>
      </c>
      <c r="N930" s="15">
        <f t="shared" si="188"/>
        <v>0</v>
      </c>
      <c r="O930" s="12">
        <v>28800</v>
      </c>
      <c r="P930" s="12">
        <f t="shared" si="185"/>
        <v>2400</v>
      </c>
      <c r="Q930" s="12">
        <f t="shared" si="186"/>
        <v>2400</v>
      </c>
      <c r="S930" s="3" t="s">
        <v>452</v>
      </c>
      <c r="T930" s="32" t="s">
        <v>472</v>
      </c>
      <c r="U930" s="33">
        <v>42929</v>
      </c>
      <c r="V930" s="32"/>
      <c r="W930" s="33"/>
      <c r="X930" s="3"/>
      <c r="Y930" s="35"/>
      <c r="Z930" s="3"/>
      <c r="AA930" s="3"/>
      <c r="AB930" s="31">
        <v>0</v>
      </c>
    </row>
    <row r="931" spans="1:28" x14ac:dyDescent="0.3">
      <c r="A931" s="1">
        <f t="shared" si="189"/>
        <v>11</v>
      </c>
      <c r="B931" s="2" t="s">
        <v>473</v>
      </c>
      <c r="C931" s="3" t="s">
        <v>452</v>
      </c>
      <c r="D931" s="50" t="s">
        <v>40</v>
      </c>
      <c r="E931" s="50" t="s">
        <v>40</v>
      </c>
      <c r="F931" s="50"/>
      <c r="G931" s="50"/>
      <c r="H931" s="50" t="s">
        <v>40</v>
      </c>
      <c r="I931" s="50" t="s">
        <v>40</v>
      </c>
      <c r="J931" s="50" t="s">
        <v>897</v>
      </c>
      <c r="K931" s="12"/>
      <c r="L931" s="12">
        <v>156000</v>
      </c>
      <c r="M931" s="15">
        <f t="shared" si="187"/>
        <v>15</v>
      </c>
      <c r="N931" s="15">
        <f t="shared" si="188"/>
        <v>0</v>
      </c>
      <c r="O931" s="12">
        <v>156000</v>
      </c>
      <c r="P931" s="12">
        <f t="shared" si="185"/>
        <v>13000</v>
      </c>
      <c r="Q931" s="12">
        <f t="shared" si="186"/>
        <v>13000</v>
      </c>
      <c r="S931" s="3" t="s">
        <v>452</v>
      </c>
      <c r="T931" s="32" t="s">
        <v>474</v>
      </c>
      <c r="U931" s="33">
        <v>45497</v>
      </c>
      <c r="V931" s="3"/>
      <c r="W931" s="3"/>
      <c r="X931" s="3"/>
      <c r="Y931" s="35"/>
      <c r="Z931" s="3"/>
      <c r="AA931" s="3"/>
      <c r="AB931" s="31">
        <v>0</v>
      </c>
    </row>
    <row r="932" spans="1:28" x14ac:dyDescent="0.3">
      <c r="A932" s="1">
        <f t="shared" si="189"/>
        <v>12</v>
      </c>
      <c r="B932" s="2" t="s">
        <v>475</v>
      </c>
      <c r="C932" s="3" t="s">
        <v>452</v>
      </c>
      <c r="D932" s="12" t="s">
        <v>40</v>
      </c>
      <c r="E932" s="12" t="s">
        <v>40</v>
      </c>
      <c r="F932" s="12"/>
      <c r="G932" s="12"/>
      <c r="H932" s="12"/>
      <c r="I932" s="12"/>
      <c r="J932" s="12"/>
      <c r="K932" s="12"/>
      <c r="L932" s="12">
        <v>0</v>
      </c>
      <c r="M932" s="15">
        <f t="shared" si="187"/>
        <v>2</v>
      </c>
      <c r="N932" s="15">
        <f t="shared" si="188"/>
        <v>0</v>
      </c>
      <c r="O932" s="20"/>
      <c r="P932" s="12">
        <f t="shared" si="185"/>
        <v>0</v>
      </c>
      <c r="Q932" s="20"/>
      <c r="S932" s="3" t="s">
        <v>452</v>
      </c>
      <c r="T932" s="3"/>
      <c r="U932" s="3"/>
      <c r="V932" s="3"/>
      <c r="W932" s="3"/>
      <c r="X932" s="3"/>
      <c r="Y932" s="35"/>
      <c r="Z932" s="3"/>
      <c r="AA932" s="3"/>
      <c r="AB932" s="31">
        <v>0</v>
      </c>
    </row>
    <row r="933" spans="1:28" x14ac:dyDescent="0.3">
      <c r="A933" s="1">
        <f t="shared" si="189"/>
        <v>13</v>
      </c>
      <c r="B933" s="4" t="s">
        <v>495</v>
      </c>
      <c r="C933" s="3" t="s">
        <v>452</v>
      </c>
      <c r="D933" s="12" t="s">
        <v>40</v>
      </c>
      <c r="E933" s="12" t="s">
        <v>40</v>
      </c>
      <c r="F933" s="12"/>
      <c r="G933" s="12"/>
      <c r="H933" s="12" t="s">
        <v>40</v>
      </c>
      <c r="I933" s="12"/>
      <c r="J933" s="12"/>
      <c r="K933" s="12"/>
      <c r="L933" s="12">
        <v>15000</v>
      </c>
      <c r="M933" s="15">
        <f t="shared" si="187"/>
        <v>5</v>
      </c>
      <c r="N933" s="15">
        <f t="shared" si="188"/>
        <v>0</v>
      </c>
      <c r="O933" s="12">
        <v>15000</v>
      </c>
      <c r="P933" s="12">
        <f t="shared" si="185"/>
        <v>1250</v>
      </c>
      <c r="Q933" s="12">
        <f t="shared" si="186"/>
        <v>1250</v>
      </c>
      <c r="S933" s="3" t="s">
        <v>452</v>
      </c>
      <c r="T933" s="3"/>
      <c r="U933" s="3"/>
      <c r="V933" s="3"/>
      <c r="W933" s="3"/>
      <c r="X933" s="3"/>
      <c r="Y933" s="35"/>
      <c r="Z933" s="3"/>
      <c r="AA933" s="3"/>
      <c r="AB933" s="31"/>
    </row>
    <row r="934" spans="1:28" x14ac:dyDescent="0.3">
      <c r="A934" s="1">
        <f t="shared" si="189"/>
        <v>14</v>
      </c>
      <c r="B934" s="2" t="s">
        <v>476</v>
      </c>
      <c r="C934" s="3" t="s">
        <v>452</v>
      </c>
      <c r="D934" s="12" t="s">
        <v>40</v>
      </c>
      <c r="E934" s="12" t="s">
        <v>40</v>
      </c>
      <c r="F934" s="12"/>
      <c r="G934" s="12"/>
      <c r="H934" s="12"/>
      <c r="I934" s="12"/>
      <c r="J934" s="12"/>
      <c r="K934" s="12"/>
      <c r="L934" s="12">
        <v>0</v>
      </c>
      <c r="M934" s="15">
        <f t="shared" si="187"/>
        <v>2</v>
      </c>
      <c r="N934" s="15">
        <f t="shared" si="188"/>
        <v>0</v>
      </c>
      <c r="O934" s="20"/>
      <c r="P934" s="12">
        <f t="shared" si="185"/>
        <v>0</v>
      </c>
      <c r="Q934" s="20"/>
      <c r="S934" s="3" t="s">
        <v>452</v>
      </c>
      <c r="T934" s="3"/>
      <c r="U934" s="3"/>
      <c r="V934" s="3"/>
      <c r="W934" s="3"/>
      <c r="X934" s="3"/>
      <c r="Y934" s="35"/>
      <c r="Z934" s="3"/>
      <c r="AA934" s="3"/>
      <c r="AB934" s="31">
        <v>0</v>
      </c>
    </row>
    <row r="935" spans="1:28" x14ac:dyDescent="0.3">
      <c r="A935" s="1">
        <f t="shared" si="189"/>
        <v>15</v>
      </c>
      <c r="B935" s="2" t="s">
        <v>781</v>
      </c>
      <c r="C935" s="3" t="s">
        <v>452</v>
      </c>
      <c r="D935" s="12" t="s">
        <v>40</v>
      </c>
      <c r="E935" s="12" t="s">
        <v>40</v>
      </c>
      <c r="F935" s="12" t="s">
        <v>40</v>
      </c>
      <c r="G935" s="12"/>
      <c r="H935" s="12"/>
      <c r="I935" s="12"/>
      <c r="J935" s="12"/>
      <c r="K935" s="12"/>
      <c r="L935" s="12">
        <v>0</v>
      </c>
      <c r="M935" s="15">
        <f t="shared" si="187"/>
        <v>4</v>
      </c>
      <c r="N935" s="15">
        <f t="shared" si="188"/>
        <v>0</v>
      </c>
      <c r="O935" s="20"/>
      <c r="P935" s="12">
        <f t="shared" si="185"/>
        <v>0</v>
      </c>
      <c r="Q935" s="20"/>
      <c r="S935" s="3" t="s">
        <v>452</v>
      </c>
      <c r="T935" s="32" t="s">
        <v>478</v>
      </c>
      <c r="U935" s="15" t="s">
        <v>479</v>
      </c>
      <c r="V935" s="3"/>
      <c r="W935" s="3"/>
      <c r="X935" s="3"/>
      <c r="Y935" s="35"/>
      <c r="Z935" s="3"/>
      <c r="AA935" s="3"/>
      <c r="AB935" s="31">
        <v>0</v>
      </c>
    </row>
    <row r="936" spans="1:28" x14ac:dyDescent="0.3">
      <c r="A936" s="1">
        <f t="shared" si="189"/>
        <v>16</v>
      </c>
      <c r="B936" s="2" t="s">
        <v>480</v>
      </c>
      <c r="C936" s="3" t="s">
        <v>452</v>
      </c>
      <c r="D936" s="12" t="s">
        <v>40</v>
      </c>
      <c r="E936" s="12" t="s">
        <v>40</v>
      </c>
      <c r="F936" s="12"/>
      <c r="G936" s="12"/>
      <c r="H936" s="12"/>
      <c r="I936" s="12"/>
      <c r="J936" s="12"/>
      <c r="K936" s="12"/>
      <c r="L936" s="12">
        <v>0</v>
      </c>
      <c r="M936" s="15">
        <f t="shared" si="187"/>
        <v>2</v>
      </c>
      <c r="N936" s="15">
        <f t="shared" si="188"/>
        <v>0</v>
      </c>
      <c r="O936" s="20"/>
      <c r="P936" s="12">
        <f t="shared" si="185"/>
        <v>0</v>
      </c>
      <c r="Q936" s="20"/>
      <c r="S936" s="3" t="s">
        <v>452</v>
      </c>
      <c r="T936" s="32" t="s">
        <v>481</v>
      </c>
      <c r="U936" s="15" t="s">
        <v>482</v>
      </c>
      <c r="V936" s="3"/>
      <c r="W936" s="3"/>
      <c r="X936" s="3"/>
      <c r="Y936" s="35"/>
      <c r="Z936" s="3"/>
      <c r="AA936" s="3"/>
      <c r="AB936" s="31">
        <v>0</v>
      </c>
    </row>
    <row r="937" spans="1:28" x14ac:dyDescent="0.3">
      <c r="A937" s="1">
        <f t="shared" si="189"/>
        <v>17</v>
      </c>
      <c r="B937" s="2">
        <v>21142650</v>
      </c>
      <c r="C937" s="3" t="s">
        <v>452</v>
      </c>
      <c r="D937" s="12" t="s">
        <v>40</v>
      </c>
      <c r="E937" s="12" t="s">
        <v>40</v>
      </c>
      <c r="F937" s="12"/>
      <c r="G937" s="12"/>
      <c r="H937" s="12" t="s">
        <v>40</v>
      </c>
      <c r="I937" s="12"/>
      <c r="J937" s="12"/>
      <c r="K937" s="12"/>
      <c r="L937" s="12">
        <v>20000</v>
      </c>
      <c r="M937" s="15">
        <f t="shared" si="187"/>
        <v>5</v>
      </c>
      <c r="N937" s="15">
        <f t="shared" si="188"/>
        <v>0</v>
      </c>
      <c r="O937" s="12">
        <v>20000</v>
      </c>
      <c r="P937" s="12">
        <f t="shared" si="185"/>
        <v>1666.6666666666667</v>
      </c>
      <c r="Q937" s="12">
        <f t="shared" si="186"/>
        <v>1666.6666666666667</v>
      </c>
      <c r="S937" s="3" t="s">
        <v>452</v>
      </c>
      <c r="T937" s="32" t="s">
        <v>483</v>
      </c>
      <c r="U937" s="33">
        <v>42929</v>
      </c>
      <c r="V937" s="3"/>
      <c r="W937" s="3"/>
      <c r="X937" s="3"/>
      <c r="Y937" s="35"/>
      <c r="Z937" s="3"/>
      <c r="AA937" s="3"/>
      <c r="AB937" s="31">
        <v>0</v>
      </c>
    </row>
    <row r="938" spans="1:28" x14ac:dyDescent="0.3">
      <c r="A938" s="1">
        <f t="shared" si="189"/>
        <v>18</v>
      </c>
      <c r="B938" s="2" t="s">
        <v>782</v>
      </c>
      <c r="C938" s="3" t="s">
        <v>452</v>
      </c>
      <c r="D938" s="12" t="s">
        <v>40</v>
      </c>
      <c r="E938" s="12" t="s">
        <v>40</v>
      </c>
      <c r="F938" s="12"/>
      <c r="G938" s="12"/>
      <c r="H938" s="12"/>
      <c r="I938" s="12"/>
      <c r="J938" s="12"/>
      <c r="K938" s="12"/>
      <c r="L938" s="12">
        <v>0</v>
      </c>
      <c r="M938" s="15">
        <f t="shared" si="187"/>
        <v>2</v>
      </c>
      <c r="N938" s="15">
        <f t="shared" si="188"/>
        <v>0</v>
      </c>
      <c r="O938" s="20"/>
      <c r="P938" s="12">
        <f t="shared" si="185"/>
        <v>0</v>
      </c>
      <c r="Q938" s="20"/>
      <c r="S938" s="3" t="s">
        <v>452</v>
      </c>
      <c r="T938" s="3"/>
      <c r="U938" s="3"/>
      <c r="V938" s="3"/>
      <c r="W938" s="3"/>
      <c r="X938" s="3"/>
      <c r="Y938" s="35"/>
      <c r="Z938" s="3"/>
      <c r="AA938" s="3"/>
      <c r="AB938" s="31">
        <v>0</v>
      </c>
    </row>
    <row r="939" spans="1:28" x14ac:dyDescent="0.3">
      <c r="A939" s="1">
        <f t="shared" si="189"/>
        <v>19</v>
      </c>
      <c r="B939" s="10"/>
      <c r="C939" s="9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6"/>
      <c r="O939" s="13"/>
      <c r="P939" s="13"/>
      <c r="Q939" s="13"/>
      <c r="S939" s="3" t="s">
        <v>452</v>
      </c>
      <c r="T939" s="32" t="s">
        <v>484</v>
      </c>
      <c r="U939" s="33">
        <v>42929</v>
      </c>
      <c r="V939" s="3"/>
      <c r="W939" s="3"/>
      <c r="X939" s="3"/>
      <c r="Y939" s="35"/>
      <c r="Z939" s="3"/>
      <c r="AA939" s="3"/>
      <c r="AB939" s="31">
        <v>0</v>
      </c>
    </row>
    <row r="940" spans="1:28" x14ac:dyDescent="0.3">
      <c r="A940" s="1">
        <f t="shared" si="189"/>
        <v>20</v>
      </c>
      <c r="B940" s="2" t="s">
        <v>485</v>
      </c>
      <c r="C940" s="3" t="s">
        <v>452</v>
      </c>
      <c r="D940" s="12" t="s">
        <v>40</v>
      </c>
      <c r="E940" s="12" t="s">
        <v>40</v>
      </c>
      <c r="F940" s="12"/>
      <c r="G940" s="12"/>
      <c r="H940" s="12"/>
      <c r="I940" s="12"/>
      <c r="J940" s="12"/>
      <c r="K940" s="12"/>
      <c r="L940" s="12">
        <v>0</v>
      </c>
      <c r="M940" s="15">
        <f t="shared" si="187"/>
        <v>2</v>
      </c>
      <c r="N940" s="15">
        <f t="shared" si="188"/>
        <v>0</v>
      </c>
      <c r="O940" s="20"/>
      <c r="P940" s="12">
        <f t="shared" ref="P940" si="190">+L940/12</f>
        <v>0</v>
      </c>
      <c r="Q940" s="20"/>
      <c r="S940" s="3" t="s">
        <v>452</v>
      </c>
      <c r="T940" s="3"/>
      <c r="U940" s="3"/>
      <c r="V940" s="3"/>
      <c r="W940" s="3"/>
      <c r="X940" s="3"/>
      <c r="Y940" s="35"/>
      <c r="Z940" s="3"/>
      <c r="AA940" s="3"/>
      <c r="AB940" s="31">
        <v>0</v>
      </c>
    </row>
    <row r="941" spans="1:28" x14ac:dyDescent="0.3">
      <c r="A941" s="1">
        <f t="shared" si="189"/>
        <v>21</v>
      </c>
      <c r="B941" s="2" t="s">
        <v>486</v>
      </c>
      <c r="C941" s="3" t="s">
        <v>452</v>
      </c>
      <c r="D941" s="12" t="s">
        <v>40</v>
      </c>
      <c r="E941" s="12" t="s">
        <v>40</v>
      </c>
      <c r="F941" s="12"/>
      <c r="G941" s="12"/>
      <c r="H941" s="12"/>
      <c r="I941" s="12"/>
      <c r="J941" s="12"/>
      <c r="K941" s="12" t="s">
        <v>40</v>
      </c>
      <c r="L941" s="12">
        <v>24000</v>
      </c>
      <c r="M941" s="15">
        <f t="shared" si="187"/>
        <v>2</v>
      </c>
      <c r="N941" s="15">
        <f t="shared" si="188"/>
        <v>1</v>
      </c>
      <c r="O941" s="12">
        <v>24000</v>
      </c>
      <c r="P941" s="12">
        <f t="shared" si="185"/>
        <v>2000</v>
      </c>
      <c r="Q941" s="12">
        <f t="shared" si="186"/>
        <v>2000</v>
      </c>
      <c r="S941" s="3" t="s">
        <v>452</v>
      </c>
      <c r="T941" s="32" t="s">
        <v>487</v>
      </c>
      <c r="U941" s="33">
        <v>42191</v>
      </c>
      <c r="V941" s="36" t="s">
        <v>488</v>
      </c>
      <c r="W941" s="15" t="s">
        <v>464</v>
      </c>
      <c r="X941" s="32" t="s">
        <v>489</v>
      </c>
      <c r="Y941" t="s">
        <v>464</v>
      </c>
      <c r="Z941" s="37" t="s">
        <v>490</v>
      </c>
      <c r="AA941" t="s">
        <v>491</v>
      </c>
      <c r="AB941" s="31">
        <v>1</v>
      </c>
    </row>
    <row r="942" spans="1:28" x14ac:dyDescent="0.3">
      <c r="A942" s="1">
        <f t="shared" si="189"/>
        <v>22</v>
      </c>
      <c r="B942" s="2" t="s">
        <v>492</v>
      </c>
      <c r="C942" s="3" t="s">
        <v>452</v>
      </c>
      <c r="D942" s="12" t="s">
        <v>40</v>
      </c>
      <c r="E942" s="12" t="s">
        <v>40</v>
      </c>
      <c r="F942" s="12"/>
      <c r="G942" s="12"/>
      <c r="H942" s="12"/>
      <c r="I942" s="12"/>
      <c r="J942" s="12"/>
      <c r="K942" s="12"/>
      <c r="L942" s="12">
        <v>0</v>
      </c>
      <c r="M942" s="15">
        <f t="shared" si="187"/>
        <v>2</v>
      </c>
      <c r="N942" s="15">
        <f t="shared" si="188"/>
        <v>0</v>
      </c>
      <c r="O942" s="20"/>
      <c r="P942" s="12">
        <f t="shared" si="185"/>
        <v>0</v>
      </c>
      <c r="Q942" s="20"/>
      <c r="S942" s="3" t="s">
        <v>452</v>
      </c>
      <c r="T942" s="3"/>
      <c r="U942" s="30"/>
      <c r="V942" s="3"/>
      <c r="W942" s="30"/>
      <c r="X942" s="3"/>
      <c r="Y942" s="35"/>
      <c r="Z942" s="3"/>
      <c r="AA942" s="3"/>
      <c r="AB942" s="31">
        <v>0</v>
      </c>
    </row>
    <row r="943" spans="1:28" x14ac:dyDescent="0.3">
      <c r="A943" s="1">
        <f t="shared" si="189"/>
        <v>23</v>
      </c>
      <c r="B943" s="2">
        <v>10419588</v>
      </c>
      <c r="C943" s="3" t="s">
        <v>452</v>
      </c>
      <c r="D943" s="12" t="s">
        <v>40</v>
      </c>
      <c r="E943" s="12" t="s">
        <v>40</v>
      </c>
      <c r="F943" s="12"/>
      <c r="G943" s="12"/>
      <c r="H943" s="12" t="s">
        <v>40</v>
      </c>
      <c r="I943" s="12"/>
      <c r="J943" s="12"/>
      <c r="K943" s="12"/>
      <c r="L943" s="12">
        <v>0</v>
      </c>
      <c r="M943" s="15">
        <f t="shared" si="187"/>
        <v>5</v>
      </c>
      <c r="N943" s="15">
        <f t="shared" si="188"/>
        <v>0</v>
      </c>
      <c r="O943" s="20"/>
      <c r="P943" s="12">
        <f t="shared" si="185"/>
        <v>0</v>
      </c>
      <c r="Q943" s="20"/>
      <c r="S943" s="3" t="s">
        <v>452</v>
      </c>
      <c r="T943" s="36" t="s">
        <v>493</v>
      </c>
      <c r="U943" s="33">
        <v>45588</v>
      </c>
      <c r="V943" s="3"/>
      <c r="W943" s="3"/>
      <c r="X943" s="3"/>
      <c r="Y943" s="35"/>
      <c r="Z943" s="3"/>
      <c r="AA943" s="3"/>
      <c r="AB943" s="31">
        <v>1</v>
      </c>
    </row>
    <row r="944" spans="1:28" x14ac:dyDescent="0.3">
      <c r="A944" s="1">
        <f t="shared" si="189"/>
        <v>24</v>
      </c>
      <c r="B944" s="2">
        <v>10442760</v>
      </c>
      <c r="C944" s="3" t="s">
        <v>452</v>
      </c>
      <c r="D944" s="12" t="s">
        <v>40</v>
      </c>
      <c r="E944" s="12" t="s">
        <v>40</v>
      </c>
      <c r="F944" s="12"/>
      <c r="G944" s="12"/>
      <c r="H944" s="12"/>
      <c r="I944" s="12"/>
      <c r="J944" s="12"/>
      <c r="K944" s="12"/>
      <c r="L944" s="12">
        <v>0</v>
      </c>
      <c r="M944" s="15">
        <f t="shared" si="187"/>
        <v>2</v>
      </c>
      <c r="N944" s="15">
        <f t="shared" si="188"/>
        <v>0</v>
      </c>
      <c r="O944" s="20"/>
      <c r="P944" s="12">
        <f t="shared" si="185"/>
        <v>0</v>
      </c>
      <c r="Q944" s="20"/>
      <c r="S944" s="3" t="s">
        <v>452</v>
      </c>
      <c r="T944" s="36" t="s">
        <v>494</v>
      </c>
      <c r="U944" s="33">
        <v>38313</v>
      </c>
      <c r="V944" s="3"/>
      <c r="W944" s="3"/>
      <c r="X944" s="3"/>
      <c r="Y944" s="35"/>
      <c r="Z944" s="3"/>
      <c r="AA944" s="3"/>
      <c r="AB944" s="31">
        <v>1</v>
      </c>
    </row>
    <row r="945" spans="1:28" x14ac:dyDescent="0.3">
      <c r="A945" s="1">
        <f t="shared" si="189"/>
        <v>25</v>
      </c>
      <c r="B945" s="2">
        <v>25707576</v>
      </c>
      <c r="C945" s="3" t="s">
        <v>452</v>
      </c>
      <c r="D945" s="12" t="s">
        <v>40</v>
      </c>
      <c r="E945" s="12" t="s">
        <v>40</v>
      </c>
      <c r="F945" s="12" t="s">
        <v>40</v>
      </c>
      <c r="G945" s="12" t="s">
        <v>40</v>
      </c>
      <c r="H945" s="12"/>
      <c r="I945" s="12"/>
      <c r="J945" s="12"/>
      <c r="K945" s="12"/>
      <c r="L945" s="12">
        <v>15000</v>
      </c>
      <c r="M945" s="15">
        <f t="shared" si="187"/>
        <v>6</v>
      </c>
      <c r="N945" s="15">
        <f t="shared" si="188"/>
        <v>0</v>
      </c>
      <c r="O945" s="12">
        <v>15000</v>
      </c>
      <c r="P945" s="12">
        <f t="shared" si="185"/>
        <v>1250</v>
      </c>
      <c r="Q945" s="12">
        <f t="shared" si="186"/>
        <v>1250</v>
      </c>
      <c r="S945" s="3" t="s">
        <v>452</v>
      </c>
      <c r="T945" s="36" t="s">
        <v>490</v>
      </c>
      <c r="U945" s="15" t="s">
        <v>491</v>
      </c>
      <c r="V945" s="32" t="s">
        <v>496</v>
      </c>
      <c r="W945" s="15" t="s">
        <v>497</v>
      </c>
      <c r="X945" s="3"/>
      <c r="Y945" s="35"/>
      <c r="Z945" s="3"/>
      <c r="AA945" s="3"/>
      <c r="AB945" s="31">
        <v>1</v>
      </c>
    </row>
    <row r="946" spans="1:28" x14ac:dyDescent="0.3">
      <c r="A946" s="1">
        <f t="shared" si="189"/>
        <v>26</v>
      </c>
      <c r="B946" s="2">
        <v>25724565</v>
      </c>
      <c r="C946" s="3" t="s">
        <v>452</v>
      </c>
      <c r="D946" s="12" t="s">
        <v>40</v>
      </c>
      <c r="E946" s="12" t="s">
        <v>40</v>
      </c>
      <c r="F946" s="12"/>
      <c r="G946" s="12"/>
      <c r="H946" s="12"/>
      <c r="I946" s="12"/>
      <c r="J946" s="12"/>
      <c r="K946" s="12"/>
      <c r="L946" s="12">
        <v>0</v>
      </c>
      <c r="M946" s="15">
        <f t="shared" si="187"/>
        <v>2</v>
      </c>
      <c r="N946" s="15">
        <f t="shared" si="188"/>
        <v>0</v>
      </c>
      <c r="O946" s="20"/>
      <c r="P946" s="12">
        <f t="shared" si="185"/>
        <v>0</v>
      </c>
      <c r="Q946" s="20"/>
      <c r="S946" s="3" t="s">
        <v>452</v>
      </c>
      <c r="T946" s="3"/>
      <c r="U946" s="3"/>
      <c r="V946" s="3"/>
      <c r="W946" s="3"/>
      <c r="X946" s="3"/>
      <c r="Y946" s="35"/>
      <c r="Z946" s="3"/>
      <c r="AA946" s="3"/>
      <c r="AB946" s="31">
        <v>0</v>
      </c>
    </row>
    <row r="947" spans="1:28" x14ac:dyDescent="0.3">
      <c r="A947" s="1">
        <f t="shared" si="189"/>
        <v>27</v>
      </c>
      <c r="B947" s="4" t="s">
        <v>778</v>
      </c>
      <c r="C947" s="3" t="s">
        <v>452</v>
      </c>
      <c r="D947" s="12" t="s">
        <v>40</v>
      </c>
      <c r="E947" s="12" t="s">
        <v>40</v>
      </c>
      <c r="F947" s="12"/>
      <c r="G947" s="12"/>
      <c r="H947" s="12" t="s">
        <v>40</v>
      </c>
      <c r="I947" s="12"/>
      <c r="J947" s="12"/>
      <c r="K947" s="12" t="s">
        <v>40</v>
      </c>
      <c r="L947" s="12">
        <v>0</v>
      </c>
      <c r="M947" s="15">
        <f t="shared" si="187"/>
        <v>5</v>
      </c>
      <c r="N947" s="15">
        <f t="shared" si="188"/>
        <v>1</v>
      </c>
      <c r="O947" s="20"/>
      <c r="P947" s="12">
        <f t="shared" si="185"/>
        <v>0</v>
      </c>
      <c r="Q947" s="20"/>
      <c r="S947" s="3" t="s">
        <v>452</v>
      </c>
      <c r="T947" s="3"/>
      <c r="U947" s="3"/>
      <c r="V947" s="3"/>
      <c r="W947" s="3"/>
      <c r="X947" s="3"/>
      <c r="Y947" s="35"/>
      <c r="Z947" s="3"/>
      <c r="AA947" s="3"/>
      <c r="AB947" s="31"/>
    </row>
    <row r="948" spans="1:28" x14ac:dyDescent="0.3">
      <c r="A948" s="1">
        <f t="shared" si="189"/>
        <v>28</v>
      </c>
      <c r="B948" s="2">
        <v>43790584</v>
      </c>
      <c r="C948" s="3" t="s">
        <v>452</v>
      </c>
      <c r="D948" s="12" t="s">
        <v>40</v>
      </c>
      <c r="E948" s="12" t="s">
        <v>40</v>
      </c>
      <c r="F948" s="12"/>
      <c r="G948" s="12"/>
      <c r="H948" s="12"/>
      <c r="I948" s="12"/>
      <c r="J948" s="12"/>
      <c r="K948" s="12"/>
      <c r="L948" s="12">
        <v>0</v>
      </c>
      <c r="M948" s="15">
        <f t="shared" si="187"/>
        <v>2</v>
      </c>
      <c r="N948" s="15">
        <f t="shared" si="188"/>
        <v>0</v>
      </c>
      <c r="O948" s="20"/>
      <c r="P948" s="12">
        <f t="shared" si="185"/>
        <v>0</v>
      </c>
      <c r="Q948" s="20"/>
      <c r="S948" s="3" t="s">
        <v>452</v>
      </c>
      <c r="T948" s="3"/>
      <c r="U948" s="3"/>
      <c r="V948" s="3"/>
      <c r="W948" s="3"/>
      <c r="X948" s="3"/>
      <c r="Y948" s="35"/>
      <c r="Z948" s="3"/>
      <c r="AA948" s="3"/>
      <c r="AB948" s="31">
        <v>0</v>
      </c>
    </row>
    <row r="949" spans="1:28" x14ac:dyDescent="0.3">
      <c r="A949" s="1">
        <f t="shared" si="189"/>
        <v>29</v>
      </c>
      <c r="B949" s="2" t="s">
        <v>477</v>
      </c>
      <c r="C949" s="3" t="s">
        <v>452</v>
      </c>
      <c r="D949" s="12" t="s">
        <v>40</v>
      </c>
      <c r="E949" s="12" t="s">
        <v>40</v>
      </c>
      <c r="F949" s="12"/>
      <c r="G949" s="12"/>
      <c r="H949" s="12"/>
      <c r="I949" s="12"/>
      <c r="J949" s="12"/>
      <c r="K949" s="12"/>
      <c r="L949" s="12">
        <v>0</v>
      </c>
      <c r="M949" s="15">
        <f t="shared" si="187"/>
        <v>2</v>
      </c>
      <c r="N949" s="15">
        <f t="shared" si="188"/>
        <v>0</v>
      </c>
      <c r="O949" s="20"/>
      <c r="P949" s="12">
        <f t="shared" si="185"/>
        <v>0</v>
      </c>
      <c r="Q949" s="20"/>
      <c r="S949" s="3" t="s">
        <v>452</v>
      </c>
      <c r="T949" s="36" t="s">
        <v>498</v>
      </c>
      <c r="U949" s="15" t="s">
        <v>499</v>
      </c>
      <c r="V949" s="3"/>
      <c r="W949" s="3"/>
      <c r="X949" s="3"/>
      <c r="Y949" s="35"/>
      <c r="Z949" s="3"/>
      <c r="AA949" s="3"/>
      <c r="AB949" s="31">
        <v>1</v>
      </c>
    </row>
    <row r="950" spans="1:28" x14ac:dyDescent="0.3">
      <c r="A950" s="1">
        <f t="shared" si="189"/>
        <v>30</v>
      </c>
      <c r="B950" s="4" t="s">
        <v>779</v>
      </c>
      <c r="C950" s="3" t="s">
        <v>452</v>
      </c>
      <c r="D950" s="12"/>
      <c r="E950" s="12"/>
      <c r="F950" s="12"/>
      <c r="G950" s="12"/>
      <c r="H950" s="12"/>
      <c r="I950" s="12"/>
      <c r="J950" s="12"/>
      <c r="K950" s="12"/>
      <c r="L950" s="12">
        <v>0</v>
      </c>
      <c r="M950" s="15">
        <f t="shared" si="187"/>
        <v>0</v>
      </c>
      <c r="N950" s="15">
        <f t="shared" si="188"/>
        <v>0</v>
      </c>
      <c r="O950" s="20"/>
      <c r="P950" s="12">
        <f t="shared" si="185"/>
        <v>0</v>
      </c>
      <c r="Q950" s="20"/>
      <c r="S950" s="3" t="s">
        <v>452</v>
      </c>
      <c r="T950" s="3"/>
      <c r="U950" s="3"/>
      <c r="V950" s="3"/>
      <c r="W950" s="3"/>
      <c r="X950" s="3"/>
      <c r="Y950" s="35"/>
      <c r="Z950" s="3"/>
      <c r="AA950" s="3"/>
      <c r="AB950" s="31"/>
    </row>
    <row r="951" spans="1:28" x14ac:dyDescent="0.3">
      <c r="B951" s="29"/>
      <c r="D951"/>
      <c r="E951"/>
      <c r="F951"/>
      <c r="G951"/>
      <c r="H951"/>
      <c r="I951"/>
      <c r="J951"/>
      <c r="L951" s="14">
        <f>+AVERAGE(L921:L950)</f>
        <v>24081.413793103449</v>
      </c>
      <c r="M951" s="14">
        <f>+AVERAGE(M921:M950)</f>
        <v>4.6551724137931032</v>
      </c>
      <c r="N951" s="14">
        <f>+SUM(N921:N950)</f>
        <v>2</v>
      </c>
      <c r="O951" s="14">
        <f>+AVERAGE(O921:O950)</f>
        <v>38412.384615384617</v>
      </c>
      <c r="P951" s="14">
        <f>+AVERAGE(P921:P950)</f>
        <v>2006.7844827586205</v>
      </c>
      <c r="Q951" s="14">
        <f>+AVERAGE(Q921:Q950)</f>
        <v>3201.0320512820513</v>
      </c>
    </row>
    <row r="952" spans="1:28" x14ac:dyDescent="0.3">
      <c r="D952"/>
      <c r="E952"/>
      <c r="F952"/>
      <c r="G952"/>
      <c r="H952"/>
      <c r="I952"/>
      <c r="J952"/>
      <c r="L952" s="14">
        <f>+STDEV(L921:L950)</f>
        <v>46255.675946322866</v>
      </c>
      <c r="M952" s="14">
        <f>+STDEV(M921:M950)</f>
        <v>4.2365405535730405</v>
      </c>
      <c r="N952" s="17"/>
      <c r="O952" s="14">
        <f>+STDEV(O921:O950)</f>
        <v>38668.812828812625</v>
      </c>
      <c r="P952" s="14">
        <f>+STDEV(P921:P950)</f>
        <v>3854.6396621935719</v>
      </c>
      <c r="Q952" s="14">
        <f>+STDEV(Q921:Q950)</f>
        <v>3222.4010690677187</v>
      </c>
    </row>
    <row r="953" spans="1:28" x14ac:dyDescent="0.3">
      <c r="D953"/>
      <c r="E953"/>
      <c r="F953"/>
      <c r="G953"/>
      <c r="H953"/>
      <c r="I953" s="15"/>
      <c r="J953" s="15"/>
      <c r="K953" s="11" t="s">
        <v>75</v>
      </c>
      <c r="L953" s="14">
        <f>+COUNTIF(L921:L950,0)</f>
        <v>15</v>
      </c>
      <c r="M953" s="14">
        <f>+COUNT(M921:M950)</f>
        <v>29</v>
      </c>
      <c r="P953" s="14">
        <f>+COUNTIF(P921:P950,0)</f>
        <v>15</v>
      </c>
    </row>
    <row r="954" spans="1:28" x14ac:dyDescent="0.3">
      <c r="D954"/>
      <c r="E954"/>
      <c r="F954"/>
      <c r="G954"/>
      <c r="H954"/>
      <c r="I954"/>
      <c r="J954"/>
    </row>
    <row r="955" spans="1:28" x14ac:dyDescent="0.3">
      <c r="A955" s="1">
        <v>1</v>
      </c>
      <c r="B955" s="4" t="s">
        <v>796</v>
      </c>
      <c r="C955" s="3" t="s">
        <v>453</v>
      </c>
      <c r="D955" s="12" t="s">
        <v>40</v>
      </c>
      <c r="E955" s="12" t="s">
        <v>40</v>
      </c>
      <c r="F955" s="12" t="s">
        <v>40</v>
      </c>
      <c r="G955" s="12"/>
      <c r="H955" s="12" t="s">
        <v>40</v>
      </c>
      <c r="I955" s="12"/>
      <c r="J955" s="12"/>
      <c r="K955" s="12"/>
      <c r="L955" s="12">
        <v>221554</v>
      </c>
      <c r="M955" s="15">
        <f>+IF(D955="X",1,0)+IF(E955="X",1,0)+IF(F955="X",2,0)+IF(G955="X",2,0)+IF(H955="X",3,IF(H955="Y",1.5,0))+IF(I955="X",5,IF(I955="Y",2.5,0))+IF(J955="X1",10,IF(J955="X2",5,IF(J955="X3",3,0)))</f>
        <v>7</v>
      </c>
      <c r="N955" s="15">
        <f>+IF(K955="X",1,0)</f>
        <v>0</v>
      </c>
      <c r="O955" s="12">
        <v>221554</v>
      </c>
      <c r="P955" s="12">
        <f t="shared" ref="P955:P984" si="191">+L955/12</f>
        <v>18462.833333333332</v>
      </c>
      <c r="Q955" s="12">
        <f t="shared" ref="Q955:Q984" si="192">+O955/12</f>
        <v>18462.833333333332</v>
      </c>
    </row>
    <row r="956" spans="1:28" x14ac:dyDescent="0.3">
      <c r="A956" s="1">
        <f>+A955+1</f>
        <v>2</v>
      </c>
      <c r="B956" s="2" t="s">
        <v>783</v>
      </c>
      <c r="C956" s="3" t="s">
        <v>453</v>
      </c>
      <c r="D956" s="12" t="s">
        <v>40</v>
      </c>
      <c r="E956" s="12" t="s">
        <v>40</v>
      </c>
      <c r="F956" s="12" t="s">
        <v>40</v>
      </c>
      <c r="G956" s="12"/>
      <c r="H956" s="12" t="s">
        <v>40</v>
      </c>
      <c r="I956" s="12"/>
      <c r="J956" s="12"/>
      <c r="K956" s="12"/>
      <c r="L956" s="12">
        <v>28000</v>
      </c>
      <c r="M956" s="15">
        <f t="shared" ref="M956:M984" si="193">+IF(D956="X",1,0)+IF(E956="X",1,0)+IF(F956="X",2,0)+IF(G956="X",2,0)+IF(H956="X",3,IF(H956="Y",1.5,0))+IF(I956="X",5,IF(I956="Y",2.5,0))+IF(J956="X1",10,IF(J956="X2",5,IF(J956="X3",3,0)))</f>
        <v>7</v>
      </c>
      <c r="N956" s="15">
        <f t="shared" ref="N956:N984" si="194">+IF(K956="X",1,0)</f>
        <v>0</v>
      </c>
      <c r="O956" s="12">
        <v>28000</v>
      </c>
      <c r="P956" s="12">
        <f t="shared" si="191"/>
        <v>2333.3333333333335</v>
      </c>
      <c r="Q956" s="12">
        <f t="shared" si="192"/>
        <v>2333.3333333333335</v>
      </c>
    </row>
    <row r="957" spans="1:28" x14ac:dyDescent="0.3">
      <c r="A957" s="1">
        <f t="shared" ref="A957:A984" si="195">+A956+1</f>
        <v>3</v>
      </c>
      <c r="B957" s="2">
        <v>20563238</v>
      </c>
      <c r="C957" s="3" t="s">
        <v>453</v>
      </c>
      <c r="D957" s="12" t="s">
        <v>40</v>
      </c>
      <c r="E957" s="12" t="s">
        <v>40</v>
      </c>
      <c r="F957" s="12"/>
      <c r="G957" s="12"/>
      <c r="H957" s="12" t="s">
        <v>40</v>
      </c>
      <c r="I957" s="12"/>
      <c r="J957" s="12"/>
      <c r="K957" s="12"/>
      <c r="L957" s="12">
        <v>42000</v>
      </c>
      <c r="M957" s="15">
        <f t="shared" si="193"/>
        <v>5</v>
      </c>
      <c r="N957" s="15">
        <f t="shared" si="194"/>
        <v>0</v>
      </c>
      <c r="O957" s="12">
        <v>42000</v>
      </c>
      <c r="P957" s="12">
        <f t="shared" si="191"/>
        <v>3500</v>
      </c>
      <c r="Q957" s="12">
        <f t="shared" si="192"/>
        <v>3500</v>
      </c>
    </row>
    <row r="958" spans="1:28" x14ac:dyDescent="0.3">
      <c r="A958" s="1">
        <f t="shared" si="195"/>
        <v>4</v>
      </c>
      <c r="B958" s="2" t="s">
        <v>784</v>
      </c>
      <c r="C958" s="3" t="s">
        <v>453</v>
      </c>
      <c r="D958" s="12" t="s">
        <v>40</v>
      </c>
      <c r="E958" s="12" t="s">
        <v>40</v>
      </c>
      <c r="F958" s="12" t="s">
        <v>40</v>
      </c>
      <c r="G958" s="12"/>
      <c r="H958" s="12"/>
      <c r="I958" s="12"/>
      <c r="J958" s="12"/>
      <c r="K958" s="12"/>
      <c r="L958" s="12">
        <v>24000</v>
      </c>
      <c r="M958" s="15">
        <f t="shared" si="193"/>
        <v>4</v>
      </c>
      <c r="N958" s="15">
        <f t="shared" si="194"/>
        <v>0</v>
      </c>
      <c r="O958" s="12">
        <v>24000</v>
      </c>
      <c r="P958" s="12">
        <f t="shared" si="191"/>
        <v>2000</v>
      </c>
      <c r="Q958" s="12">
        <f t="shared" si="192"/>
        <v>2000</v>
      </c>
    </row>
    <row r="959" spans="1:28" x14ac:dyDescent="0.3">
      <c r="A959" s="1">
        <f t="shared" si="195"/>
        <v>5</v>
      </c>
      <c r="B959" s="2">
        <v>40818054</v>
      </c>
      <c r="C959" s="3" t="s">
        <v>453</v>
      </c>
      <c r="D959" s="12" t="s">
        <v>40</v>
      </c>
      <c r="E959" s="12" t="s">
        <v>40</v>
      </c>
      <c r="F959" s="12" t="s">
        <v>40</v>
      </c>
      <c r="G959" s="12"/>
      <c r="H959" s="12"/>
      <c r="I959" s="12"/>
      <c r="J959" s="12"/>
      <c r="K959" s="12"/>
      <c r="L959" s="12">
        <v>26400</v>
      </c>
      <c r="M959" s="15">
        <f t="shared" si="193"/>
        <v>4</v>
      </c>
      <c r="N959" s="15">
        <f t="shared" si="194"/>
        <v>0</v>
      </c>
      <c r="O959" s="12">
        <v>26400</v>
      </c>
      <c r="P959" s="12">
        <f t="shared" si="191"/>
        <v>2200</v>
      </c>
      <c r="Q959" s="12">
        <f t="shared" si="192"/>
        <v>2200</v>
      </c>
    </row>
    <row r="960" spans="1:28" x14ac:dyDescent="0.3">
      <c r="A960" s="1">
        <f t="shared" si="195"/>
        <v>6</v>
      </c>
      <c r="B960" s="4" t="s">
        <v>797</v>
      </c>
      <c r="C960" s="3" t="s">
        <v>453</v>
      </c>
      <c r="D960" s="12" t="s">
        <v>40</v>
      </c>
      <c r="E960" s="12" t="s">
        <v>40</v>
      </c>
      <c r="F960" s="12"/>
      <c r="G960" s="12"/>
      <c r="H960" s="12" t="s">
        <v>40</v>
      </c>
      <c r="I960" s="12"/>
      <c r="J960" s="12"/>
      <c r="K960" s="12"/>
      <c r="L960" s="12">
        <v>117685.69</v>
      </c>
      <c r="M960" s="15">
        <f t="shared" si="193"/>
        <v>5</v>
      </c>
      <c r="N960" s="15">
        <f t="shared" si="194"/>
        <v>0</v>
      </c>
      <c r="O960" s="12">
        <v>117685.69</v>
      </c>
      <c r="P960" s="12">
        <f t="shared" si="191"/>
        <v>9807.1408333333329</v>
      </c>
      <c r="Q960" s="12">
        <f t="shared" si="192"/>
        <v>9807.1408333333329</v>
      </c>
    </row>
    <row r="961" spans="1:17" x14ac:dyDescent="0.3">
      <c r="A961" s="1">
        <f t="shared" si="195"/>
        <v>7</v>
      </c>
      <c r="B961" s="2">
        <v>18906774</v>
      </c>
      <c r="C961" s="3" t="s">
        <v>453</v>
      </c>
      <c r="D961" s="12" t="s">
        <v>40</v>
      </c>
      <c r="E961" s="12" t="s">
        <v>40</v>
      </c>
      <c r="F961" s="12"/>
      <c r="G961" s="12"/>
      <c r="H961" s="12" t="s">
        <v>40</v>
      </c>
      <c r="I961" s="12"/>
      <c r="J961" s="12"/>
      <c r="K961" s="12"/>
      <c r="L961" s="12">
        <v>13500</v>
      </c>
      <c r="M961" s="15">
        <f t="shared" si="193"/>
        <v>5</v>
      </c>
      <c r="N961" s="15">
        <f t="shared" si="194"/>
        <v>0</v>
      </c>
      <c r="O961" s="12">
        <v>13500</v>
      </c>
      <c r="P961" s="12">
        <f t="shared" si="191"/>
        <v>1125</v>
      </c>
      <c r="Q961" s="12">
        <f t="shared" si="192"/>
        <v>1125</v>
      </c>
    </row>
    <row r="962" spans="1:17" x14ac:dyDescent="0.3">
      <c r="A962" s="1">
        <f t="shared" si="195"/>
        <v>8</v>
      </c>
      <c r="B962" s="2" t="s">
        <v>785</v>
      </c>
      <c r="C962" s="3" t="s">
        <v>453</v>
      </c>
      <c r="D962" s="12" t="s">
        <v>40</v>
      </c>
      <c r="E962" s="12" t="s">
        <v>40</v>
      </c>
      <c r="F962" s="12"/>
      <c r="G962" s="12"/>
      <c r="H962" s="12" t="s">
        <v>40</v>
      </c>
      <c r="I962" s="12"/>
      <c r="J962" s="12"/>
      <c r="K962" s="12"/>
      <c r="L962" s="12">
        <v>190000</v>
      </c>
      <c r="M962" s="15">
        <f t="shared" si="193"/>
        <v>5</v>
      </c>
      <c r="N962" s="15">
        <f t="shared" si="194"/>
        <v>0</v>
      </c>
      <c r="O962" s="12">
        <v>190000</v>
      </c>
      <c r="P962" s="12">
        <f t="shared" si="191"/>
        <v>15833.333333333334</v>
      </c>
      <c r="Q962" s="12">
        <f t="shared" si="192"/>
        <v>15833.333333333334</v>
      </c>
    </row>
    <row r="963" spans="1:17" x14ac:dyDescent="0.3">
      <c r="A963" s="1">
        <f t="shared" si="195"/>
        <v>9</v>
      </c>
      <c r="B963" s="2" t="s">
        <v>786</v>
      </c>
      <c r="C963" s="3" t="s">
        <v>453</v>
      </c>
      <c r="D963" s="12" t="s">
        <v>40</v>
      </c>
      <c r="E963" s="12" t="s">
        <v>40</v>
      </c>
      <c r="F963" s="12" t="s">
        <v>40</v>
      </c>
      <c r="G963" s="12"/>
      <c r="H963" s="12" t="s">
        <v>40</v>
      </c>
      <c r="I963" s="12"/>
      <c r="J963" s="12"/>
      <c r="K963" s="12"/>
      <c r="L963" s="12">
        <v>0</v>
      </c>
      <c r="M963" s="15">
        <f t="shared" si="193"/>
        <v>7</v>
      </c>
      <c r="N963" s="15">
        <f t="shared" si="194"/>
        <v>0</v>
      </c>
      <c r="O963" s="20"/>
      <c r="P963" s="12">
        <f t="shared" si="191"/>
        <v>0</v>
      </c>
      <c r="Q963" s="20"/>
    </row>
    <row r="964" spans="1:17" x14ac:dyDescent="0.3">
      <c r="A964" s="1">
        <f t="shared" si="195"/>
        <v>10</v>
      </c>
      <c r="B964" s="2">
        <v>25723190</v>
      </c>
      <c r="C964" s="3" t="s">
        <v>453</v>
      </c>
      <c r="D964" s="12" t="s">
        <v>40</v>
      </c>
      <c r="E964" s="12" t="s">
        <v>40</v>
      </c>
      <c r="F964" s="12"/>
      <c r="G964" s="12"/>
      <c r="H964" s="12"/>
      <c r="I964" s="12"/>
      <c r="J964" s="12"/>
      <c r="K964" s="12"/>
      <c r="L964" s="12">
        <v>0</v>
      </c>
      <c r="M964" s="15">
        <f t="shared" si="193"/>
        <v>2</v>
      </c>
      <c r="N964" s="15">
        <f t="shared" si="194"/>
        <v>0</v>
      </c>
      <c r="O964" s="20"/>
      <c r="P964" s="12">
        <f t="shared" si="191"/>
        <v>0</v>
      </c>
      <c r="Q964" s="20"/>
    </row>
    <row r="965" spans="1:17" x14ac:dyDescent="0.3">
      <c r="A965" s="1">
        <f t="shared" si="195"/>
        <v>11</v>
      </c>
      <c r="B965" s="2" t="s">
        <v>787</v>
      </c>
      <c r="C965" s="3" t="s">
        <v>453</v>
      </c>
      <c r="D965" s="12" t="s">
        <v>40</v>
      </c>
      <c r="E965" s="12" t="s">
        <v>40</v>
      </c>
      <c r="F965" s="12" t="s">
        <v>40</v>
      </c>
      <c r="G965" s="12"/>
      <c r="H965" s="12"/>
      <c r="I965" s="12"/>
      <c r="J965" s="12"/>
      <c r="K965" s="12"/>
      <c r="L965" s="12">
        <v>16500</v>
      </c>
      <c r="M965" s="15">
        <f t="shared" si="193"/>
        <v>4</v>
      </c>
      <c r="N965" s="15">
        <f t="shared" si="194"/>
        <v>0</v>
      </c>
      <c r="O965" s="12">
        <v>16500</v>
      </c>
      <c r="P965" s="12">
        <f t="shared" si="191"/>
        <v>1375</v>
      </c>
      <c r="Q965" s="12">
        <f t="shared" si="192"/>
        <v>1375</v>
      </c>
    </row>
    <row r="966" spans="1:17" x14ac:dyDescent="0.3">
      <c r="A966" s="1">
        <f t="shared" si="195"/>
        <v>12</v>
      </c>
      <c r="B966" s="4" t="s">
        <v>798</v>
      </c>
      <c r="C966" s="3" t="s">
        <v>453</v>
      </c>
      <c r="D966" s="12" t="s">
        <v>40</v>
      </c>
      <c r="E966" s="12" t="s">
        <v>40</v>
      </c>
      <c r="F966" s="12"/>
      <c r="G966" s="12"/>
      <c r="H966" s="12" t="s">
        <v>40</v>
      </c>
      <c r="I966" s="12" t="s">
        <v>40</v>
      </c>
      <c r="J966" s="12"/>
      <c r="K966" s="12"/>
      <c r="L966" s="12">
        <v>0</v>
      </c>
      <c r="M966" s="15">
        <f t="shared" si="193"/>
        <v>10</v>
      </c>
      <c r="N966" s="15">
        <f t="shared" si="194"/>
        <v>0</v>
      </c>
      <c r="O966" s="20"/>
      <c r="P966" s="12">
        <f t="shared" si="191"/>
        <v>0</v>
      </c>
      <c r="Q966" s="20"/>
    </row>
    <row r="967" spans="1:17" x14ac:dyDescent="0.3">
      <c r="A967" s="1">
        <f t="shared" si="195"/>
        <v>13</v>
      </c>
      <c r="B967" s="10"/>
      <c r="C967" s="9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6"/>
      <c r="O967" s="13"/>
      <c r="P967" s="13"/>
      <c r="Q967" s="13"/>
    </row>
    <row r="968" spans="1:17" x14ac:dyDescent="0.3">
      <c r="A968" s="1">
        <f t="shared" si="195"/>
        <v>14</v>
      </c>
      <c r="B968" s="4" t="s">
        <v>799</v>
      </c>
      <c r="C968" s="3" t="s">
        <v>453</v>
      </c>
      <c r="D968" s="50" t="s">
        <v>40</v>
      </c>
      <c r="E968" s="50" t="s">
        <v>40</v>
      </c>
      <c r="F968" s="50"/>
      <c r="G968" s="50"/>
      <c r="H968" s="50" t="s">
        <v>40</v>
      </c>
      <c r="I968" s="50" t="s">
        <v>40</v>
      </c>
      <c r="J968" s="50" t="s">
        <v>901</v>
      </c>
      <c r="K968" s="12"/>
      <c r="L968" s="12">
        <v>64796.160000000003</v>
      </c>
      <c r="M968" s="15">
        <f t="shared" si="193"/>
        <v>13</v>
      </c>
      <c r="N968" s="15">
        <f t="shared" si="194"/>
        <v>0</v>
      </c>
      <c r="O968" s="12">
        <v>64796.160000000003</v>
      </c>
      <c r="P968" s="12">
        <f t="shared" si="191"/>
        <v>5399.68</v>
      </c>
      <c r="Q968" s="12">
        <f t="shared" si="192"/>
        <v>5399.68</v>
      </c>
    </row>
    <row r="969" spans="1:17" x14ac:dyDescent="0.3">
      <c r="A969" s="1">
        <f t="shared" si="195"/>
        <v>15</v>
      </c>
      <c r="B969" s="2" t="s">
        <v>788</v>
      </c>
      <c r="C969" s="3" t="s">
        <v>453</v>
      </c>
      <c r="D969" s="12" t="s">
        <v>40</v>
      </c>
      <c r="E969" s="12" t="s">
        <v>40</v>
      </c>
      <c r="F969" s="12"/>
      <c r="G969" s="12"/>
      <c r="H969" s="12"/>
      <c r="I969" s="12"/>
      <c r="J969" s="12"/>
      <c r="K969" s="12"/>
      <c r="L969" s="12">
        <v>13560</v>
      </c>
      <c r="M969" s="15">
        <f t="shared" si="193"/>
        <v>2</v>
      </c>
      <c r="N969" s="15">
        <f t="shared" si="194"/>
        <v>0</v>
      </c>
      <c r="O969" s="12">
        <v>13560</v>
      </c>
      <c r="P969" s="12">
        <f t="shared" si="191"/>
        <v>1130</v>
      </c>
      <c r="Q969" s="12">
        <f t="shared" si="192"/>
        <v>1130</v>
      </c>
    </row>
    <row r="970" spans="1:17" x14ac:dyDescent="0.3">
      <c r="A970" s="1">
        <f t="shared" si="195"/>
        <v>16</v>
      </c>
      <c r="B970" s="28" t="s">
        <v>800</v>
      </c>
      <c r="C970" s="3" t="s">
        <v>453</v>
      </c>
      <c r="D970" s="12" t="s">
        <v>40</v>
      </c>
      <c r="E970" s="12" t="s">
        <v>40</v>
      </c>
      <c r="F970" s="12"/>
      <c r="G970" s="12"/>
      <c r="H970" s="12" t="s">
        <v>40</v>
      </c>
      <c r="I970" s="12"/>
      <c r="J970" s="12"/>
      <c r="K970" s="12"/>
      <c r="L970" s="12">
        <v>0</v>
      </c>
      <c r="M970" s="15">
        <f t="shared" si="193"/>
        <v>5</v>
      </c>
      <c r="N970" s="15">
        <f t="shared" si="194"/>
        <v>0</v>
      </c>
      <c r="O970" s="20"/>
      <c r="P970" s="12">
        <f t="shared" si="191"/>
        <v>0</v>
      </c>
      <c r="Q970" s="20"/>
    </row>
    <row r="971" spans="1:17" x14ac:dyDescent="0.3">
      <c r="A971" s="1">
        <f t="shared" si="195"/>
        <v>17</v>
      </c>
      <c r="B971" s="2">
        <v>80295221</v>
      </c>
      <c r="C971" s="3" t="s">
        <v>453</v>
      </c>
      <c r="D971" s="12" t="s">
        <v>40</v>
      </c>
      <c r="E971" s="12" t="s">
        <v>40</v>
      </c>
      <c r="F971" s="12"/>
      <c r="G971" s="12"/>
      <c r="H971" s="12"/>
      <c r="I971" s="12"/>
      <c r="J971" s="12"/>
      <c r="K971" s="12"/>
      <c r="L971" s="12">
        <v>30000</v>
      </c>
      <c r="M971" s="15">
        <f t="shared" si="193"/>
        <v>2</v>
      </c>
      <c r="N971" s="15">
        <f t="shared" si="194"/>
        <v>0</v>
      </c>
      <c r="O971" s="12">
        <v>30000</v>
      </c>
      <c r="P971" s="12">
        <f t="shared" si="191"/>
        <v>2500</v>
      </c>
      <c r="Q971" s="12">
        <f t="shared" si="192"/>
        <v>2500</v>
      </c>
    </row>
    <row r="972" spans="1:17" x14ac:dyDescent="0.3">
      <c r="A972" s="1">
        <f t="shared" si="195"/>
        <v>18</v>
      </c>
      <c r="B972" s="2" t="s">
        <v>789</v>
      </c>
      <c r="C972" s="3" t="s">
        <v>453</v>
      </c>
      <c r="D972" s="12" t="s">
        <v>40</v>
      </c>
      <c r="E972" s="12" t="s">
        <v>40</v>
      </c>
      <c r="F972" s="12" t="s">
        <v>40</v>
      </c>
      <c r="G972" s="12"/>
      <c r="H972" s="12"/>
      <c r="I972" s="12"/>
      <c r="J972" s="12"/>
      <c r="K972" s="12"/>
      <c r="L972" s="12">
        <v>380000</v>
      </c>
      <c r="M972" s="15">
        <f t="shared" si="193"/>
        <v>4</v>
      </c>
      <c r="N972" s="15">
        <f t="shared" si="194"/>
        <v>0</v>
      </c>
      <c r="O972" s="20"/>
      <c r="P972" s="12">
        <f t="shared" si="191"/>
        <v>31666.666666666668</v>
      </c>
      <c r="Q972" s="20"/>
    </row>
    <row r="973" spans="1:17" x14ac:dyDescent="0.3">
      <c r="A973" s="1">
        <f t="shared" si="195"/>
        <v>19</v>
      </c>
      <c r="B973" s="2" t="s">
        <v>790</v>
      </c>
      <c r="C973" s="3" t="s">
        <v>453</v>
      </c>
      <c r="D973" s="12" t="s">
        <v>40</v>
      </c>
      <c r="E973" s="12" t="s">
        <v>40</v>
      </c>
      <c r="F973" s="12"/>
      <c r="G973" s="12"/>
      <c r="H973" s="12"/>
      <c r="I973" s="12"/>
      <c r="J973" s="12"/>
      <c r="K973" s="12"/>
      <c r="L973" s="12">
        <v>12000</v>
      </c>
      <c r="M973" s="15">
        <f t="shared" si="193"/>
        <v>2</v>
      </c>
      <c r="N973" s="15">
        <f t="shared" si="194"/>
        <v>0</v>
      </c>
      <c r="O973" s="12">
        <v>12000</v>
      </c>
      <c r="P973" s="12">
        <f t="shared" si="191"/>
        <v>1000</v>
      </c>
      <c r="Q973" s="12">
        <f t="shared" si="192"/>
        <v>1000</v>
      </c>
    </row>
    <row r="974" spans="1:17" x14ac:dyDescent="0.3">
      <c r="A974" s="1">
        <f t="shared" si="195"/>
        <v>20</v>
      </c>
      <c r="B974" s="2" t="s">
        <v>791</v>
      </c>
      <c r="C974" s="3" t="s">
        <v>453</v>
      </c>
      <c r="D974" s="12" t="s">
        <v>40</v>
      </c>
      <c r="E974" s="12" t="s">
        <v>40</v>
      </c>
      <c r="F974" s="12"/>
      <c r="G974" s="12"/>
      <c r="H974" s="12" t="s">
        <v>40</v>
      </c>
      <c r="I974" s="12"/>
      <c r="J974" s="12"/>
      <c r="K974" s="12"/>
      <c r="L974" s="12">
        <v>40000</v>
      </c>
      <c r="M974" s="15">
        <f t="shared" si="193"/>
        <v>5</v>
      </c>
      <c r="N974" s="15">
        <f t="shared" si="194"/>
        <v>0</v>
      </c>
      <c r="O974" s="12">
        <v>40000</v>
      </c>
      <c r="P974" s="12">
        <f t="shared" si="191"/>
        <v>3333.3333333333335</v>
      </c>
      <c r="Q974" s="12">
        <f t="shared" si="192"/>
        <v>3333.3333333333335</v>
      </c>
    </row>
    <row r="975" spans="1:17" x14ac:dyDescent="0.3">
      <c r="A975" s="1">
        <f t="shared" si="195"/>
        <v>21</v>
      </c>
      <c r="B975" s="10"/>
      <c r="C975" s="9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6"/>
      <c r="O975" s="13"/>
      <c r="P975" s="13"/>
      <c r="Q975" s="13"/>
    </row>
    <row r="976" spans="1:17" x14ac:dyDescent="0.3">
      <c r="A976" s="1">
        <f t="shared" si="195"/>
        <v>22</v>
      </c>
      <c r="B976" s="2" t="s">
        <v>792</v>
      </c>
      <c r="C976" s="3" t="s">
        <v>453</v>
      </c>
      <c r="D976" s="12" t="s">
        <v>40</v>
      </c>
      <c r="E976" s="12" t="s">
        <v>40</v>
      </c>
      <c r="F976" s="12"/>
      <c r="G976" s="12"/>
      <c r="H976" s="12"/>
      <c r="I976" s="12"/>
      <c r="J976" s="12"/>
      <c r="K976" s="12"/>
      <c r="L976" s="12">
        <v>17000</v>
      </c>
      <c r="M976" s="15">
        <f t="shared" si="193"/>
        <v>2</v>
      </c>
      <c r="N976" s="15">
        <f t="shared" si="194"/>
        <v>0</v>
      </c>
      <c r="O976" s="12">
        <v>17000</v>
      </c>
      <c r="P976" s="12">
        <f t="shared" si="191"/>
        <v>1416.6666666666667</v>
      </c>
      <c r="Q976" s="12">
        <f t="shared" si="192"/>
        <v>1416.6666666666667</v>
      </c>
    </row>
    <row r="977" spans="1:18" x14ac:dyDescent="0.3">
      <c r="A977" s="1">
        <f t="shared" si="195"/>
        <v>23</v>
      </c>
      <c r="B977" s="10"/>
      <c r="C977" s="9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6"/>
      <c r="O977" s="13"/>
      <c r="P977" s="13"/>
      <c r="Q977" s="13"/>
    </row>
    <row r="978" spans="1:18" x14ac:dyDescent="0.3">
      <c r="A978" s="1">
        <f t="shared" si="195"/>
        <v>24</v>
      </c>
      <c r="B978" s="2" t="s">
        <v>793</v>
      </c>
      <c r="C978" s="3" t="s">
        <v>453</v>
      </c>
      <c r="D978" s="12" t="s">
        <v>40</v>
      </c>
      <c r="E978" s="12" t="s">
        <v>40</v>
      </c>
      <c r="F978" s="12"/>
      <c r="G978" s="12"/>
      <c r="H978" s="12"/>
      <c r="I978" s="12"/>
      <c r="J978" s="12"/>
      <c r="K978" s="12"/>
      <c r="L978" s="12">
        <v>7764</v>
      </c>
      <c r="M978" s="15">
        <f t="shared" si="193"/>
        <v>2</v>
      </c>
      <c r="N978" s="15">
        <f t="shared" si="194"/>
        <v>0</v>
      </c>
      <c r="O978" s="12">
        <v>7764</v>
      </c>
      <c r="P978" s="12">
        <f t="shared" si="191"/>
        <v>647</v>
      </c>
      <c r="Q978" s="12">
        <f t="shared" si="192"/>
        <v>647</v>
      </c>
    </row>
    <row r="979" spans="1:18" x14ac:dyDescent="0.3">
      <c r="A979" s="1">
        <f t="shared" si="195"/>
        <v>25</v>
      </c>
      <c r="B979" s="2" t="s">
        <v>794</v>
      </c>
      <c r="C979" s="3" t="s">
        <v>453</v>
      </c>
      <c r="D979" s="12" t="s">
        <v>40</v>
      </c>
      <c r="E979" s="12" t="s">
        <v>40</v>
      </c>
      <c r="F979" s="12"/>
      <c r="G979" s="12"/>
      <c r="H979" s="12"/>
      <c r="I979" s="12"/>
      <c r="J979" s="12"/>
      <c r="K979" s="12"/>
      <c r="L979" s="12">
        <v>15000</v>
      </c>
      <c r="M979" s="15">
        <f t="shared" si="193"/>
        <v>2</v>
      </c>
      <c r="N979" s="15">
        <f t="shared" si="194"/>
        <v>0</v>
      </c>
      <c r="O979" s="12">
        <v>15000</v>
      </c>
      <c r="P979" s="12">
        <f t="shared" si="191"/>
        <v>1250</v>
      </c>
      <c r="Q979" s="12">
        <f t="shared" si="192"/>
        <v>1250</v>
      </c>
    </row>
    <row r="980" spans="1:18" x14ac:dyDescent="0.3">
      <c r="A980" s="1">
        <f t="shared" si="195"/>
        <v>26</v>
      </c>
      <c r="B980" s="2">
        <v>10356936</v>
      </c>
      <c r="C980" s="3" t="s">
        <v>453</v>
      </c>
      <c r="D980" s="12" t="s">
        <v>40</v>
      </c>
      <c r="E980" s="12" t="s">
        <v>40</v>
      </c>
      <c r="F980" s="12"/>
      <c r="G980" s="12"/>
      <c r="H980" s="12"/>
      <c r="I980" s="12"/>
      <c r="J980" s="12"/>
      <c r="K980" s="12"/>
      <c r="L980" s="12">
        <v>52000</v>
      </c>
      <c r="M980" s="15">
        <f t="shared" si="193"/>
        <v>2</v>
      </c>
      <c r="N980" s="15">
        <f t="shared" si="194"/>
        <v>0</v>
      </c>
      <c r="O980" s="12">
        <v>52000</v>
      </c>
      <c r="P980" s="12">
        <f t="shared" si="191"/>
        <v>4333.333333333333</v>
      </c>
      <c r="Q980" s="12">
        <f t="shared" si="192"/>
        <v>4333.333333333333</v>
      </c>
    </row>
    <row r="981" spans="1:18" x14ac:dyDescent="0.3">
      <c r="A981" s="1">
        <f t="shared" si="195"/>
        <v>27</v>
      </c>
      <c r="B981" s="2">
        <v>80381437</v>
      </c>
      <c r="C981" s="3" t="s">
        <v>453</v>
      </c>
      <c r="D981" s="12" t="s">
        <v>40</v>
      </c>
      <c r="E981" s="12" t="s">
        <v>40</v>
      </c>
      <c r="F981" s="12"/>
      <c r="G981" s="12"/>
      <c r="H981" s="12"/>
      <c r="I981" s="12"/>
      <c r="J981" s="12"/>
      <c r="K981" s="12"/>
      <c r="L981" s="12">
        <v>0</v>
      </c>
      <c r="M981" s="15">
        <f t="shared" si="193"/>
        <v>2</v>
      </c>
      <c r="N981" s="15">
        <f t="shared" si="194"/>
        <v>0</v>
      </c>
      <c r="O981" s="20"/>
      <c r="P981" s="12">
        <f t="shared" si="191"/>
        <v>0</v>
      </c>
      <c r="Q981" s="20"/>
    </row>
    <row r="982" spans="1:18" x14ac:dyDescent="0.3">
      <c r="A982" s="1">
        <f t="shared" si="195"/>
        <v>28</v>
      </c>
      <c r="B982" s="2">
        <v>42901444</v>
      </c>
      <c r="C982" s="3" t="s">
        <v>453</v>
      </c>
      <c r="D982" s="12" t="s">
        <v>40</v>
      </c>
      <c r="E982" s="12" t="s">
        <v>40</v>
      </c>
      <c r="F982" s="12"/>
      <c r="G982" s="12"/>
      <c r="H982" s="12" t="s">
        <v>40</v>
      </c>
      <c r="I982" s="12"/>
      <c r="J982" s="12"/>
      <c r="K982" s="12"/>
      <c r="L982" s="12">
        <v>0</v>
      </c>
      <c r="M982" s="15">
        <f t="shared" si="193"/>
        <v>5</v>
      </c>
      <c r="N982" s="15">
        <f t="shared" si="194"/>
        <v>0</v>
      </c>
      <c r="O982" s="20"/>
      <c r="P982" s="12">
        <f t="shared" si="191"/>
        <v>0</v>
      </c>
      <c r="Q982" s="20"/>
    </row>
    <row r="983" spans="1:18" x14ac:dyDescent="0.3">
      <c r="A983" s="1">
        <f t="shared" si="195"/>
        <v>29</v>
      </c>
      <c r="B983" s="10"/>
      <c r="C983" s="9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6"/>
      <c r="O983" s="13"/>
      <c r="P983" s="13"/>
      <c r="Q983" s="13"/>
    </row>
    <row r="984" spans="1:18" x14ac:dyDescent="0.3">
      <c r="A984" s="1">
        <f t="shared" si="195"/>
        <v>30</v>
      </c>
      <c r="B984" s="2" t="s">
        <v>795</v>
      </c>
      <c r="C984" s="3" t="s">
        <v>453</v>
      </c>
      <c r="D984" s="12" t="s">
        <v>40</v>
      </c>
      <c r="E984" s="12" t="s">
        <v>40</v>
      </c>
      <c r="F984" s="12"/>
      <c r="G984" s="12"/>
      <c r="H984" s="12"/>
      <c r="I984" s="12"/>
      <c r="J984" s="12"/>
      <c r="K984" s="12"/>
      <c r="L984" s="12">
        <v>10440</v>
      </c>
      <c r="M984" s="15">
        <f t="shared" si="193"/>
        <v>2</v>
      </c>
      <c r="N984" s="15">
        <f t="shared" si="194"/>
        <v>0</v>
      </c>
      <c r="O984" s="12">
        <v>10440</v>
      </c>
      <c r="P984" s="12">
        <f t="shared" si="191"/>
        <v>870</v>
      </c>
      <c r="Q984" s="12">
        <f t="shared" si="192"/>
        <v>870</v>
      </c>
    </row>
    <row r="985" spans="1:18" x14ac:dyDescent="0.3">
      <c r="B985" s="29"/>
      <c r="D985"/>
      <c r="E985"/>
      <c r="F985"/>
      <c r="G985"/>
      <c r="H985"/>
      <c r="I985"/>
      <c r="J985"/>
      <c r="L985" s="14">
        <f>+AVERAGE(L955:L984)</f>
        <v>50853.840384615389</v>
      </c>
      <c r="M985" s="14">
        <f>+AVERAGE(M955:M984)</f>
        <v>4.4230769230769234</v>
      </c>
      <c r="N985" s="14">
        <f>+SUM(N955:N984)</f>
        <v>0</v>
      </c>
      <c r="O985" s="14">
        <f>+AVERAGE(O955:O984)</f>
        <v>49589.465789473681</v>
      </c>
      <c r="P985" s="14">
        <f>+AVERAGE(P955:P984)</f>
        <v>4237.8200320512824</v>
      </c>
      <c r="Q985" s="14">
        <f>+AVERAGE(Q955:Q984)</f>
        <v>4132.4554824561401</v>
      </c>
    </row>
    <row r="986" spans="1:18" x14ac:dyDescent="0.3">
      <c r="D986"/>
      <c r="E986"/>
      <c r="F986"/>
      <c r="G986"/>
      <c r="H986"/>
      <c r="I986"/>
      <c r="J986"/>
      <c r="L986" s="14">
        <f>+STDEV(L955:L984)</f>
        <v>87381.074762229677</v>
      </c>
      <c r="M986" s="14">
        <f>+STDEV(M955:M984)</f>
        <v>2.7301732827507772</v>
      </c>
      <c r="N986" s="17"/>
      <c r="O986" s="14">
        <f>+STDEV(O955:O984)</f>
        <v>61010.954647095714</v>
      </c>
      <c r="P986" s="14">
        <f>+STDEV(P955:P984)</f>
        <v>7281.7562301858061</v>
      </c>
      <c r="Q986" s="14">
        <f>+STDEV(Q955:Q984)</f>
        <v>5084.2462205913107</v>
      </c>
    </row>
    <row r="987" spans="1:18" x14ac:dyDescent="0.3">
      <c r="D987"/>
      <c r="E987"/>
      <c r="F987"/>
      <c r="G987"/>
      <c r="H987"/>
      <c r="I987" s="15"/>
      <c r="J987" s="15"/>
      <c r="K987" s="11" t="s">
        <v>75</v>
      </c>
      <c r="L987" s="14">
        <f>+COUNTIF(L955:L984,0)</f>
        <v>6</v>
      </c>
      <c r="M987" s="14">
        <f>+COUNT(M955:M984)</f>
        <v>26</v>
      </c>
      <c r="P987" s="14">
        <f>+COUNTIF(P955:P984,0)</f>
        <v>6</v>
      </c>
    </row>
    <row r="988" spans="1:18" x14ac:dyDescent="0.3">
      <c r="D988"/>
      <c r="E988"/>
      <c r="F988"/>
      <c r="G988"/>
      <c r="H988"/>
      <c r="I988"/>
      <c r="J988"/>
    </row>
    <row r="989" spans="1:18" x14ac:dyDescent="0.3">
      <c r="A989" s="1">
        <v>1</v>
      </c>
      <c r="B989" s="2">
        <v>10266270</v>
      </c>
      <c r="C989" s="3" t="s">
        <v>454</v>
      </c>
      <c r="D989" s="12" t="s">
        <v>40</v>
      </c>
      <c r="E989" s="12" t="s">
        <v>40</v>
      </c>
      <c r="F989" s="12"/>
      <c r="G989" s="12"/>
      <c r="H989" s="12" t="s">
        <v>40</v>
      </c>
      <c r="I989" s="12" t="s">
        <v>40</v>
      </c>
      <c r="J989" s="12"/>
      <c r="K989" s="12"/>
      <c r="L989" s="12">
        <v>105103</v>
      </c>
      <c r="M989" s="15">
        <f>+IF(D989="X",1,0)+IF(E989="X",1,0)+IF(F989="X",2,0)+IF(G989="X",2,0)+IF(H989="X",3,IF(H989="Y",1.5,0))+IF(I989="X",5,IF(I989="Y",2.5,0))+IF(J989="X1",10,IF(J989="X2",5,IF(J989="X3",3,0)))</f>
        <v>10</v>
      </c>
      <c r="N989" s="15">
        <f>+IF(K989="X",1,0)</f>
        <v>0</v>
      </c>
      <c r="O989" s="12">
        <v>105103</v>
      </c>
      <c r="P989" s="12">
        <f t="shared" ref="P989:P1018" si="196">+L989/12</f>
        <v>8758.5833333333339</v>
      </c>
      <c r="Q989" s="12">
        <f t="shared" ref="Q989:Q1018" si="197">+O989/12</f>
        <v>8758.5833333333339</v>
      </c>
    </row>
    <row r="990" spans="1:18" x14ac:dyDescent="0.3">
      <c r="A990" s="1">
        <f>+A989+1</f>
        <v>2</v>
      </c>
      <c r="B990" s="28" t="s">
        <v>801</v>
      </c>
      <c r="C990" s="3" t="s">
        <v>454</v>
      </c>
      <c r="D990" s="50" t="s">
        <v>40</v>
      </c>
      <c r="E990" s="50" t="s">
        <v>40</v>
      </c>
      <c r="F990" s="50"/>
      <c r="G990" s="50"/>
      <c r="H990" s="50" t="s">
        <v>40</v>
      </c>
      <c r="I990" s="50"/>
      <c r="J990" s="50" t="s">
        <v>896</v>
      </c>
      <c r="K990" s="12"/>
      <c r="L990" s="12">
        <v>525575</v>
      </c>
      <c r="M990" s="15">
        <f t="shared" ref="M990:M1018" si="198">+IF(D990="X",1,0)+IF(E990="X",1,0)+IF(F990="X",2,0)+IF(G990="X",2,0)+IF(H990="X",3,IF(H990="Y",1.5,0))+IF(I990="X",5,IF(I990="Y",2.5,0))+IF(J990="X1",10,IF(J990="X2",5,IF(J990="X3",3,0)))</f>
        <v>15</v>
      </c>
      <c r="N990" s="15">
        <f t="shared" ref="N990:N1018" si="199">+IF(K990="X",1,0)</f>
        <v>0</v>
      </c>
      <c r="O990" s="20"/>
      <c r="P990" s="12">
        <f t="shared" si="196"/>
        <v>43797.916666666664</v>
      </c>
      <c r="Q990" s="20"/>
    </row>
    <row r="991" spans="1:18" x14ac:dyDescent="0.3">
      <c r="A991" s="1">
        <f t="shared" ref="A991:A1018" si="200">+A990+1</f>
        <v>3</v>
      </c>
      <c r="B991" s="28" t="s">
        <v>802</v>
      </c>
      <c r="C991" s="3" t="s">
        <v>454</v>
      </c>
      <c r="D991" s="12" t="s">
        <v>40</v>
      </c>
      <c r="E991" s="12" t="s">
        <v>40</v>
      </c>
      <c r="F991" s="12" t="s">
        <v>40</v>
      </c>
      <c r="G991" s="12" t="s">
        <v>40</v>
      </c>
      <c r="H991" s="12" t="s">
        <v>40</v>
      </c>
      <c r="I991" s="12"/>
      <c r="J991" s="12"/>
      <c r="K991" s="12"/>
      <c r="L991" s="12">
        <v>509208</v>
      </c>
      <c r="M991" s="15">
        <f t="shared" si="198"/>
        <v>9</v>
      </c>
      <c r="N991" s="15">
        <f t="shared" si="199"/>
        <v>0</v>
      </c>
      <c r="O991" s="12">
        <v>509208</v>
      </c>
      <c r="P991" s="12">
        <f t="shared" si="196"/>
        <v>42434</v>
      </c>
      <c r="Q991" s="12">
        <f t="shared" si="197"/>
        <v>42434</v>
      </c>
      <c r="R991" t="s">
        <v>803</v>
      </c>
    </row>
    <row r="992" spans="1:18" x14ac:dyDescent="0.3">
      <c r="A992" s="1">
        <f t="shared" si="200"/>
        <v>4</v>
      </c>
      <c r="B992" s="44"/>
      <c r="C992" s="9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6"/>
      <c r="O992" s="13"/>
      <c r="P992" s="13"/>
      <c r="Q992" s="13"/>
    </row>
    <row r="993" spans="1:18" x14ac:dyDescent="0.3">
      <c r="A993" s="1">
        <f t="shared" si="200"/>
        <v>5</v>
      </c>
      <c r="B993" s="28" t="s">
        <v>804</v>
      </c>
      <c r="C993" s="3" t="s">
        <v>454</v>
      </c>
      <c r="D993" s="12" t="s">
        <v>40</v>
      </c>
      <c r="E993" s="12" t="s">
        <v>40</v>
      </c>
      <c r="F993" s="12"/>
      <c r="G993" s="12" t="s">
        <v>40</v>
      </c>
      <c r="H993" s="12" t="s">
        <v>40</v>
      </c>
      <c r="I993" s="12"/>
      <c r="J993" s="12"/>
      <c r="K993" s="12"/>
      <c r="L993" s="12">
        <v>312614.40000000002</v>
      </c>
      <c r="M993" s="15">
        <f t="shared" si="198"/>
        <v>7</v>
      </c>
      <c r="N993" s="15">
        <f t="shared" si="199"/>
        <v>0</v>
      </c>
      <c r="O993" s="12">
        <v>312614.40000000002</v>
      </c>
      <c r="P993" s="12">
        <f t="shared" si="196"/>
        <v>26051.200000000001</v>
      </c>
      <c r="Q993" s="12">
        <f t="shared" si="197"/>
        <v>26051.200000000001</v>
      </c>
      <c r="R993" t="s">
        <v>803</v>
      </c>
    </row>
    <row r="994" spans="1:18" x14ac:dyDescent="0.3">
      <c r="A994" s="1">
        <f t="shared" si="200"/>
        <v>6</v>
      </c>
      <c r="B994" s="2" t="s">
        <v>805</v>
      </c>
      <c r="C994" s="3" t="s">
        <v>454</v>
      </c>
      <c r="D994" s="12" t="s">
        <v>40</v>
      </c>
      <c r="E994" s="12" t="s">
        <v>40</v>
      </c>
      <c r="F994" s="12" t="s">
        <v>40</v>
      </c>
      <c r="G994" s="12"/>
      <c r="H994" s="12" t="s">
        <v>40</v>
      </c>
      <c r="I994" s="12"/>
      <c r="J994" s="12"/>
      <c r="K994" s="12"/>
      <c r="L994" s="12">
        <v>52738</v>
      </c>
      <c r="M994" s="15">
        <f t="shared" si="198"/>
        <v>7</v>
      </c>
      <c r="N994" s="15">
        <f t="shared" si="199"/>
        <v>0</v>
      </c>
      <c r="O994" s="12">
        <v>52738</v>
      </c>
      <c r="P994" s="12">
        <f t="shared" si="196"/>
        <v>4394.833333333333</v>
      </c>
      <c r="Q994" s="12">
        <f t="shared" si="197"/>
        <v>4394.833333333333</v>
      </c>
    </row>
    <row r="995" spans="1:18" x14ac:dyDescent="0.3">
      <c r="A995" s="1">
        <f t="shared" si="200"/>
        <v>7</v>
      </c>
      <c r="B995" s="28" t="s">
        <v>817</v>
      </c>
      <c r="C995" s="3" t="s">
        <v>454</v>
      </c>
      <c r="D995" s="12" t="s">
        <v>40</v>
      </c>
      <c r="E995" s="12" t="s">
        <v>40</v>
      </c>
      <c r="F995" s="12" t="s">
        <v>40</v>
      </c>
      <c r="G995" s="12"/>
      <c r="H995" s="12"/>
      <c r="I995" s="12"/>
      <c r="J995" s="12"/>
      <c r="K995" s="12"/>
      <c r="L995" s="12">
        <v>62780</v>
      </c>
      <c r="M995" s="15">
        <f t="shared" si="198"/>
        <v>4</v>
      </c>
      <c r="N995" s="15">
        <f t="shared" si="199"/>
        <v>0</v>
      </c>
      <c r="O995" s="12">
        <v>62780</v>
      </c>
      <c r="P995" s="12">
        <f t="shared" si="196"/>
        <v>5231.666666666667</v>
      </c>
      <c r="Q995" s="12">
        <f t="shared" si="197"/>
        <v>5231.666666666667</v>
      </c>
    </row>
    <row r="996" spans="1:18" x14ac:dyDescent="0.3">
      <c r="A996" s="1">
        <f t="shared" si="200"/>
        <v>8</v>
      </c>
      <c r="B996" s="28" t="s">
        <v>818</v>
      </c>
      <c r="C996" s="3" t="s">
        <v>454</v>
      </c>
      <c r="D996" s="12" t="s">
        <v>40</v>
      </c>
      <c r="E996" s="12" t="s">
        <v>40</v>
      </c>
      <c r="F996" s="12" t="s">
        <v>40</v>
      </c>
      <c r="G996" s="12"/>
      <c r="H996" s="12" t="s">
        <v>40</v>
      </c>
      <c r="I996" s="12" t="s">
        <v>40</v>
      </c>
      <c r="J996" s="12"/>
      <c r="K996" s="12"/>
      <c r="L996" s="12">
        <v>1900</v>
      </c>
      <c r="M996" s="15">
        <f t="shared" si="198"/>
        <v>12</v>
      </c>
      <c r="N996" s="15">
        <f t="shared" si="199"/>
        <v>0</v>
      </c>
      <c r="O996" s="12">
        <v>1900</v>
      </c>
      <c r="P996" s="12">
        <f t="shared" si="196"/>
        <v>158.33333333333334</v>
      </c>
      <c r="Q996" s="12">
        <f t="shared" si="197"/>
        <v>158.33333333333334</v>
      </c>
    </row>
    <row r="997" spans="1:18" x14ac:dyDescent="0.3">
      <c r="A997" s="1">
        <f t="shared" si="200"/>
        <v>9</v>
      </c>
      <c r="B997" s="28" t="s">
        <v>806</v>
      </c>
      <c r="C997" s="3" t="s">
        <v>454</v>
      </c>
      <c r="D997" s="12" t="s">
        <v>40</v>
      </c>
      <c r="E997" s="12" t="s">
        <v>40</v>
      </c>
      <c r="F997" s="12"/>
      <c r="G997" s="12"/>
      <c r="H997" s="12" t="s">
        <v>40</v>
      </c>
      <c r="I997" s="12"/>
      <c r="J997" s="12"/>
      <c r="K997" s="12"/>
      <c r="L997" s="12">
        <v>0</v>
      </c>
      <c r="M997" s="15">
        <f t="shared" si="198"/>
        <v>5</v>
      </c>
      <c r="N997" s="15">
        <f t="shared" si="199"/>
        <v>0</v>
      </c>
      <c r="O997" s="20"/>
      <c r="P997" s="12">
        <f t="shared" si="196"/>
        <v>0</v>
      </c>
      <c r="Q997" s="20"/>
    </row>
    <row r="998" spans="1:18" x14ac:dyDescent="0.3">
      <c r="A998" s="1">
        <f t="shared" si="200"/>
        <v>10</v>
      </c>
      <c r="B998" s="28" t="s">
        <v>819</v>
      </c>
      <c r="C998" s="3" t="s">
        <v>454</v>
      </c>
      <c r="D998" s="12" t="s">
        <v>40</v>
      </c>
      <c r="E998" s="12" t="s">
        <v>40</v>
      </c>
      <c r="F998" s="12"/>
      <c r="G998" s="12" t="s">
        <v>40</v>
      </c>
      <c r="H998" s="12"/>
      <c r="I998" s="12"/>
      <c r="J998" s="12"/>
      <c r="K998" s="12"/>
      <c r="L998" s="12">
        <v>13298.2</v>
      </c>
      <c r="M998" s="15">
        <f t="shared" si="198"/>
        <v>4</v>
      </c>
      <c r="N998" s="15">
        <f t="shared" si="199"/>
        <v>0</v>
      </c>
      <c r="O998" s="12">
        <v>13298.2</v>
      </c>
      <c r="P998" s="12">
        <f t="shared" si="196"/>
        <v>1108.1833333333334</v>
      </c>
      <c r="Q998" s="12">
        <f t="shared" si="197"/>
        <v>1108.1833333333334</v>
      </c>
    </row>
    <row r="999" spans="1:18" x14ac:dyDescent="0.3">
      <c r="A999" s="1">
        <f t="shared" si="200"/>
        <v>11</v>
      </c>
      <c r="B999" s="28" t="s">
        <v>808</v>
      </c>
      <c r="C999" s="3" t="s">
        <v>454</v>
      </c>
      <c r="D999" s="12" t="s">
        <v>40</v>
      </c>
      <c r="E999" s="12" t="s">
        <v>40</v>
      </c>
      <c r="F999" s="12"/>
      <c r="G999" s="12"/>
      <c r="H999" s="12" t="s">
        <v>40</v>
      </c>
      <c r="I999" s="12"/>
      <c r="J999" s="12"/>
      <c r="K999" s="12"/>
      <c r="L999" s="12">
        <v>10000</v>
      </c>
      <c r="M999" s="15">
        <f t="shared" si="198"/>
        <v>5</v>
      </c>
      <c r="N999" s="15">
        <f t="shared" si="199"/>
        <v>0</v>
      </c>
      <c r="O999" s="12">
        <v>10000</v>
      </c>
      <c r="P999" s="12">
        <f t="shared" si="196"/>
        <v>833.33333333333337</v>
      </c>
      <c r="Q999" s="12">
        <f t="shared" si="197"/>
        <v>833.33333333333337</v>
      </c>
    </row>
    <row r="1000" spans="1:18" x14ac:dyDescent="0.3">
      <c r="A1000" s="1">
        <f t="shared" si="200"/>
        <v>12</v>
      </c>
      <c r="B1000" s="28" t="s">
        <v>816</v>
      </c>
      <c r="C1000" s="3" t="s">
        <v>454</v>
      </c>
      <c r="D1000" s="12" t="s">
        <v>40</v>
      </c>
      <c r="E1000" s="12" t="s">
        <v>40</v>
      </c>
      <c r="F1000" s="12"/>
      <c r="G1000" s="12"/>
      <c r="H1000" s="12" t="s">
        <v>40</v>
      </c>
      <c r="I1000" s="12"/>
      <c r="J1000" s="12"/>
      <c r="K1000" s="12"/>
      <c r="L1000" s="12">
        <v>32000</v>
      </c>
      <c r="M1000" s="15">
        <f t="shared" si="198"/>
        <v>5</v>
      </c>
      <c r="N1000" s="15">
        <f t="shared" si="199"/>
        <v>0</v>
      </c>
      <c r="O1000" s="12">
        <v>32000</v>
      </c>
      <c r="P1000" s="12">
        <f t="shared" si="196"/>
        <v>2666.6666666666665</v>
      </c>
      <c r="Q1000" s="12">
        <f t="shared" si="197"/>
        <v>2666.6666666666665</v>
      </c>
    </row>
    <row r="1001" spans="1:18" x14ac:dyDescent="0.3">
      <c r="A1001" s="1">
        <f t="shared" si="200"/>
        <v>13</v>
      </c>
      <c r="B1001" s="2" t="s">
        <v>806</v>
      </c>
      <c r="C1001" s="3" t="s">
        <v>454</v>
      </c>
      <c r="D1001" s="12" t="s">
        <v>40</v>
      </c>
      <c r="E1001" s="12" t="s">
        <v>40</v>
      </c>
      <c r="F1001" s="12"/>
      <c r="G1001" s="12"/>
      <c r="H1001" s="12" t="s">
        <v>40</v>
      </c>
      <c r="I1001" s="12"/>
      <c r="J1001" s="12"/>
      <c r="K1001" s="12"/>
      <c r="L1001" s="12">
        <v>0</v>
      </c>
      <c r="M1001" s="15">
        <f t="shared" si="198"/>
        <v>5</v>
      </c>
      <c r="N1001" s="15">
        <f t="shared" si="199"/>
        <v>0</v>
      </c>
      <c r="O1001" s="20"/>
      <c r="P1001" s="12">
        <f t="shared" si="196"/>
        <v>0</v>
      </c>
      <c r="Q1001" s="20"/>
    </row>
    <row r="1002" spans="1:18" x14ac:dyDescent="0.3">
      <c r="A1002" s="1">
        <f t="shared" si="200"/>
        <v>14</v>
      </c>
      <c r="B1002" s="2" t="s">
        <v>811</v>
      </c>
      <c r="C1002" s="3" t="s">
        <v>454</v>
      </c>
      <c r="D1002" s="12" t="s">
        <v>40</v>
      </c>
      <c r="E1002" s="12" t="s">
        <v>40</v>
      </c>
      <c r="F1002" s="12"/>
      <c r="G1002" s="12"/>
      <c r="H1002" s="12" t="s">
        <v>40</v>
      </c>
      <c r="I1002" s="12"/>
      <c r="J1002" s="12"/>
      <c r="K1002" s="12"/>
      <c r="L1002" s="12">
        <v>0</v>
      </c>
      <c r="M1002" s="15">
        <f t="shared" si="198"/>
        <v>5</v>
      </c>
      <c r="N1002" s="15">
        <f t="shared" si="199"/>
        <v>0</v>
      </c>
      <c r="O1002" s="20"/>
      <c r="P1002" s="12">
        <f t="shared" si="196"/>
        <v>0</v>
      </c>
      <c r="Q1002" s="20"/>
    </row>
    <row r="1003" spans="1:18" x14ac:dyDescent="0.3">
      <c r="A1003" s="1">
        <f t="shared" si="200"/>
        <v>15</v>
      </c>
      <c r="B1003" s="2" t="s">
        <v>812</v>
      </c>
      <c r="C1003" s="3" t="s">
        <v>454</v>
      </c>
      <c r="D1003" s="12" t="s">
        <v>40</v>
      </c>
      <c r="E1003" s="12" t="s">
        <v>40</v>
      </c>
      <c r="F1003" s="12" t="s">
        <v>40</v>
      </c>
      <c r="G1003" s="12"/>
      <c r="H1003" s="12" t="s">
        <v>40</v>
      </c>
      <c r="I1003" s="12"/>
      <c r="J1003" s="12"/>
      <c r="K1003" s="12" t="s">
        <v>40</v>
      </c>
      <c r="L1003" s="12">
        <v>24000</v>
      </c>
      <c r="M1003" s="15">
        <f t="shared" si="198"/>
        <v>7</v>
      </c>
      <c r="N1003" s="15">
        <f t="shared" si="199"/>
        <v>1</v>
      </c>
      <c r="O1003" s="12">
        <v>24000</v>
      </c>
      <c r="P1003" s="12">
        <f t="shared" si="196"/>
        <v>2000</v>
      </c>
      <c r="Q1003" s="12">
        <f t="shared" si="197"/>
        <v>2000</v>
      </c>
    </row>
    <row r="1004" spans="1:18" x14ac:dyDescent="0.3">
      <c r="A1004" s="1">
        <f t="shared" si="200"/>
        <v>16</v>
      </c>
      <c r="B1004" s="2" t="s">
        <v>809</v>
      </c>
      <c r="C1004" s="3" t="s">
        <v>454</v>
      </c>
      <c r="D1004" s="12" t="s">
        <v>40</v>
      </c>
      <c r="E1004" s="12" t="s">
        <v>40</v>
      </c>
      <c r="F1004" s="12"/>
      <c r="G1004" s="12"/>
      <c r="H1004" s="12" t="s">
        <v>40</v>
      </c>
      <c r="I1004" s="12"/>
      <c r="J1004" s="12"/>
      <c r="K1004" s="12"/>
      <c r="L1004" s="12">
        <v>2750</v>
      </c>
      <c r="M1004" s="15">
        <f t="shared" si="198"/>
        <v>5</v>
      </c>
      <c r="N1004" s="15">
        <f t="shared" si="199"/>
        <v>0</v>
      </c>
      <c r="O1004" s="12">
        <v>2750</v>
      </c>
      <c r="P1004" s="12">
        <f t="shared" si="196"/>
        <v>229.16666666666666</v>
      </c>
      <c r="Q1004" s="12">
        <f t="shared" si="197"/>
        <v>229.16666666666666</v>
      </c>
    </row>
    <row r="1005" spans="1:18" x14ac:dyDescent="0.3">
      <c r="A1005" s="1">
        <f t="shared" si="200"/>
        <v>17</v>
      </c>
      <c r="B1005" s="2">
        <v>10801835</v>
      </c>
      <c r="C1005" s="3" t="s">
        <v>454</v>
      </c>
      <c r="D1005" s="12" t="s">
        <v>40</v>
      </c>
      <c r="E1005" s="12" t="s">
        <v>40</v>
      </c>
      <c r="F1005" s="12" t="s">
        <v>40</v>
      </c>
      <c r="G1005" s="12"/>
      <c r="H1005" s="12" t="s">
        <v>40</v>
      </c>
      <c r="I1005" s="12"/>
      <c r="J1005" s="12"/>
      <c r="K1005" s="12"/>
      <c r="L1005" s="12">
        <v>25600</v>
      </c>
      <c r="M1005" s="15">
        <f t="shared" si="198"/>
        <v>7</v>
      </c>
      <c r="N1005" s="15">
        <f t="shared" si="199"/>
        <v>0</v>
      </c>
      <c r="O1005" s="12">
        <v>25600</v>
      </c>
      <c r="P1005" s="12">
        <f t="shared" si="196"/>
        <v>2133.3333333333335</v>
      </c>
      <c r="Q1005" s="12">
        <f t="shared" si="197"/>
        <v>2133.3333333333335</v>
      </c>
    </row>
    <row r="1006" spans="1:18" x14ac:dyDescent="0.3">
      <c r="A1006" s="1">
        <f t="shared" si="200"/>
        <v>18</v>
      </c>
      <c r="B1006" s="2" t="s">
        <v>810</v>
      </c>
      <c r="C1006" s="3" t="s">
        <v>454</v>
      </c>
      <c r="D1006" s="12" t="s">
        <v>40</v>
      </c>
      <c r="E1006" s="12" t="s">
        <v>40</v>
      </c>
      <c r="F1006" s="12"/>
      <c r="G1006" s="12"/>
      <c r="H1006" s="12"/>
      <c r="I1006" s="12"/>
      <c r="J1006" s="12"/>
      <c r="K1006" s="12"/>
      <c r="L1006" s="12">
        <v>84000</v>
      </c>
      <c r="M1006" s="15">
        <f t="shared" si="198"/>
        <v>2</v>
      </c>
      <c r="N1006" s="15">
        <f t="shared" si="199"/>
        <v>0</v>
      </c>
      <c r="O1006" s="12">
        <v>84000</v>
      </c>
      <c r="P1006" s="12">
        <f t="shared" si="196"/>
        <v>7000</v>
      </c>
      <c r="Q1006" s="12">
        <f t="shared" si="197"/>
        <v>7000</v>
      </c>
    </row>
    <row r="1007" spans="1:18" x14ac:dyDescent="0.3">
      <c r="A1007" s="1">
        <f t="shared" si="200"/>
        <v>19</v>
      </c>
      <c r="B1007" s="2">
        <v>41608058</v>
      </c>
      <c r="C1007" s="3" t="s">
        <v>454</v>
      </c>
      <c r="D1007" s="12" t="s">
        <v>40</v>
      </c>
      <c r="E1007" s="12" t="s">
        <v>40</v>
      </c>
      <c r="F1007" s="12"/>
      <c r="G1007" s="12"/>
      <c r="H1007" s="12" t="s">
        <v>40</v>
      </c>
      <c r="I1007" s="12"/>
      <c r="J1007" s="12"/>
      <c r="K1007" s="12"/>
      <c r="L1007" s="12">
        <v>14000</v>
      </c>
      <c r="M1007" s="15">
        <f t="shared" si="198"/>
        <v>5</v>
      </c>
      <c r="N1007" s="15">
        <f t="shared" si="199"/>
        <v>0</v>
      </c>
      <c r="O1007" s="12">
        <v>14000</v>
      </c>
      <c r="P1007" s="12">
        <f t="shared" si="196"/>
        <v>1166.6666666666667</v>
      </c>
      <c r="Q1007" s="12">
        <f t="shared" si="197"/>
        <v>1166.6666666666667</v>
      </c>
    </row>
    <row r="1008" spans="1:18" x14ac:dyDescent="0.3">
      <c r="A1008" s="1">
        <f t="shared" si="200"/>
        <v>20</v>
      </c>
      <c r="B1008" s="2" t="s">
        <v>820</v>
      </c>
      <c r="C1008" s="3" t="s">
        <v>454</v>
      </c>
      <c r="D1008" s="12" t="s">
        <v>40</v>
      </c>
      <c r="E1008" s="12" t="s">
        <v>40</v>
      </c>
      <c r="F1008" s="12" t="s">
        <v>40</v>
      </c>
      <c r="G1008" s="12"/>
      <c r="H1008" s="12"/>
      <c r="I1008" s="12"/>
      <c r="J1008" s="12"/>
      <c r="K1008" s="12"/>
      <c r="L1008" s="12">
        <v>0</v>
      </c>
      <c r="M1008" s="15">
        <f t="shared" si="198"/>
        <v>4</v>
      </c>
      <c r="N1008" s="15">
        <f t="shared" si="199"/>
        <v>0</v>
      </c>
      <c r="O1008" s="20"/>
      <c r="P1008" s="12">
        <f t="shared" si="196"/>
        <v>0</v>
      </c>
      <c r="Q1008" s="20"/>
    </row>
    <row r="1009" spans="1:20" x14ac:dyDescent="0.3">
      <c r="A1009" s="1">
        <f t="shared" si="200"/>
        <v>21</v>
      </c>
      <c r="B1009" s="2">
        <v>10139319</v>
      </c>
      <c r="C1009" s="3" t="s">
        <v>454</v>
      </c>
      <c r="D1009" s="12" t="s">
        <v>40</v>
      </c>
      <c r="E1009" s="12" t="s">
        <v>40</v>
      </c>
      <c r="F1009" s="12" t="s">
        <v>40</v>
      </c>
      <c r="G1009" s="12"/>
      <c r="H1009" s="12"/>
      <c r="I1009" s="12"/>
      <c r="J1009" s="12"/>
      <c r="K1009" s="12"/>
      <c r="L1009" s="12">
        <v>2900</v>
      </c>
      <c r="M1009" s="15">
        <f t="shared" si="198"/>
        <v>4</v>
      </c>
      <c r="N1009" s="15">
        <f t="shared" si="199"/>
        <v>0</v>
      </c>
      <c r="O1009" s="12">
        <v>2900</v>
      </c>
      <c r="P1009" s="12">
        <f t="shared" si="196"/>
        <v>241.66666666666666</v>
      </c>
      <c r="Q1009" s="12">
        <f t="shared" si="197"/>
        <v>241.66666666666666</v>
      </c>
    </row>
    <row r="1010" spans="1:20" x14ac:dyDescent="0.3">
      <c r="A1010" s="1">
        <f t="shared" si="200"/>
        <v>22</v>
      </c>
      <c r="B1010" s="2" t="s">
        <v>807</v>
      </c>
      <c r="C1010" s="3" t="s">
        <v>454</v>
      </c>
      <c r="D1010" s="12" t="s">
        <v>40</v>
      </c>
      <c r="E1010" s="12" t="s">
        <v>40</v>
      </c>
      <c r="F1010" s="12"/>
      <c r="G1010" s="12"/>
      <c r="H1010" s="12"/>
      <c r="I1010" s="12"/>
      <c r="J1010" s="12"/>
      <c r="K1010" s="12"/>
      <c r="L1010" s="12">
        <v>135000</v>
      </c>
      <c r="M1010" s="15">
        <f t="shared" si="198"/>
        <v>2</v>
      </c>
      <c r="N1010" s="15">
        <f t="shared" si="199"/>
        <v>0</v>
      </c>
      <c r="O1010" s="12">
        <v>135000</v>
      </c>
      <c r="P1010" s="12">
        <f t="shared" si="196"/>
        <v>11250</v>
      </c>
      <c r="Q1010" s="12">
        <f t="shared" si="197"/>
        <v>11250</v>
      </c>
    </row>
    <row r="1011" spans="1:20" x14ac:dyDescent="0.3">
      <c r="A1011" s="1">
        <f t="shared" si="200"/>
        <v>23</v>
      </c>
      <c r="B1011" s="2">
        <v>20004181</v>
      </c>
      <c r="C1011" s="3" t="s">
        <v>454</v>
      </c>
      <c r="D1011" s="12" t="s">
        <v>40</v>
      </c>
      <c r="E1011" s="12" t="s">
        <v>40</v>
      </c>
      <c r="F1011" s="12"/>
      <c r="G1011" s="12"/>
      <c r="H1011" s="12"/>
      <c r="I1011" s="12"/>
      <c r="J1011" s="12"/>
      <c r="K1011" s="12"/>
      <c r="L1011" s="12">
        <v>36000</v>
      </c>
      <c r="M1011" s="15">
        <f t="shared" si="198"/>
        <v>2</v>
      </c>
      <c r="N1011" s="15">
        <f t="shared" si="199"/>
        <v>0</v>
      </c>
      <c r="O1011" s="12">
        <v>36000</v>
      </c>
      <c r="P1011" s="12">
        <f t="shared" si="196"/>
        <v>3000</v>
      </c>
      <c r="Q1011" s="12">
        <f t="shared" si="197"/>
        <v>3000</v>
      </c>
    </row>
    <row r="1012" spans="1:20" x14ac:dyDescent="0.3">
      <c r="A1012" s="1">
        <f t="shared" si="200"/>
        <v>24</v>
      </c>
      <c r="B1012" s="2" t="s">
        <v>813</v>
      </c>
      <c r="C1012" s="3" t="s">
        <v>454</v>
      </c>
      <c r="D1012" s="12" t="s">
        <v>40</v>
      </c>
      <c r="E1012" s="12" t="s">
        <v>40</v>
      </c>
      <c r="F1012" s="12"/>
      <c r="G1012" s="12"/>
      <c r="H1012" s="12" t="s">
        <v>40</v>
      </c>
      <c r="I1012" s="12"/>
      <c r="J1012" s="12"/>
      <c r="K1012" s="12"/>
      <c r="L1012" s="12">
        <v>165272</v>
      </c>
      <c r="M1012" s="15">
        <f t="shared" si="198"/>
        <v>5</v>
      </c>
      <c r="N1012" s="15">
        <f t="shared" si="199"/>
        <v>0</v>
      </c>
      <c r="O1012" s="12">
        <v>165272</v>
      </c>
      <c r="P1012" s="12">
        <f t="shared" si="196"/>
        <v>13772.666666666666</v>
      </c>
      <c r="Q1012" s="12">
        <f t="shared" si="197"/>
        <v>13772.666666666666</v>
      </c>
    </row>
    <row r="1013" spans="1:20" x14ac:dyDescent="0.3">
      <c r="A1013" s="1">
        <f t="shared" si="200"/>
        <v>25</v>
      </c>
      <c r="B1013" s="2">
        <v>17930875</v>
      </c>
      <c r="C1013" s="3" t="s">
        <v>454</v>
      </c>
      <c r="D1013" s="12" t="s">
        <v>40</v>
      </c>
      <c r="E1013" s="12" t="s">
        <v>40</v>
      </c>
      <c r="F1013" s="12" t="s">
        <v>40</v>
      </c>
      <c r="G1013" s="12"/>
      <c r="H1013" s="12" t="s">
        <v>40</v>
      </c>
      <c r="I1013" s="12"/>
      <c r="J1013" s="12"/>
      <c r="K1013" s="12"/>
      <c r="L1013" s="12">
        <v>35000</v>
      </c>
      <c r="M1013" s="15">
        <f t="shared" si="198"/>
        <v>7</v>
      </c>
      <c r="N1013" s="15">
        <f t="shared" si="199"/>
        <v>0</v>
      </c>
      <c r="O1013" s="12">
        <v>35000</v>
      </c>
      <c r="P1013" s="12">
        <f t="shared" si="196"/>
        <v>2916.6666666666665</v>
      </c>
      <c r="Q1013" s="12">
        <f t="shared" si="197"/>
        <v>2916.6666666666665</v>
      </c>
    </row>
    <row r="1014" spans="1:20" x14ac:dyDescent="0.3">
      <c r="A1014" s="1">
        <f t="shared" si="200"/>
        <v>26</v>
      </c>
      <c r="B1014" s="44"/>
      <c r="C1014" s="9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6"/>
      <c r="O1014" s="13"/>
      <c r="P1014" s="13"/>
      <c r="Q1014" s="13"/>
    </row>
    <row r="1015" spans="1:20" x14ac:dyDescent="0.3">
      <c r="A1015" s="1">
        <f t="shared" si="200"/>
        <v>27</v>
      </c>
      <c r="B1015" s="2" t="s">
        <v>814</v>
      </c>
      <c r="C1015" s="3" t="s">
        <v>454</v>
      </c>
      <c r="D1015" s="12" t="s">
        <v>40</v>
      </c>
      <c r="E1015" s="12" t="s">
        <v>40</v>
      </c>
      <c r="F1015" s="12"/>
      <c r="G1015" s="12"/>
      <c r="H1015" s="12"/>
      <c r="I1015" s="12"/>
      <c r="J1015" s="12"/>
      <c r="K1015" s="12"/>
      <c r="L1015" s="12">
        <v>48000</v>
      </c>
      <c r="M1015" s="15">
        <f t="shared" si="198"/>
        <v>2</v>
      </c>
      <c r="N1015" s="15">
        <f t="shared" si="199"/>
        <v>0</v>
      </c>
      <c r="O1015" s="12">
        <v>48000</v>
      </c>
      <c r="P1015" s="12">
        <f t="shared" si="196"/>
        <v>4000</v>
      </c>
      <c r="Q1015" s="12">
        <f t="shared" si="197"/>
        <v>4000</v>
      </c>
    </row>
    <row r="1016" spans="1:20" x14ac:dyDescent="0.3">
      <c r="A1016" s="1">
        <f t="shared" si="200"/>
        <v>28</v>
      </c>
      <c r="B1016" s="2" t="s">
        <v>821</v>
      </c>
      <c r="C1016" s="3" t="s">
        <v>454</v>
      </c>
      <c r="D1016" s="12" t="s">
        <v>40</v>
      </c>
      <c r="E1016" s="12" t="s">
        <v>40</v>
      </c>
      <c r="F1016" s="12"/>
      <c r="G1016" s="12"/>
      <c r="H1016" s="12" t="s">
        <v>40</v>
      </c>
      <c r="I1016" s="12"/>
      <c r="J1016" s="12"/>
      <c r="K1016" s="12"/>
      <c r="L1016" s="12">
        <v>42000</v>
      </c>
      <c r="M1016" s="15">
        <f t="shared" si="198"/>
        <v>5</v>
      </c>
      <c r="N1016" s="15">
        <f t="shared" si="199"/>
        <v>0</v>
      </c>
      <c r="O1016" s="12">
        <v>42000</v>
      </c>
      <c r="P1016" s="12">
        <f t="shared" si="196"/>
        <v>3500</v>
      </c>
      <c r="Q1016" s="12">
        <f t="shared" si="197"/>
        <v>3500</v>
      </c>
    </row>
    <row r="1017" spans="1:20" x14ac:dyDescent="0.3">
      <c r="A1017" s="1">
        <f t="shared" si="200"/>
        <v>29</v>
      </c>
      <c r="B1017" s="2">
        <v>10159075</v>
      </c>
      <c r="C1017" s="3" t="s">
        <v>454</v>
      </c>
      <c r="D1017" s="12" t="s">
        <v>40</v>
      </c>
      <c r="E1017" s="12" t="s">
        <v>40</v>
      </c>
      <c r="F1017" s="12"/>
      <c r="G1017" s="12" t="s">
        <v>40</v>
      </c>
      <c r="H1017" s="12"/>
      <c r="I1017" s="12"/>
      <c r="J1017" s="12"/>
      <c r="K1017" s="12"/>
      <c r="L1017" s="12">
        <v>26250</v>
      </c>
      <c r="M1017" s="15">
        <f t="shared" si="198"/>
        <v>4</v>
      </c>
      <c r="N1017" s="15">
        <f t="shared" si="199"/>
        <v>0</v>
      </c>
      <c r="O1017" s="12">
        <v>26250</v>
      </c>
      <c r="P1017" s="12">
        <f t="shared" si="196"/>
        <v>2187.5</v>
      </c>
      <c r="Q1017" s="12">
        <f t="shared" si="197"/>
        <v>2187.5</v>
      </c>
    </row>
    <row r="1018" spans="1:20" x14ac:dyDescent="0.3">
      <c r="A1018" s="1">
        <f t="shared" si="200"/>
        <v>30</v>
      </c>
      <c r="B1018" s="2" t="s">
        <v>815</v>
      </c>
      <c r="C1018" s="3" t="s">
        <v>454</v>
      </c>
      <c r="D1018" s="12" t="s">
        <v>40</v>
      </c>
      <c r="E1018" s="12" t="s">
        <v>40</v>
      </c>
      <c r="F1018" s="12" t="s">
        <v>40</v>
      </c>
      <c r="G1018" s="12"/>
      <c r="H1018" s="12"/>
      <c r="I1018" s="12"/>
      <c r="J1018" s="12"/>
      <c r="K1018" s="12"/>
      <c r="L1018" s="12">
        <v>3500</v>
      </c>
      <c r="M1018" s="15">
        <f t="shared" si="198"/>
        <v>4</v>
      </c>
      <c r="N1018" s="15">
        <f t="shared" si="199"/>
        <v>0</v>
      </c>
      <c r="O1018" s="12">
        <v>3500</v>
      </c>
      <c r="P1018" s="12">
        <f t="shared" si="196"/>
        <v>291.66666666666669</v>
      </c>
      <c r="Q1018" s="12">
        <f t="shared" si="197"/>
        <v>291.66666666666669</v>
      </c>
    </row>
    <row r="1019" spans="1:20" x14ac:dyDescent="0.3">
      <c r="B1019" s="29"/>
      <c r="D1019"/>
      <c r="E1019"/>
      <c r="F1019"/>
      <c r="G1019"/>
      <c r="H1019"/>
      <c r="I1019"/>
      <c r="J1019"/>
      <c r="L1019" s="14">
        <f>+AVERAGE(L989:L1018)</f>
        <v>81053.164285714272</v>
      </c>
      <c r="M1019" s="14">
        <f>+AVERAGE(M989:M1018)</f>
        <v>5.6428571428571432</v>
      </c>
      <c r="N1019" s="14">
        <f>+SUM(N989:N1018)</f>
        <v>1</v>
      </c>
      <c r="O1019" s="14">
        <f>+AVERAGE(O989:O1018)</f>
        <v>75822.33043478262</v>
      </c>
      <c r="P1019" s="14">
        <f>+AVERAGE(P989:P1018)</f>
        <v>6754.4303571428545</v>
      </c>
      <c r="Q1019" s="14">
        <f>+AVERAGE(Q989:Q1018)</f>
        <v>6318.5275362318844</v>
      </c>
    </row>
    <row r="1020" spans="1:20" x14ac:dyDescent="0.3">
      <c r="D1020"/>
      <c r="E1020"/>
      <c r="F1020"/>
      <c r="G1020"/>
      <c r="H1020"/>
      <c r="I1020"/>
      <c r="J1020"/>
      <c r="L1020" s="14">
        <f>+STDEV(L989:L1018)</f>
        <v>140066.59730764641</v>
      </c>
      <c r="M1020" s="14">
        <f>+STDEV(M989:M1018)</f>
        <v>2.9840847683606282</v>
      </c>
      <c r="N1020" s="17"/>
      <c r="O1020" s="14">
        <f>+STDEV(O989:O1018)</f>
        <v>117781.80016120114</v>
      </c>
      <c r="P1020" s="14">
        <f>+STDEV(P989:P1018)</f>
        <v>11672.216442303865</v>
      </c>
      <c r="Q1020" s="14">
        <f>+STDEV(Q989:Q1018)</f>
        <v>9815.150013433431</v>
      </c>
    </row>
    <row r="1021" spans="1:20" x14ac:dyDescent="0.3">
      <c r="D1021"/>
      <c r="E1021"/>
      <c r="F1021"/>
      <c r="G1021"/>
      <c r="H1021"/>
      <c r="I1021" s="15"/>
      <c r="J1021" s="15"/>
      <c r="K1021" s="11" t="s">
        <v>75</v>
      </c>
      <c r="L1021" s="14">
        <f>+COUNTIF(L989:L1018,0)</f>
        <v>4</v>
      </c>
      <c r="M1021" s="14">
        <f>+COUNT(M989:M1018)</f>
        <v>28</v>
      </c>
      <c r="P1021" s="14">
        <f>+COUNTIF(P989:P1018,0)</f>
        <v>4</v>
      </c>
    </row>
    <row r="1022" spans="1:20" x14ac:dyDescent="0.3">
      <c r="D1022"/>
      <c r="E1022"/>
      <c r="F1022"/>
      <c r="G1022"/>
      <c r="H1022"/>
      <c r="I1022"/>
      <c r="J1022"/>
    </row>
    <row r="1023" spans="1:20" x14ac:dyDescent="0.3">
      <c r="A1023" s="1">
        <v>1</v>
      </c>
      <c r="B1023" s="2" t="s">
        <v>844</v>
      </c>
      <c r="C1023" s="3" t="s">
        <v>456</v>
      </c>
      <c r="D1023" s="50" t="s">
        <v>40</v>
      </c>
      <c r="E1023" s="50" t="s">
        <v>40</v>
      </c>
      <c r="F1023" s="50"/>
      <c r="G1023" s="50"/>
      <c r="H1023" s="50" t="s">
        <v>40</v>
      </c>
      <c r="I1023" s="50" t="s">
        <v>40</v>
      </c>
      <c r="J1023" s="50" t="s">
        <v>897</v>
      </c>
      <c r="K1023" s="12"/>
      <c r="L1023" s="12">
        <v>11409038.640000001</v>
      </c>
      <c r="M1023" s="15">
        <f>+IF(D1023="X",1,0)+IF(E1023="X",1,0)+IF(F1023="X",2,0)+IF(G1023="X",2,0)+IF(H1023="X",3,IF(H1023="Y",1.5,0))+IF(I1023="X",5,IF(I1023="Y",2.5,0))+IF(J1023="X1",10,IF(J1023="X2",5,IF(J1023="X3",3,0)))</f>
        <v>15</v>
      </c>
      <c r="N1023" s="15">
        <f>+IF(K1023="X",1,0)</f>
        <v>0</v>
      </c>
      <c r="O1023" s="20"/>
      <c r="P1023" s="12">
        <f t="shared" ref="P1023:P1052" si="201">+L1023/12</f>
        <v>950753.22000000009</v>
      </c>
      <c r="Q1023" s="20"/>
      <c r="R1023" t="s">
        <v>461</v>
      </c>
    </row>
    <row r="1024" spans="1:20" x14ac:dyDescent="0.3">
      <c r="A1024" s="1">
        <f>+A1023+1</f>
        <v>2</v>
      </c>
      <c r="B1024" s="2" t="s">
        <v>845</v>
      </c>
      <c r="C1024" s="3" t="s">
        <v>456</v>
      </c>
      <c r="D1024" s="12" t="s">
        <v>40</v>
      </c>
      <c r="E1024" s="12" t="s">
        <v>40</v>
      </c>
      <c r="F1024" s="12"/>
      <c r="G1024" s="12"/>
      <c r="H1024" s="12" t="s">
        <v>40</v>
      </c>
      <c r="I1024" s="12" t="s">
        <v>40</v>
      </c>
      <c r="J1024" s="12"/>
      <c r="K1024" s="12"/>
      <c r="L1024" s="12">
        <v>54000</v>
      </c>
      <c r="M1024" s="15">
        <f t="shared" ref="M1024:M1052" si="202">+IF(D1024="X",1,0)+IF(E1024="X",1,0)+IF(F1024="X",2,0)+IF(G1024="X",2,0)+IF(H1024="X",3,IF(H1024="Y",1.5,0))+IF(I1024="X",5,IF(I1024="Y",2.5,0))+IF(J1024="X1",10,IF(J1024="X2",5,IF(J1024="X3",3,0)))</f>
        <v>10</v>
      </c>
      <c r="N1024" s="15">
        <f t="shared" ref="N1024:N1052" si="203">+IF(K1024="X",1,0)</f>
        <v>0</v>
      </c>
      <c r="O1024" s="12">
        <v>54000</v>
      </c>
      <c r="P1024" s="12">
        <f t="shared" si="201"/>
        <v>4500</v>
      </c>
      <c r="Q1024" s="12">
        <f t="shared" ref="Q1024:Q1052" si="204">+O1024/12</f>
        <v>4500</v>
      </c>
      <c r="S1024" t="s">
        <v>461</v>
      </c>
      <c r="T1024" t="s">
        <v>151</v>
      </c>
    </row>
    <row r="1025" spans="1:21" x14ac:dyDescent="0.3">
      <c r="A1025" s="1">
        <f t="shared" ref="A1025:A1052" si="205">+A1024+1</f>
        <v>3</v>
      </c>
      <c r="B1025" s="2" t="s">
        <v>846</v>
      </c>
      <c r="C1025" s="3" t="s">
        <v>456</v>
      </c>
      <c r="D1025" s="12" t="s">
        <v>40</v>
      </c>
      <c r="E1025" s="12" t="s">
        <v>40</v>
      </c>
      <c r="F1025" s="12"/>
      <c r="G1025" s="12"/>
      <c r="H1025" s="12" t="s">
        <v>40</v>
      </c>
      <c r="I1025" s="12"/>
      <c r="J1025" s="12"/>
      <c r="K1025" s="12"/>
      <c r="L1025" s="12">
        <v>226116</v>
      </c>
      <c r="M1025" s="15">
        <f t="shared" si="202"/>
        <v>5</v>
      </c>
      <c r="N1025" s="15">
        <f t="shared" si="203"/>
        <v>0</v>
      </c>
      <c r="O1025" s="12">
        <v>226116</v>
      </c>
      <c r="P1025" s="12">
        <f t="shared" si="201"/>
        <v>18843</v>
      </c>
      <c r="Q1025" s="12">
        <f t="shared" si="204"/>
        <v>18843</v>
      </c>
    </row>
    <row r="1026" spans="1:21" x14ac:dyDescent="0.3">
      <c r="A1026" s="1">
        <f t="shared" si="205"/>
        <v>4</v>
      </c>
      <c r="B1026" s="2" t="s">
        <v>847</v>
      </c>
      <c r="C1026" s="3" t="s">
        <v>456</v>
      </c>
      <c r="D1026" s="12" t="s">
        <v>40</v>
      </c>
      <c r="E1026" s="12" t="s">
        <v>40</v>
      </c>
      <c r="F1026" s="12" t="s">
        <v>40</v>
      </c>
      <c r="G1026" s="12"/>
      <c r="H1026" s="12" t="s">
        <v>40</v>
      </c>
      <c r="I1026" s="12" t="s">
        <v>40</v>
      </c>
      <c r="J1026" s="12"/>
      <c r="K1026" s="12"/>
      <c r="L1026" s="12">
        <v>319200</v>
      </c>
      <c r="M1026" s="15">
        <f t="shared" si="202"/>
        <v>12</v>
      </c>
      <c r="N1026" s="15">
        <f t="shared" si="203"/>
        <v>0</v>
      </c>
      <c r="O1026" s="12">
        <v>319200</v>
      </c>
      <c r="P1026" s="12">
        <f t="shared" si="201"/>
        <v>26600</v>
      </c>
      <c r="Q1026" s="12">
        <f t="shared" si="204"/>
        <v>26600</v>
      </c>
      <c r="R1026" t="s">
        <v>140</v>
      </c>
    </row>
    <row r="1027" spans="1:21" x14ac:dyDescent="0.3">
      <c r="A1027" s="1">
        <f t="shared" si="205"/>
        <v>5</v>
      </c>
      <c r="B1027" s="2">
        <v>44649199</v>
      </c>
      <c r="C1027" s="3" t="s">
        <v>456</v>
      </c>
      <c r="D1027" s="12" t="s">
        <v>40</v>
      </c>
      <c r="E1027" s="12" t="s">
        <v>40</v>
      </c>
      <c r="F1027" s="12"/>
      <c r="G1027" s="12"/>
      <c r="H1027" s="12" t="s">
        <v>40</v>
      </c>
      <c r="I1027" s="12" t="s">
        <v>40</v>
      </c>
      <c r="J1027" s="12"/>
      <c r="K1027" s="12"/>
      <c r="L1027" s="12">
        <v>411650</v>
      </c>
      <c r="M1027" s="15">
        <f t="shared" si="202"/>
        <v>10</v>
      </c>
      <c r="N1027" s="15">
        <f t="shared" si="203"/>
        <v>0</v>
      </c>
      <c r="O1027" s="12">
        <v>411650</v>
      </c>
      <c r="P1027" s="12">
        <f t="shared" si="201"/>
        <v>34304.166666666664</v>
      </c>
      <c r="Q1027" s="12">
        <f t="shared" si="204"/>
        <v>34304.166666666664</v>
      </c>
      <c r="R1027" t="s">
        <v>140</v>
      </c>
    </row>
    <row r="1028" spans="1:21" x14ac:dyDescent="0.3">
      <c r="A1028" s="1">
        <f t="shared" si="205"/>
        <v>6</v>
      </c>
      <c r="B1028" s="2" t="s">
        <v>848</v>
      </c>
      <c r="C1028" s="3" t="s">
        <v>456</v>
      </c>
      <c r="D1028" s="12" t="s">
        <v>40</v>
      </c>
      <c r="E1028" s="12" t="s">
        <v>40</v>
      </c>
      <c r="F1028" s="12"/>
      <c r="G1028" s="12"/>
      <c r="H1028" s="12"/>
      <c r="I1028" s="12"/>
      <c r="J1028" s="12"/>
      <c r="K1028" s="12"/>
      <c r="L1028" s="12">
        <v>0</v>
      </c>
      <c r="M1028" s="15">
        <f t="shared" si="202"/>
        <v>2</v>
      </c>
      <c r="N1028" s="15">
        <f t="shared" si="203"/>
        <v>0</v>
      </c>
      <c r="O1028" s="20"/>
      <c r="P1028" s="12">
        <f t="shared" si="201"/>
        <v>0</v>
      </c>
      <c r="Q1028" s="20"/>
    </row>
    <row r="1029" spans="1:21" x14ac:dyDescent="0.3">
      <c r="A1029" s="1">
        <f t="shared" si="205"/>
        <v>7</v>
      </c>
      <c r="B1029" s="2">
        <v>21144434</v>
      </c>
      <c r="C1029" s="3" t="s">
        <v>456</v>
      </c>
      <c r="D1029" s="12" t="s">
        <v>40</v>
      </c>
      <c r="E1029" s="12" t="s">
        <v>40</v>
      </c>
      <c r="F1029" s="12"/>
      <c r="G1029" s="12"/>
      <c r="H1029" s="12"/>
      <c r="I1029" s="12"/>
      <c r="J1029" s="12"/>
      <c r="K1029" s="12" t="s">
        <v>40</v>
      </c>
      <c r="L1029" s="12">
        <v>0</v>
      </c>
      <c r="M1029" s="15">
        <f t="shared" si="202"/>
        <v>2</v>
      </c>
      <c r="N1029" s="15">
        <f t="shared" si="203"/>
        <v>1</v>
      </c>
      <c r="O1029" s="20"/>
      <c r="P1029" s="12">
        <f t="shared" si="201"/>
        <v>0</v>
      </c>
      <c r="Q1029" s="20"/>
    </row>
    <row r="1030" spans="1:21" x14ac:dyDescent="0.3">
      <c r="A1030" s="1">
        <f t="shared" si="205"/>
        <v>8</v>
      </c>
      <c r="B1030" s="2" t="s">
        <v>849</v>
      </c>
      <c r="C1030" s="3" t="s">
        <v>456</v>
      </c>
      <c r="D1030" s="12" t="s">
        <v>40</v>
      </c>
      <c r="E1030" s="12" t="s">
        <v>40</v>
      </c>
      <c r="F1030" s="12"/>
      <c r="G1030" s="12"/>
      <c r="H1030" s="12"/>
      <c r="I1030" s="12"/>
      <c r="J1030" s="12"/>
      <c r="K1030" s="12"/>
      <c r="L1030" s="12">
        <v>17800</v>
      </c>
      <c r="M1030" s="15">
        <f t="shared" si="202"/>
        <v>2</v>
      </c>
      <c r="N1030" s="15">
        <f t="shared" si="203"/>
        <v>0</v>
      </c>
      <c r="O1030" s="12">
        <v>17800</v>
      </c>
      <c r="P1030" s="12">
        <f t="shared" si="201"/>
        <v>1483.3333333333333</v>
      </c>
      <c r="Q1030" s="12">
        <f t="shared" si="204"/>
        <v>1483.3333333333333</v>
      </c>
    </row>
    <row r="1031" spans="1:21" x14ac:dyDescent="0.3">
      <c r="A1031" s="1">
        <f t="shared" si="205"/>
        <v>9</v>
      </c>
      <c r="B1031" s="2" t="s">
        <v>850</v>
      </c>
      <c r="C1031" s="3" t="s">
        <v>456</v>
      </c>
      <c r="D1031" s="12" t="s">
        <v>40</v>
      </c>
      <c r="E1031" s="12" t="s">
        <v>40</v>
      </c>
      <c r="F1031" s="12"/>
      <c r="G1031" s="12"/>
      <c r="H1031" s="12" t="s">
        <v>40</v>
      </c>
      <c r="I1031" s="12"/>
      <c r="J1031" s="12"/>
      <c r="K1031" s="12"/>
      <c r="L1031" s="12">
        <v>330728</v>
      </c>
      <c r="M1031" s="15">
        <f t="shared" si="202"/>
        <v>5</v>
      </c>
      <c r="N1031" s="15">
        <f t="shared" si="203"/>
        <v>0</v>
      </c>
      <c r="O1031" s="12">
        <v>330728</v>
      </c>
      <c r="P1031" s="12">
        <f t="shared" si="201"/>
        <v>27560.666666666668</v>
      </c>
      <c r="Q1031" s="12">
        <f t="shared" si="204"/>
        <v>27560.666666666668</v>
      </c>
      <c r="R1031" t="s">
        <v>140</v>
      </c>
    </row>
    <row r="1032" spans="1:21" x14ac:dyDescent="0.3">
      <c r="A1032" s="1">
        <f t="shared" si="205"/>
        <v>10</v>
      </c>
      <c r="B1032" s="2" t="s">
        <v>851</v>
      </c>
      <c r="C1032" s="3" t="s">
        <v>456</v>
      </c>
      <c r="D1032" s="12" t="s">
        <v>40</v>
      </c>
      <c r="E1032" s="12" t="s">
        <v>40</v>
      </c>
      <c r="F1032" s="12"/>
      <c r="G1032" s="12"/>
      <c r="H1032" s="12"/>
      <c r="I1032" s="12"/>
      <c r="J1032" s="12"/>
      <c r="K1032" s="12"/>
      <c r="L1032" s="12">
        <v>0</v>
      </c>
      <c r="M1032" s="15">
        <f t="shared" si="202"/>
        <v>2</v>
      </c>
      <c r="N1032" s="15">
        <f t="shared" si="203"/>
        <v>0</v>
      </c>
      <c r="O1032" s="20"/>
      <c r="P1032" s="12">
        <f t="shared" si="201"/>
        <v>0</v>
      </c>
      <c r="Q1032" s="20"/>
      <c r="U1032" t="s">
        <v>841</v>
      </c>
    </row>
    <row r="1033" spans="1:21" x14ac:dyDescent="0.3">
      <c r="A1033" s="1">
        <f t="shared" si="205"/>
        <v>11</v>
      </c>
      <c r="B1033" s="2">
        <v>43267304</v>
      </c>
      <c r="C1033" s="3" t="s">
        <v>456</v>
      </c>
      <c r="D1033" s="12" t="s">
        <v>40</v>
      </c>
      <c r="E1033" s="12" t="s">
        <v>40</v>
      </c>
      <c r="F1033" s="12"/>
      <c r="G1033" s="12"/>
      <c r="H1033" s="12" t="s">
        <v>40</v>
      </c>
      <c r="I1033" s="12" t="s">
        <v>40</v>
      </c>
      <c r="J1033" s="12"/>
      <c r="K1033" s="12" t="s">
        <v>40</v>
      </c>
      <c r="L1033" s="12">
        <v>102876</v>
      </c>
      <c r="M1033" s="15">
        <f t="shared" si="202"/>
        <v>10</v>
      </c>
      <c r="N1033" s="15">
        <f t="shared" si="203"/>
        <v>1</v>
      </c>
      <c r="O1033" s="12">
        <v>102876</v>
      </c>
      <c r="P1033" s="12">
        <f t="shared" si="201"/>
        <v>8573</v>
      </c>
      <c r="Q1033" s="12">
        <f t="shared" si="204"/>
        <v>8573</v>
      </c>
    </row>
    <row r="1034" spans="1:21" x14ac:dyDescent="0.3">
      <c r="A1034" s="1">
        <f t="shared" si="205"/>
        <v>12</v>
      </c>
      <c r="B1034" s="2" t="s">
        <v>852</v>
      </c>
      <c r="C1034" s="3" t="s">
        <v>456</v>
      </c>
      <c r="D1034" s="12" t="s">
        <v>40</v>
      </c>
      <c r="E1034" s="12" t="s">
        <v>40</v>
      </c>
      <c r="F1034" s="12" t="s">
        <v>40</v>
      </c>
      <c r="G1034" s="12"/>
      <c r="H1034" s="12"/>
      <c r="I1034" s="12"/>
      <c r="J1034" s="12"/>
      <c r="K1034" s="12"/>
      <c r="L1034" s="12">
        <v>0</v>
      </c>
      <c r="M1034" s="15">
        <f t="shared" si="202"/>
        <v>4</v>
      </c>
      <c r="N1034" s="15">
        <f t="shared" si="203"/>
        <v>0</v>
      </c>
      <c r="O1034" s="20"/>
      <c r="P1034" s="12">
        <f t="shared" si="201"/>
        <v>0</v>
      </c>
      <c r="Q1034" s="20"/>
      <c r="U1034" t="s">
        <v>842</v>
      </c>
    </row>
    <row r="1035" spans="1:21" x14ac:dyDescent="0.3">
      <c r="A1035" s="1">
        <f t="shared" si="205"/>
        <v>13</v>
      </c>
      <c r="B1035" s="2" t="s">
        <v>853</v>
      </c>
      <c r="C1035" s="3" t="s">
        <v>456</v>
      </c>
      <c r="D1035" s="12" t="s">
        <v>40</v>
      </c>
      <c r="E1035" s="12" t="s">
        <v>40</v>
      </c>
      <c r="F1035" s="12"/>
      <c r="G1035" s="12"/>
      <c r="H1035" s="12" t="s">
        <v>40</v>
      </c>
      <c r="I1035" s="12"/>
      <c r="J1035" s="12"/>
      <c r="K1035" s="12"/>
      <c r="L1035" s="12">
        <v>145525</v>
      </c>
      <c r="M1035" s="15">
        <f t="shared" si="202"/>
        <v>5</v>
      </c>
      <c r="N1035" s="15">
        <f t="shared" si="203"/>
        <v>0</v>
      </c>
      <c r="O1035" s="12">
        <v>145525</v>
      </c>
      <c r="P1035" s="12">
        <f t="shared" si="201"/>
        <v>12127.083333333334</v>
      </c>
      <c r="Q1035" s="12">
        <f t="shared" si="204"/>
        <v>12127.083333333334</v>
      </c>
    </row>
    <row r="1036" spans="1:21" x14ac:dyDescent="0.3">
      <c r="A1036" s="1">
        <f t="shared" si="205"/>
        <v>14</v>
      </c>
      <c r="B1036" s="2" t="s">
        <v>854</v>
      </c>
      <c r="C1036" s="3" t="s">
        <v>456</v>
      </c>
      <c r="D1036" s="12" t="s">
        <v>40</v>
      </c>
      <c r="E1036" s="12" t="s">
        <v>40</v>
      </c>
      <c r="F1036" s="12"/>
      <c r="G1036" s="12"/>
      <c r="H1036" s="12"/>
      <c r="I1036" s="12"/>
      <c r="J1036" s="12"/>
      <c r="K1036" s="12"/>
      <c r="L1036" s="12">
        <v>0</v>
      </c>
      <c r="M1036" s="15">
        <f t="shared" si="202"/>
        <v>2</v>
      </c>
      <c r="N1036" s="15">
        <f t="shared" si="203"/>
        <v>0</v>
      </c>
      <c r="O1036" s="20"/>
      <c r="P1036" s="12">
        <f t="shared" si="201"/>
        <v>0</v>
      </c>
      <c r="Q1036" s="20"/>
    </row>
    <row r="1037" spans="1:21" x14ac:dyDescent="0.3">
      <c r="A1037" s="1">
        <f t="shared" si="205"/>
        <v>15</v>
      </c>
      <c r="B1037" s="2" t="s">
        <v>855</v>
      </c>
      <c r="C1037" s="3" t="s">
        <v>456</v>
      </c>
      <c r="D1037" s="12" t="s">
        <v>40</v>
      </c>
      <c r="E1037" s="12" t="s">
        <v>40</v>
      </c>
      <c r="F1037" s="12"/>
      <c r="G1037" s="12"/>
      <c r="H1037" s="12" t="s">
        <v>40</v>
      </c>
      <c r="I1037" s="12"/>
      <c r="J1037" s="12"/>
      <c r="K1037" s="12"/>
      <c r="L1037" s="12">
        <v>175000</v>
      </c>
      <c r="M1037" s="15">
        <f t="shared" si="202"/>
        <v>5</v>
      </c>
      <c r="N1037" s="15">
        <f t="shared" si="203"/>
        <v>0</v>
      </c>
      <c r="O1037" s="12">
        <v>175000</v>
      </c>
      <c r="P1037" s="12">
        <f t="shared" si="201"/>
        <v>14583.333333333334</v>
      </c>
      <c r="Q1037" s="12">
        <f t="shared" si="204"/>
        <v>14583.333333333334</v>
      </c>
    </row>
    <row r="1038" spans="1:21" x14ac:dyDescent="0.3">
      <c r="A1038" s="1">
        <f t="shared" si="205"/>
        <v>16</v>
      </c>
      <c r="B1038" s="2" t="s">
        <v>856</v>
      </c>
      <c r="C1038" s="3" t="s">
        <v>456</v>
      </c>
      <c r="D1038" s="12" t="s">
        <v>40</v>
      </c>
      <c r="E1038" s="12" t="s">
        <v>40</v>
      </c>
      <c r="F1038" s="12" t="s">
        <v>40</v>
      </c>
      <c r="G1038" s="12"/>
      <c r="H1038" s="12"/>
      <c r="I1038" s="12"/>
      <c r="J1038" s="12"/>
      <c r="K1038" s="12"/>
      <c r="L1038" s="12">
        <v>15600</v>
      </c>
      <c r="M1038" s="15">
        <f t="shared" si="202"/>
        <v>4</v>
      </c>
      <c r="N1038" s="15">
        <f t="shared" si="203"/>
        <v>0</v>
      </c>
      <c r="O1038" s="12">
        <v>15600</v>
      </c>
      <c r="P1038" s="12">
        <f t="shared" si="201"/>
        <v>1300</v>
      </c>
      <c r="Q1038" s="12">
        <f t="shared" si="204"/>
        <v>1300</v>
      </c>
    </row>
    <row r="1039" spans="1:21" x14ac:dyDescent="0.3">
      <c r="A1039" s="1">
        <f t="shared" si="205"/>
        <v>17</v>
      </c>
      <c r="B1039" s="2">
        <v>40320033</v>
      </c>
      <c r="C1039" s="3" t="s">
        <v>456</v>
      </c>
      <c r="D1039" s="12" t="s">
        <v>40</v>
      </c>
      <c r="E1039" s="12" t="s">
        <v>40</v>
      </c>
      <c r="F1039" s="12"/>
      <c r="G1039" s="12"/>
      <c r="H1039" s="12"/>
      <c r="I1039" s="12"/>
      <c r="J1039" s="12"/>
      <c r="K1039" s="12"/>
      <c r="L1039" s="12">
        <v>0</v>
      </c>
      <c r="M1039" s="15">
        <f t="shared" si="202"/>
        <v>2</v>
      </c>
      <c r="N1039" s="15">
        <f t="shared" si="203"/>
        <v>0</v>
      </c>
      <c r="O1039" s="20"/>
      <c r="P1039" s="12">
        <f t="shared" si="201"/>
        <v>0</v>
      </c>
      <c r="Q1039" s="20"/>
    </row>
    <row r="1040" spans="1:21" x14ac:dyDescent="0.3">
      <c r="A1040" s="1">
        <f t="shared" si="205"/>
        <v>18</v>
      </c>
      <c r="B1040" s="2">
        <v>25644863</v>
      </c>
      <c r="C1040" s="3" t="s">
        <v>456</v>
      </c>
      <c r="D1040" s="12" t="s">
        <v>40</v>
      </c>
      <c r="E1040" s="12" t="s">
        <v>40</v>
      </c>
      <c r="F1040" s="12"/>
      <c r="G1040" s="12"/>
      <c r="H1040" s="12"/>
      <c r="I1040" s="12"/>
      <c r="J1040" s="12"/>
      <c r="K1040" s="12"/>
      <c r="L1040" s="12">
        <v>14400</v>
      </c>
      <c r="M1040" s="15">
        <f t="shared" si="202"/>
        <v>2</v>
      </c>
      <c r="N1040" s="15">
        <f t="shared" si="203"/>
        <v>0</v>
      </c>
      <c r="O1040" s="12">
        <v>14400</v>
      </c>
      <c r="P1040" s="12">
        <f t="shared" si="201"/>
        <v>1200</v>
      </c>
      <c r="Q1040" s="12">
        <f t="shared" si="204"/>
        <v>1200</v>
      </c>
      <c r="U1040" t="s">
        <v>841</v>
      </c>
    </row>
    <row r="1041" spans="1:21" x14ac:dyDescent="0.3">
      <c r="A1041" s="1">
        <f t="shared" si="205"/>
        <v>19</v>
      </c>
      <c r="B1041" s="2" t="s">
        <v>857</v>
      </c>
      <c r="C1041" s="3" t="s">
        <v>456</v>
      </c>
      <c r="D1041" s="12" t="s">
        <v>40</v>
      </c>
      <c r="E1041" s="12" t="s">
        <v>40</v>
      </c>
      <c r="F1041" s="12"/>
      <c r="G1041" s="12"/>
      <c r="H1041" s="12" t="s">
        <v>40</v>
      </c>
      <c r="I1041" s="12" t="s">
        <v>40</v>
      </c>
      <c r="J1041" s="12"/>
      <c r="K1041" s="12"/>
      <c r="L1041" s="12">
        <v>44400</v>
      </c>
      <c r="M1041" s="15">
        <f t="shared" si="202"/>
        <v>10</v>
      </c>
      <c r="N1041" s="15">
        <f t="shared" si="203"/>
        <v>0</v>
      </c>
      <c r="O1041" s="12">
        <v>44400</v>
      </c>
      <c r="P1041" s="12">
        <f t="shared" si="201"/>
        <v>3700</v>
      </c>
      <c r="Q1041" s="12">
        <f t="shared" si="204"/>
        <v>3700</v>
      </c>
    </row>
    <row r="1042" spans="1:21" x14ac:dyDescent="0.3">
      <c r="A1042" s="1">
        <f t="shared" si="205"/>
        <v>20</v>
      </c>
      <c r="B1042" s="2" t="s">
        <v>858</v>
      </c>
      <c r="C1042" s="3" t="s">
        <v>456</v>
      </c>
      <c r="D1042" s="12" t="s">
        <v>40</v>
      </c>
      <c r="E1042" s="12" t="s">
        <v>40</v>
      </c>
      <c r="F1042" s="12"/>
      <c r="G1042" s="12"/>
      <c r="H1042" s="12"/>
      <c r="I1042" s="12"/>
      <c r="J1042" s="12"/>
      <c r="K1042" s="12"/>
      <c r="L1042" s="12">
        <v>56423.42</v>
      </c>
      <c r="M1042" s="15">
        <f t="shared" si="202"/>
        <v>2</v>
      </c>
      <c r="N1042" s="15">
        <f t="shared" si="203"/>
        <v>0</v>
      </c>
      <c r="O1042" s="12">
        <v>56423.42</v>
      </c>
      <c r="P1042" s="12">
        <f t="shared" si="201"/>
        <v>4701.9516666666668</v>
      </c>
      <c r="Q1042" s="12">
        <f t="shared" si="204"/>
        <v>4701.9516666666668</v>
      </c>
      <c r="U1042" t="s">
        <v>841</v>
      </c>
    </row>
    <row r="1043" spans="1:21" x14ac:dyDescent="0.3">
      <c r="A1043" s="1">
        <f t="shared" si="205"/>
        <v>21</v>
      </c>
      <c r="B1043" s="2" t="s">
        <v>859</v>
      </c>
      <c r="C1043" s="3" t="s">
        <v>456</v>
      </c>
      <c r="D1043" s="12" t="s">
        <v>40</v>
      </c>
      <c r="E1043" s="12" t="s">
        <v>40</v>
      </c>
      <c r="F1043" s="12"/>
      <c r="G1043" s="12"/>
      <c r="H1043" s="12"/>
      <c r="I1043" s="12"/>
      <c r="J1043" s="12"/>
      <c r="K1043" s="12"/>
      <c r="L1043" s="12">
        <v>18000</v>
      </c>
      <c r="M1043" s="15">
        <f t="shared" si="202"/>
        <v>2</v>
      </c>
      <c r="N1043" s="15">
        <f t="shared" si="203"/>
        <v>0</v>
      </c>
      <c r="O1043" s="12">
        <v>18000</v>
      </c>
      <c r="P1043" s="12">
        <f t="shared" si="201"/>
        <v>1500</v>
      </c>
      <c r="Q1043" s="12">
        <f t="shared" si="204"/>
        <v>1500</v>
      </c>
      <c r="U1043" t="s">
        <v>843</v>
      </c>
    </row>
    <row r="1044" spans="1:21" x14ac:dyDescent="0.3">
      <c r="A1044" s="1">
        <f t="shared" si="205"/>
        <v>22</v>
      </c>
      <c r="B1044" s="2" t="s">
        <v>860</v>
      </c>
      <c r="C1044" s="3" t="s">
        <v>456</v>
      </c>
      <c r="D1044" s="12" t="s">
        <v>40</v>
      </c>
      <c r="E1044" s="12" t="s">
        <v>40</v>
      </c>
      <c r="F1044" s="12"/>
      <c r="G1044" s="12"/>
      <c r="H1044" s="12"/>
      <c r="I1044" s="12"/>
      <c r="J1044" s="12"/>
      <c r="K1044" s="12"/>
      <c r="L1044" s="12">
        <v>0</v>
      </c>
      <c r="M1044" s="15">
        <f t="shared" si="202"/>
        <v>2</v>
      </c>
      <c r="N1044" s="15">
        <f t="shared" si="203"/>
        <v>0</v>
      </c>
      <c r="O1044" s="20"/>
      <c r="P1044" s="12">
        <f t="shared" si="201"/>
        <v>0</v>
      </c>
      <c r="Q1044" s="20"/>
    </row>
    <row r="1045" spans="1:21" x14ac:dyDescent="0.3">
      <c r="A1045" s="1">
        <f t="shared" si="205"/>
        <v>23</v>
      </c>
      <c r="B1045" s="2" t="s">
        <v>861</v>
      </c>
      <c r="C1045" s="3" t="s">
        <v>456</v>
      </c>
      <c r="D1045" s="12" t="s">
        <v>40</v>
      </c>
      <c r="E1045" s="12" t="s">
        <v>40</v>
      </c>
      <c r="F1045" s="12"/>
      <c r="G1045" s="12"/>
      <c r="H1045" s="12"/>
      <c r="I1045" s="12"/>
      <c r="J1045" s="12"/>
      <c r="K1045" s="12" t="s">
        <v>40</v>
      </c>
      <c r="L1045" s="12">
        <v>30000</v>
      </c>
      <c r="M1045" s="15">
        <f t="shared" si="202"/>
        <v>2</v>
      </c>
      <c r="N1045" s="15">
        <f t="shared" si="203"/>
        <v>1</v>
      </c>
      <c r="O1045" s="12">
        <v>30000</v>
      </c>
      <c r="P1045" s="12">
        <f t="shared" si="201"/>
        <v>2500</v>
      </c>
      <c r="Q1045" s="12">
        <f t="shared" si="204"/>
        <v>2500</v>
      </c>
    </row>
    <row r="1046" spans="1:21" x14ac:dyDescent="0.3">
      <c r="A1046" s="1">
        <f t="shared" si="205"/>
        <v>24</v>
      </c>
      <c r="B1046" s="2" t="s">
        <v>862</v>
      </c>
      <c r="C1046" s="3" t="s">
        <v>456</v>
      </c>
      <c r="D1046" s="12" t="s">
        <v>40</v>
      </c>
      <c r="E1046" s="12" t="s">
        <v>40</v>
      </c>
      <c r="F1046" s="12"/>
      <c r="G1046" s="12"/>
      <c r="H1046" s="12"/>
      <c r="I1046" s="12"/>
      <c r="J1046" s="12"/>
      <c r="K1046" s="12"/>
      <c r="L1046" s="12">
        <v>7200</v>
      </c>
      <c r="M1046" s="15">
        <f t="shared" si="202"/>
        <v>2</v>
      </c>
      <c r="N1046" s="15">
        <f t="shared" si="203"/>
        <v>0</v>
      </c>
      <c r="O1046" s="12">
        <v>7200</v>
      </c>
      <c r="P1046" s="12">
        <f t="shared" si="201"/>
        <v>600</v>
      </c>
      <c r="Q1046" s="12">
        <f t="shared" si="204"/>
        <v>600</v>
      </c>
    </row>
    <row r="1047" spans="1:21" x14ac:dyDescent="0.3">
      <c r="A1047" s="1">
        <f t="shared" si="205"/>
        <v>25</v>
      </c>
      <c r="B1047" s="2" t="s">
        <v>863</v>
      </c>
      <c r="C1047" s="3" t="s">
        <v>456</v>
      </c>
      <c r="D1047" s="12" t="s">
        <v>40</v>
      </c>
      <c r="E1047" s="12" t="s">
        <v>40</v>
      </c>
      <c r="F1047" s="12"/>
      <c r="G1047" s="12"/>
      <c r="H1047" s="12" t="s">
        <v>40</v>
      </c>
      <c r="I1047" s="12"/>
      <c r="J1047" s="12"/>
      <c r="K1047" s="12"/>
      <c r="L1047" s="12">
        <v>179311</v>
      </c>
      <c r="M1047" s="15">
        <f t="shared" si="202"/>
        <v>5</v>
      </c>
      <c r="N1047" s="15">
        <f t="shared" si="203"/>
        <v>0</v>
      </c>
      <c r="O1047" s="12">
        <v>179311</v>
      </c>
      <c r="P1047" s="12">
        <f t="shared" si="201"/>
        <v>14942.583333333334</v>
      </c>
      <c r="Q1047" s="12">
        <f t="shared" si="204"/>
        <v>14942.583333333334</v>
      </c>
    </row>
    <row r="1048" spans="1:21" x14ac:dyDescent="0.3">
      <c r="A1048" s="1">
        <f t="shared" si="205"/>
        <v>26</v>
      </c>
      <c r="B1048" s="2" t="s">
        <v>864</v>
      </c>
      <c r="C1048" s="3" t="s">
        <v>456</v>
      </c>
      <c r="D1048" s="12" t="s">
        <v>40</v>
      </c>
      <c r="E1048" s="12" t="s">
        <v>40</v>
      </c>
      <c r="F1048" s="12"/>
      <c r="G1048" s="12"/>
      <c r="H1048" s="12"/>
      <c r="I1048" s="12"/>
      <c r="J1048" s="12"/>
      <c r="K1048" s="12"/>
      <c r="L1048" s="12">
        <v>0</v>
      </c>
      <c r="M1048" s="15">
        <f t="shared" si="202"/>
        <v>2</v>
      </c>
      <c r="N1048" s="15">
        <f t="shared" si="203"/>
        <v>0</v>
      </c>
      <c r="O1048" s="20"/>
      <c r="P1048" s="12">
        <f t="shared" si="201"/>
        <v>0</v>
      </c>
      <c r="Q1048" s="20"/>
    </row>
    <row r="1049" spans="1:21" x14ac:dyDescent="0.3">
      <c r="A1049" s="1">
        <f t="shared" si="205"/>
        <v>27</v>
      </c>
      <c r="B1049" s="2" t="s">
        <v>865</v>
      </c>
      <c r="C1049" s="3" t="s">
        <v>456</v>
      </c>
      <c r="D1049" s="12" t="s">
        <v>40</v>
      </c>
      <c r="E1049" s="12" t="s">
        <v>40</v>
      </c>
      <c r="F1049" s="12"/>
      <c r="G1049" s="12"/>
      <c r="H1049" s="12"/>
      <c r="I1049" s="12"/>
      <c r="J1049" s="12"/>
      <c r="K1049" s="12"/>
      <c r="L1049" s="12">
        <v>33600</v>
      </c>
      <c r="M1049" s="15">
        <f t="shared" si="202"/>
        <v>2</v>
      </c>
      <c r="N1049" s="15">
        <f t="shared" si="203"/>
        <v>0</v>
      </c>
      <c r="O1049" s="12">
        <v>33600</v>
      </c>
      <c r="P1049" s="12">
        <f t="shared" si="201"/>
        <v>2800</v>
      </c>
      <c r="Q1049" s="12">
        <f t="shared" si="204"/>
        <v>2800</v>
      </c>
    </row>
    <row r="1050" spans="1:21" x14ac:dyDescent="0.3">
      <c r="A1050" s="1">
        <f t="shared" si="205"/>
        <v>28</v>
      </c>
      <c r="B1050" s="2">
        <v>40000185</v>
      </c>
      <c r="C1050" s="3" t="s">
        <v>456</v>
      </c>
      <c r="D1050" s="12" t="s">
        <v>40</v>
      </c>
      <c r="E1050" s="12" t="s">
        <v>40</v>
      </c>
      <c r="F1050" s="12"/>
      <c r="G1050" s="12"/>
      <c r="H1050" s="12"/>
      <c r="I1050" s="12"/>
      <c r="J1050" s="12"/>
      <c r="K1050" s="12"/>
      <c r="L1050" s="12">
        <v>18000</v>
      </c>
      <c r="M1050" s="15">
        <f t="shared" si="202"/>
        <v>2</v>
      </c>
      <c r="N1050" s="15">
        <f t="shared" si="203"/>
        <v>0</v>
      </c>
      <c r="O1050" s="12">
        <v>18000</v>
      </c>
      <c r="P1050" s="12">
        <f t="shared" si="201"/>
        <v>1500</v>
      </c>
      <c r="Q1050" s="12">
        <f t="shared" si="204"/>
        <v>1500</v>
      </c>
    </row>
    <row r="1051" spans="1:21" x14ac:dyDescent="0.3">
      <c r="A1051" s="1">
        <f t="shared" si="205"/>
        <v>29</v>
      </c>
      <c r="B1051" s="44"/>
      <c r="C1051" s="9"/>
      <c r="D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6"/>
      <c r="O1051" s="13"/>
      <c r="P1051" s="13"/>
      <c r="Q1051" s="13"/>
    </row>
    <row r="1052" spans="1:21" x14ac:dyDescent="0.3">
      <c r="A1052" s="1">
        <f t="shared" si="205"/>
        <v>30</v>
      </c>
      <c r="B1052" s="2" t="s">
        <v>866</v>
      </c>
      <c r="C1052" s="3" t="s">
        <v>456</v>
      </c>
      <c r="D1052" s="12" t="s">
        <v>40</v>
      </c>
      <c r="E1052" s="12" t="s">
        <v>40</v>
      </c>
      <c r="F1052" s="12"/>
      <c r="G1052" s="12"/>
      <c r="H1052" s="12"/>
      <c r="I1052" s="12"/>
      <c r="J1052" s="12"/>
      <c r="K1052" s="12"/>
      <c r="L1052" s="12">
        <v>0</v>
      </c>
      <c r="M1052" s="15">
        <f t="shared" si="202"/>
        <v>2</v>
      </c>
      <c r="N1052" s="15">
        <f t="shared" si="203"/>
        <v>0</v>
      </c>
      <c r="O1052" s="12">
        <v>0</v>
      </c>
      <c r="P1052" s="12">
        <f t="shared" si="201"/>
        <v>0</v>
      </c>
      <c r="Q1052" s="12">
        <f t="shared" si="204"/>
        <v>0</v>
      </c>
    </row>
    <row r="1053" spans="1:21" x14ac:dyDescent="0.3">
      <c r="B1053" s="29"/>
      <c r="D1053"/>
      <c r="E1053"/>
      <c r="F1053"/>
      <c r="G1053"/>
      <c r="H1053"/>
      <c r="I1053"/>
      <c r="J1053"/>
      <c r="L1053" s="14">
        <f>+AVERAGE(L1023:L1052)</f>
        <v>469271.31241379312</v>
      </c>
      <c r="M1053" s="14">
        <f>+AVERAGE(M1023:M1052)</f>
        <v>4.5517241379310347</v>
      </c>
      <c r="N1053" s="14">
        <f>+SUM(N1023:N1052)</f>
        <v>3</v>
      </c>
      <c r="O1053" s="14">
        <f>+AVERAGE(O1023:O1052)</f>
        <v>109991.47099999999</v>
      </c>
      <c r="P1053" s="14">
        <f>+AVERAGE(P1023:P1052)</f>
        <v>39105.942701149419</v>
      </c>
      <c r="Q1053" s="14">
        <f>+AVERAGE(Q1023:Q1052)</f>
        <v>9165.9559166666677</v>
      </c>
    </row>
    <row r="1054" spans="1:21" x14ac:dyDescent="0.3">
      <c r="D1054"/>
      <c r="E1054"/>
      <c r="F1054"/>
      <c r="G1054"/>
      <c r="H1054"/>
      <c r="I1054"/>
      <c r="J1054"/>
      <c r="L1054" s="14">
        <f>+STDEV(L1023:L1052)</f>
        <v>2107112.7070507882</v>
      </c>
      <c r="M1054" s="14">
        <f>+STDEV(M1023:M1052)</f>
        <v>3.7281382456026391</v>
      </c>
      <c r="N1054" s="17"/>
      <c r="O1054" s="14">
        <f>+STDEV(O1023:O1052)</f>
        <v>124815.04171575754</v>
      </c>
      <c r="P1054" s="14">
        <f>+STDEV(P1023:P1052)</f>
        <v>175592.72558756568</v>
      </c>
      <c r="Q1054" s="14">
        <f>+STDEV(Q1023:Q1052)</f>
        <v>10401.253476313128</v>
      </c>
    </row>
    <row r="1055" spans="1:21" x14ac:dyDescent="0.3">
      <c r="D1055"/>
      <c r="E1055"/>
      <c r="F1055"/>
      <c r="G1055"/>
      <c r="H1055"/>
      <c r="I1055" s="15"/>
      <c r="J1055" s="15"/>
      <c r="K1055" s="11" t="s">
        <v>75</v>
      </c>
      <c r="L1055" s="14">
        <f>+COUNTIF(L1023:L1052,0)</f>
        <v>9</v>
      </c>
      <c r="M1055" s="14">
        <f>+COUNT(M1023:M1052)</f>
        <v>29</v>
      </c>
      <c r="P1055" s="14">
        <f>+COUNTIF(P1023:P1052,0)</f>
        <v>9</v>
      </c>
    </row>
    <row r="1056" spans="1:21" x14ac:dyDescent="0.3">
      <c r="D1056"/>
      <c r="E1056"/>
      <c r="F1056"/>
      <c r="G1056"/>
      <c r="H1056"/>
      <c r="I1056"/>
      <c r="J1056"/>
    </row>
    <row r="1057" spans="1:20" x14ac:dyDescent="0.3">
      <c r="A1057" s="1">
        <v>1</v>
      </c>
      <c r="B1057" s="2" t="s">
        <v>867</v>
      </c>
      <c r="C1057" s="3" t="s">
        <v>457</v>
      </c>
      <c r="D1057" s="12" t="s">
        <v>40</v>
      </c>
      <c r="E1057" s="12" t="s">
        <v>40</v>
      </c>
      <c r="F1057" s="12"/>
      <c r="G1057" s="12"/>
      <c r="H1057" s="12"/>
      <c r="I1057" s="12"/>
      <c r="J1057" s="12"/>
      <c r="K1057" s="12"/>
      <c r="L1057" s="12">
        <v>418932</v>
      </c>
      <c r="M1057" s="15">
        <f>+IF(D1057="X",1,0)+IF(E1057="X",1,0)+IF(F1057="X",2,0)+IF(G1057="X",2,0)+IF(H1057="X",3,IF(H1057="Y",1.5,0))+IF(I1057="X",5,IF(I1057="Y",2.5,0))+IF(J1057="X1",10,IF(J1057="X2",5,IF(J1057="X3",3,0)))</f>
        <v>2</v>
      </c>
      <c r="N1057" s="15">
        <f>+IF(K1057="X",1,0)</f>
        <v>0</v>
      </c>
      <c r="O1057" s="20"/>
      <c r="P1057" s="12">
        <f t="shared" ref="P1057:P1086" si="206">+L1057/12</f>
        <v>34911</v>
      </c>
      <c r="Q1057" s="20"/>
    </row>
    <row r="1058" spans="1:20" x14ac:dyDescent="0.3">
      <c r="A1058" s="1">
        <f>+A1057+1</f>
        <v>2</v>
      </c>
      <c r="B1058" s="2" t="s">
        <v>868</v>
      </c>
      <c r="C1058" s="3" t="s">
        <v>457</v>
      </c>
      <c r="D1058" s="12" t="s">
        <v>40</v>
      </c>
      <c r="E1058" s="12" t="s">
        <v>40</v>
      </c>
      <c r="F1058" s="12"/>
      <c r="G1058" s="12"/>
      <c r="H1058" s="12"/>
      <c r="I1058" s="12"/>
      <c r="J1058" s="12"/>
      <c r="K1058" s="12"/>
      <c r="L1058" s="12">
        <v>55300</v>
      </c>
      <c r="M1058" s="15">
        <f t="shared" ref="M1058:M1086" si="207">+IF(D1058="X",1,0)+IF(E1058="X",1,0)+IF(F1058="X",2,0)+IF(G1058="X",2,0)+IF(H1058="X",3,IF(H1058="Y",1.5,0))+IF(I1058="X",5,IF(I1058="Y",2.5,0))+IF(J1058="X1",10,IF(J1058="X2",5,IF(J1058="X3",3,0)))</f>
        <v>2</v>
      </c>
      <c r="N1058" s="15">
        <f t="shared" ref="N1058:N1086" si="208">+IF(K1058="X",1,0)</f>
        <v>0</v>
      </c>
      <c r="O1058" s="12">
        <v>55300</v>
      </c>
      <c r="P1058" s="12">
        <f t="shared" si="206"/>
        <v>4608.333333333333</v>
      </c>
      <c r="Q1058" s="12">
        <f t="shared" ref="Q1058:Q1067" si="209">+O1058/12</f>
        <v>4608.333333333333</v>
      </c>
    </row>
    <row r="1059" spans="1:20" x14ac:dyDescent="0.3">
      <c r="A1059" s="1">
        <f t="shared" ref="A1059:A1086" si="210">+A1058+1</f>
        <v>3</v>
      </c>
      <c r="B1059" s="2" t="s">
        <v>869</v>
      </c>
      <c r="C1059" s="3" t="s">
        <v>457</v>
      </c>
      <c r="D1059" s="12" t="s">
        <v>40</v>
      </c>
      <c r="E1059" s="12" t="s">
        <v>40</v>
      </c>
      <c r="F1059" s="12"/>
      <c r="G1059" s="12"/>
      <c r="H1059" s="12" t="s">
        <v>40</v>
      </c>
      <c r="I1059" s="12"/>
      <c r="J1059" s="12"/>
      <c r="K1059" s="12" t="s">
        <v>40</v>
      </c>
      <c r="L1059" s="12">
        <v>115221.12</v>
      </c>
      <c r="M1059" s="15">
        <f t="shared" si="207"/>
        <v>5</v>
      </c>
      <c r="N1059" s="15">
        <f t="shared" si="208"/>
        <v>1</v>
      </c>
      <c r="O1059" s="12">
        <v>115221.12</v>
      </c>
      <c r="P1059" s="12">
        <f t="shared" si="206"/>
        <v>9601.76</v>
      </c>
      <c r="Q1059" s="12">
        <f t="shared" si="209"/>
        <v>9601.76</v>
      </c>
      <c r="S1059" t="s">
        <v>839</v>
      </c>
      <c r="T1059" t="s">
        <v>151</v>
      </c>
    </row>
    <row r="1060" spans="1:20" x14ac:dyDescent="0.3">
      <c r="A1060" s="1">
        <f t="shared" si="210"/>
        <v>4</v>
      </c>
      <c r="B1060" s="2">
        <v>24711696</v>
      </c>
      <c r="C1060" s="3" t="s">
        <v>457</v>
      </c>
      <c r="D1060" s="12" t="s">
        <v>40</v>
      </c>
      <c r="E1060" s="12" t="s">
        <v>40</v>
      </c>
      <c r="F1060" s="12"/>
      <c r="G1060" s="12"/>
      <c r="H1060" s="12" t="s">
        <v>40</v>
      </c>
      <c r="I1060" s="12" t="s">
        <v>40</v>
      </c>
      <c r="J1060" s="12"/>
      <c r="K1060" s="12"/>
      <c r="L1060" s="12">
        <v>380768.52</v>
      </c>
      <c r="M1060" s="15">
        <f t="shared" si="207"/>
        <v>10</v>
      </c>
      <c r="N1060" s="15">
        <f t="shared" si="208"/>
        <v>0</v>
      </c>
      <c r="O1060" s="12">
        <v>380768.52</v>
      </c>
      <c r="P1060" s="12">
        <f t="shared" si="206"/>
        <v>31730.710000000003</v>
      </c>
      <c r="Q1060" s="12">
        <f t="shared" si="209"/>
        <v>31730.710000000003</v>
      </c>
      <c r="R1060" t="s">
        <v>840</v>
      </c>
    </row>
    <row r="1061" spans="1:20" x14ac:dyDescent="0.3">
      <c r="A1061" s="1">
        <f t="shared" si="210"/>
        <v>5</v>
      </c>
      <c r="B1061" s="9"/>
      <c r="C1061" s="9"/>
      <c r="D1061" s="13"/>
      <c r="E1061" s="13"/>
      <c r="F1061" s="13"/>
      <c r="G1061" s="13"/>
      <c r="H1061" s="13"/>
      <c r="I1061" s="13"/>
      <c r="J1061" s="13"/>
      <c r="K1061" s="13"/>
      <c r="L1061" s="13"/>
      <c r="M1061" s="13"/>
      <c r="N1061" s="16"/>
      <c r="O1061" s="13"/>
      <c r="P1061" s="13"/>
      <c r="Q1061" s="13"/>
    </row>
    <row r="1062" spans="1:20" x14ac:dyDescent="0.3">
      <c r="A1062" s="1">
        <f t="shared" si="210"/>
        <v>6</v>
      </c>
      <c r="B1062" s="2">
        <v>24981180</v>
      </c>
      <c r="C1062" s="3" t="s">
        <v>457</v>
      </c>
      <c r="D1062" s="12" t="s">
        <v>40</v>
      </c>
      <c r="E1062" s="12" t="s">
        <v>40</v>
      </c>
      <c r="F1062" s="12"/>
      <c r="G1062" s="12" t="s">
        <v>40</v>
      </c>
      <c r="H1062" s="12" t="s">
        <v>40</v>
      </c>
      <c r="I1062" s="12"/>
      <c r="J1062" s="12"/>
      <c r="K1062" s="12"/>
      <c r="L1062" s="12">
        <v>144120</v>
      </c>
      <c r="M1062" s="15">
        <f t="shared" si="207"/>
        <v>7</v>
      </c>
      <c r="N1062" s="15">
        <f t="shared" si="208"/>
        <v>0</v>
      </c>
      <c r="O1062" s="12">
        <v>144120</v>
      </c>
      <c r="P1062" s="12">
        <f t="shared" si="206"/>
        <v>12010</v>
      </c>
      <c r="Q1062" s="12">
        <f t="shared" si="209"/>
        <v>12010</v>
      </c>
    </row>
    <row r="1063" spans="1:20" x14ac:dyDescent="0.3">
      <c r="A1063" s="1">
        <f t="shared" si="210"/>
        <v>7</v>
      </c>
      <c r="B1063" s="2" t="s">
        <v>870</v>
      </c>
      <c r="C1063" s="3" t="s">
        <v>457</v>
      </c>
      <c r="D1063" s="12" t="s">
        <v>40</v>
      </c>
      <c r="E1063" s="12" t="s">
        <v>40</v>
      </c>
      <c r="F1063" s="12" t="s">
        <v>40</v>
      </c>
      <c r="G1063" s="12" t="s">
        <v>40</v>
      </c>
      <c r="H1063" s="12" t="s">
        <v>40</v>
      </c>
      <c r="I1063" s="12" t="s">
        <v>40</v>
      </c>
      <c r="J1063" s="12"/>
      <c r="K1063" s="12"/>
      <c r="L1063" s="12">
        <v>42000</v>
      </c>
      <c r="M1063" s="15">
        <f t="shared" si="207"/>
        <v>14</v>
      </c>
      <c r="N1063" s="15">
        <f t="shared" si="208"/>
        <v>0</v>
      </c>
      <c r="O1063" s="12">
        <v>42000</v>
      </c>
      <c r="P1063" s="12">
        <f t="shared" si="206"/>
        <v>3500</v>
      </c>
      <c r="Q1063" s="12">
        <f t="shared" si="209"/>
        <v>3500</v>
      </c>
    </row>
    <row r="1064" spans="1:20" x14ac:dyDescent="0.3">
      <c r="A1064" s="1">
        <f t="shared" si="210"/>
        <v>8</v>
      </c>
      <c r="B1064" s="2" t="s">
        <v>871</v>
      </c>
      <c r="C1064" s="3" t="s">
        <v>457</v>
      </c>
      <c r="D1064" s="12" t="s">
        <v>40</v>
      </c>
      <c r="E1064" s="12" t="s">
        <v>40</v>
      </c>
      <c r="F1064" s="12"/>
      <c r="G1064" s="12"/>
      <c r="H1064" s="12"/>
      <c r="I1064" s="12"/>
      <c r="J1064" s="12"/>
      <c r="K1064" s="12"/>
      <c r="L1064" s="12">
        <v>0</v>
      </c>
      <c r="M1064" s="15">
        <f t="shared" si="207"/>
        <v>2</v>
      </c>
      <c r="N1064" s="15">
        <f t="shared" si="208"/>
        <v>0</v>
      </c>
      <c r="O1064" s="20"/>
      <c r="P1064" s="12">
        <f t="shared" si="206"/>
        <v>0</v>
      </c>
      <c r="Q1064" s="20"/>
    </row>
    <row r="1065" spans="1:20" x14ac:dyDescent="0.3">
      <c r="A1065" s="1">
        <f t="shared" si="210"/>
        <v>9</v>
      </c>
      <c r="B1065" s="2">
        <v>10066654</v>
      </c>
      <c r="C1065" s="3" t="s">
        <v>457</v>
      </c>
      <c r="D1065" s="12" t="s">
        <v>40</v>
      </c>
      <c r="E1065" s="12" t="s">
        <v>40</v>
      </c>
      <c r="F1065" s="12"/>
      <c r="G1065" s="12"/>
      <c r="H1065" s="12" t="s">
        <v>40</v>
      </c>
      <c r="I1065" s="12"/>
      <c r="J1065" s="12"/>
      <c r="K1065" s="12" t="s">
        <v>40</v>
      </c>
      <c r="L1065" s="12">
        <v>0</v>
      </c>
      <c r="M1065" s="15">
        <f t="shared" si="207"/>
        <v>5</v>
      </c>
      <c r="N1065" s="15">
        <f t="shared" si="208"/>
        <v>1</v>
      </c>
      <c r="O1065" s="20"/>
      <c r="P1065" s="12">
        <f t="shared" si="206"/>
        <v>0</v>
      </c>
      <c r="Q1065" s="20"/>
    </row>
    <row r="1066" spans="1:20" x14ac:dyDescent="0.3">
      <c r="A1066" s="1">
        <f t="shared" si="210"/>
        <v>10</v>
      </c>
      <c r="B1066" s="2">
        <v>41754568</v>
      </c>
      <c r="C1066" s="3" t="s">
        <v>457</v>
      </c>
      <c r="D1066" s="12" t="s">
        <v>40</v>
      </c>
      <c r="E1066" s="12" t="s">
        <v>40</v>
      </c>
      <c r="F1066" s="12"/>
      <c r="G1066" s="12"/>
      <c r="H1066" s="12"/>
      <c r="I1066" s="12"/>
      <c r="J1066" s="12"/>
      <c r="K1066" s="12"/>
      <c r="L1066" s="12">
        <v>0</v>
      </c>
      <c r="M1066" s="15">
        <f t="shared" si="207"/>
        <v>2</v>
      </c>
      <c r="N1066" s="15">
        <f t="shared" si="208"/>
        <v>0</v>
      </c>
      <c r="O1066" s="20"/>
      <c r="P1066" s="12">
        <f t="shared" si="206"/>
        <v>0</v>
      </c>
      <c r="Q1066" s="20"/>
    </row>
    <row r="1067" spans="1:20" x14ac:dyDescent="0.3">
      <c r="A1067" s="1">
        <f t="shared" si="210"/>
        <v>11</v>
      </c>
      <c r="B1067" s="2">
        <v>23980637</v>
      </c>
      <c r="C1067" s="3" t="s">
        <v>457</v>
      </c>
      <c r="D1067" s="12" t="s">
        <v>40</v>
      </c>
      <c r="E1067" s="12" t="s">
        <v>40</v>
      </c>
      <c r="F1067" s="12"/>
      <c r="G1067" s="12" t="s">
        <v>40</v>
      </c>
      <c r="H1067" s="12" t="s">
        <v>40</v>
      </c>
      <c r="I1067" s="12" t="s">
        <v>40</v>
      </c>
      <c r="J1067" s="12"/>
      <c r="K1067" s="12"/>
      <c r="L1067" s="12">
        <v>3410</v>
      </c>
      <c r="M1067" s="15">
        <f t="shared" si="207"/>
        <v>12</v>
      </c>
      <c r="N1067" s="15">
        <f t="shared" si="208"/>
        <v>0</v>
      </c>
      <c r="O1067" s="12">
        <v>3410</v>
      </c>
      <c r="P1067" s="12">
        <f t="shared" si="206"/>
        <v>284.16666666666669</v>
      </c>
      <c r="Q1067" s="12">
        <f t="shared" si="209"/>
        <v>284.16666666666669</v>
      </c>
    </row>
    <row r="1068" spans="1:20" x14ac:dyDescent="0.3">
      <c r="A1068" s="1">
        <f t="shared" si="210"/>
        <v>12</v>
      </c>
      <c r="B1068" s="2" t="s">
        <v>872</v>
      </c>
      <c r="C1068" s="3" t="s">
        <v>457</v>
      </c>
      <c r="D1068" s="12" t="s">
        <v>40</v>
      </c>
      <c r="E1068" s="12" t="s">
        <v>40</v>
      </c>
      <c r="F1068" s="12"/>
      <c r="G1068" s="12"/>
      <c r="H1068" s="12"/>
      <c r="I1068" s="12"/>
      <c r="J1068" s="12"/>
      <c r="K1068" s="12"/>
      <c r="L1068" s="12">
        <v>0</v>
      </c>
      <c r="M1068" s="15">
        <f t="shared" si="207"/>
        <v>2</v>
      </c>
      <c r="N1068" s="15">
        <f t="shared" si="208"/>
        <v>0</v>
      </c>
      <c r="O1068" s="20"/>
      <c r="P1068" s="12">
        <f t="shared" si="206"/>
        <v>0</v>
      </c>
      <c r="Q1068" s="20"/>
    </row>
    <row r="1069" spans="1:20" x14ac:dyDescent="0.3">
      <c r="A1069" s="1">
        <f t="shared" si="210"/>
        <v>13</v>
      </c>
      <c r="B1069" s="2" t="s">
        <v>873</v>
      </c>
      <c r="C1069" s="3" t="s">
        <v>457</v>
      </c>
      <c r="D1069" s="12" t="s">
        <v>40</v>
      </c>
      <c r="E1069" s="12" t="s">
        <v>40</v>
      </c>
      <c r="F1069" s="12"/>
      <c r="G1069" s="12"/>
      <c r="H1069" s="12"/>
      <c r="I1069" s="12"/>
      <c r="J1069" s="12"/>
      <c r="K1069" s="12"/>
      <c r="L1069" s="12">
        <v>0</v>
      </c>
      <c r="M1069" s="15">
        <f t="shared" si="207"/>
        <v>2</v>
      </c>
      <c r="N1069" s="15">
        <f t="shared" si="208"/>
        <v>0</v>
      </c>
      <c r="O1069" s="20"/>
      <c r="P1069" s="12">
        <f t="shared" si="206"/>
        <v>0</v>
      </c>
      <c r="Q1069" s="20"/>
    </row>
    <row r="1070" spans="1:20" x14ac:dyDescent="0.3">
      <c r="A1070" s="1">
        <f t="shared" si="210"/>
        <v>14</v>
      </c>
      <c r="B1070" s="2">
        <v>16008986</v>
      </c>
      <c r="C1070" s="3" t="s">
        <v>457</v>
      </c>
      <c r="D1070" s="12" t="s">
        <v>40</v>
      </c>
      <c r="E1070" s="12" t="s">
        <v>40</v>
      </c>
      <c r="F1070" s="12"/>
      <c r="G1070" s="12"/>
      <c r="H1070" s="12"/>
      <c r="I1070" s="12"/>
      <c r="J1070" s="12"/>
      <c r="K1070" s="12"/>
      <c r="L1070" s="12">
        <v>0</v>
      </c>
      <c r="M1070" s="15">
        <f t="shared" si="207"/>
        <v>2</v>
      </c>
      <c r="N1070" s="15">
        <f t="shared" si="208"/>
        <v>0</v>
      </c>
      <c r="O1070" s="20"/>
      <c r="P1070" s="12">
        <f t="shared" si="206"/>
        <v>0</v>
      </c>
      <c r="Q1070" s="20"/>
    </row>
    <row r="1071" spans="1:20" x14ac:dyDescent="0.3">
      <c r="A1071" s="1">
        <f t="shared" si="210"/>
        <v>15</v>
      </c>
      <c r="B1071" s="2" t="s">
        <v>874</v>
      </c>
      <c r="C1071" s="3" t="s">
        <v>457</v>
      </c>
      <c r="D1071" s="12" t="s">
        <v>40</v>
      </c>
      <c r="E1071" s="12" t="s">
        <v>40</v>
      </c>
      <c r="F1071" s="12"/>
      <c r="G1071" s="12"/>
      <c r="H1071" s="12"/>
      <c r="I1071" s="12"/>
      <c r="J1071" s="12"/>
      <c r="K1071" s="12"/>
      <c r="L1071" s="12">
        <v>0</v>
      </c>
      <c r="M1071" s="15">
        <f t="shared" si="207"/>
        <v>2</v>
      </c>
      <c r="N1071" s="15">
        <f t="shared" si="208"/>
        <v>0</v>
      </c>
      <c r="O1071" s="20"/>
      <c r="P1071" s="12">
        <f t="shared" si="206"/>
        <v>0</v>
      </c>
      <c r="Q1071" s="20"/>
    </row>
    <row r="1072" spans="1:20" x14ac:dyDescent="0.3">
      <c r="A1072" s="1">
        <f t="shared" si="210"/>
        <v>16</v>
      </c>
      <c r="B1072" s="2" t="s">
        <v>875</v>
      </c>
      <c r="C1072" s="3" t="s">
        <v>457</v>
      </c>
      <c r="D1072" s="12" t="s">
        <v>40</v>
      </c>
      <c r="E1072" s="12" t="s">
        <v>40</v>
      </c>
      <c r="F1072" s="12"/>
      <c r="G1072" s="12"/>
      <c r="H1072" s="12"/>
      <c r="I1072" s="12"/>
      <c r="J1072" s="12"/>
      <c r="K1072" s="12"/>
      <c r="L1072" s="12">
        <v>0</v>
      </c>
      <c r="M1072" s="15">
        <f t="shared" si="207"/>
        <v>2</v>
      </c>
      <c r="N1072" s="15">
        <f t="shared" si="208"/>
        <v>0</v>
      </c>
      <c r="O1072" s="20"/>
      <c r="P1072" s="12">
        <f t="shared" si="206"/>
        <v>0</v>
      </c>
      <c r="Q1072" s="20"/>
    </row>
    <row r="1073" spans="1:17" x14ac:dyDescent="0.3">
      <c r="A1073" s="1">
        <f t="shared" si="210"/>
        <v>17</v>
      </c>
      <c r="B1073" s="2">
        <v>16021328</v>
      </c>
      <c r="C1073" s="3" t="s">
        <v>457</v>
      </c>
      <c r="D1073" s="12" t="s">
        <v>40</v>
      </c>
      <c r="E1073" s="12" t="s">
        <v>40</v>
      </c>
      <c r="F1073" s="12"/>
      <c r="G1073" s="12"/>
      <c r="H1073" s="12"/>
      <c r="I1073" s="12"/>
      <c r="J1073" s="12"/>
      <c r="K1073" s="12"/>
      <c r="L1073" s="12">
        <v>0</v>
      </c>
      <c r="M1073" s="15">
        <f t="shared" si="207"/>
        <v>2</v>
      </c>
      <c r="N1073" s="15">
        <f t="shared" si="208"/>
        <v>0</v>
      </c>
      <c r="O1073" s="20"/>
      <c r="P1073" s="12">
        <f t="shared" si="206"/>
        <v>0</v>
      </c>
      <c r="Q1073" s="20"/>
    </row>
    <row r="1074" spans="1:17" x14ac:dyDescent="0.3">
      <c r="A1074" s="1">
        <f t="shared" si="210"/>
        <v>18</v>
      </c>
      <c r="B1074" s="2">
        <v>15978348</v>
      </c>
      <c r="C1074" s="3" t="s">
        <v>457</v>
      </c>
      <c r="D1074" s="12" t="s">
        <v>40</v>
      </c>
      <c r="E1074" s="12" t="s">
        <v>40</v>
      </c>
      <c r="F1074" s="12"/>
      <c r="G1074" s="12"/>
      <c r="H1074" s="12"/>
      <c r="I1074" s="12"/>
      <c r="J1074" s="12"/>
      <c r="K1074" s="12"/>
      <c r="L1074" s="12">
        <v>0</v>
      </c>
      <c r="M1074" s="15">
        <f t="shared" si="207"/>
        <v>2</v>
      </c>
      <c r="N1074" s="15">
        <f t="shared" si="208"/>
        <v>0</v>
      </c>
      <c r="O1074" s="20"/>
      <c r="P1074" s="12">
        <f t="shared" si="206"/>
        <v>0</v>
      </c>
      <c r="Q1074" s="20"/>
    </row>
    <row r="1075" spans="1:17" x14ac:dyDescent="0.3">
      <c r="A1075" s="1">
        <f t="shared" si="210"/>
        <v>19</v>
      </c>
      <c r="B1075" s="2">
        <v>42046640</v>
      </c>
      <c r="C1075" s="3" t="s">
        <v>457</v>
      </c>
      <c r="D1075" s="12" t="s">
        <v>40</v>
      </c>
      <c r="E1075" s="12" t="s">
        <v>40</v>
      </c>
      <c r="F1075" s="12"/>
      <c r="G1075" s="12"/>
      <c r="H1075" s="12"/>
      <c r="I1075" s="12"/>
      <c r="J1075" s="12"/>
      <c r="K1075" s="12"/>
      <c r="L1075" s="12">
        <v>0</v>
      </c>
      <c r="M1075" s="15">
        <f t="shared" si="207"/>
        <v>2</v>
      </c>
      <c r="N1075" s="15">
        <f t="shared" si="208"/>
        <v>0</v>
      </c>
      <c r="O1075" s="20"/>
      <c r="P1075" s="12">
        <f t="shared" si="206"/>
        <v>0</v>
      </c>
      <c r="Q1075" s="20"/>
    </row>
    <row r="1076" spans="1:17" x14ac:dyDescent="0.3">
      <c r="A1076" s="1">
        <f t="shared" si="210"/>
        <v>20</v>
      </c>
      <c r="B1076" s="2">
        <v>15975855</v>
      </c>
      <c r="C1076" s="3" t="s">
        <v>457</v>
      </c>
      <c r="D1076" s="12" t="s">
        <v>40</v>
      </c>
      <c r="E1076" s="12" t="s">
        <v>40</v>
      </c>
      <c r="F1076" s="12"/>
      <c r="G1076" s="12"/>
      <c r="H1076" s="12"/>
      <c r="I1076" s="12"/>
      <c r="J1076" s="12"/>
      <c r="K1076" s="12"/>
      <c r="L1076" s="12">
        <v>0</v>
      </c>
      <c r="M1076" s="15">
        <f t="shared" si="207"/>
        <v>2</v>
      </c>
      <c r="N1076" s="15">
        <f t="shared" si="208"/>
        <v>0</v>
      </c>
      <c r="O1076" s="20"/>
      <c r="P1076" s="12">
        <f t="shared" si="206"/>
        <v>0</v>
      </c>
      <c r="Q1076" s="20"/>
    </row>
    <row r="1077" spans="1:17" x14ac:dyDescent="0.3">
      <c r="A1077" s="1">
        <f t="shared" si="210"/>
        <v>21</v>
      </c>
      <c r="B1077" s="2">
        <v>15977661</v>
      </c>
      <c r="C1077" s="3" t="s">
        <v>457</v>
      </c>
      <c r="D1077" s="12" t="s">
        <v>40</v>
      </c>
      <c r="E1077" s="12" t="s">
        <v>40</v>
      </c>
      <c r="F1077" s="12"/>
      <c r="G1077" s="12"/>
      <c r="H1077" s="12"/>
      <c r="I1077" s="12"/>
      <c r="J1077" s="12"/>
      <c r="K1077" s="12"/>
      <c r="L1077" s="12">
        <v>0</v>
      </c>
      <c r="M1077" s="15">
        <f t="shared" si="207"/>
        <v>2</v>
      </c>
      <c r="N1077" s="15">
        <f t="shared" si="208"/>
        <v>0</v>
      </c>
      <c r="O1077" s="20"/>
      <c r="P1077" s="12">
        <f t="shared" si="206"/>
        <v>0</v>
      </c>
      <c r="Q1077" s="20"/>
    </row>
    <row r="1078" spans="1:17" x14ac:dyDescent="0.3">
      <c r="A1078" s="1">
        <f t="shared" si="210"/>
        <v>22</v>
      </c>
      <c r="B1078" s="2">
        <v>40304890</v>
      </c>
      <c r="C1078" s="3" t="s">
        <v>457</v>
      </c>
      <c r="D1078" s="12" t="s">
        <v>40</v>
      </c>
      <c r="E1078" s="12" t="s">
        <v>40</v>
      </c>
      <c r="F1078" s="12"/>
      <c r="G1078" s="12"/>
      <c r="H1078" s="12" t="s">
        <v>40</v>
      </c>
      <c r="I1078" s="12" t="s">
        <v>40</v>
      </c>
      <c r="J1078" s="12"/>
      <c r="K1078" s="12"/>
      <c r="L1078" s="12">
        <v>0</v>
      </c>
      <c r="M1078" s="15">
        <f t="shared" si="207"/>
        <v>10</v>
      </c>
      <c r="N1078" s="15">
        <f t="shared" si="208"/>
        <v>0</v>
      </c>
      <c r="O1078" s="20"/>
      <c r="P1078" s="12">
        <f t="shared" si="206"/>
        <v>0</v>
      </c>
      <c r="Q1078" s="20"/>
    </row>
    <row r="1079" spans="1:17" x14ac:dyDescent="0.3">
      <c r="A1079" s="1">
        <f t="shared" si="210"/>
        <v>23</v>
      </c>
      <c r="B1079" s="2" t="s">
        <v>876</v>
      </c>
      <c r="C1079" s="3" t="s">
        <v>457</v>
      </c>
      <c r="D1079" s="12" t="s">
        <v>40</v>
      </c>
      <c r="E1079" s="12" t="s">
        <v>40</v>
      </c>
      <c r="F1079" s="12"/>
      <c r="G1079" s="12"/>
      <c r="H1079" s="12"/>
      <c r="I1079" s="12"/>
      <c r="J1079" s="12"/>
      <c r="K1079" s="12"/>
      <c r="L1079" s="12">
        <v>0</v>
      </c>
      <c r="M1079" s="15">
        <f t="shared" si="207"/>
        <v>2</v>
      </c>
      <c r="N1079" s="15">
        <f t="shared" si="208"/>
        <v>0</v>
      </c>
      <c r="O1079" s="20"/>
      <c r="P1079" s="12">
        <f t="shared" si="206"/>
        <v>0</v>
      </c>
      <c r="Q1079" s="20"/>
    </row>
    <row r="1080" spans="1:17" x14ac:dyDescent="0.3">
      <c r="A1080" s="1">
        <f t="shared" si="210"/>
        <v>24</v>
      </c>
      <c r="B1080" s="2">
        <v>80285646</v>
      </c>
      <c r="C1080" s="3" t="s">
        <v>457</v>
      </c>
      <c r="D1080" s="12" t="s">
        <v>40</v>
      </c>
      <c r="E1080" s="12" t="s">
        <v>40</v>
      </c>
      <c r="F1080" s="12"/>
      <c r="G1080" s="12"/>
      <c r="H1080" s="12"/>
      <c r="I1080" s="12"/>
      <c r="J1080" s="12"/>
      <c r="K1080" s="12"/>
      <c r="L1080" s="12">
        <v>0</v>
      </c>
      <c r="M1080" s="15">
        <f t="shared" si="207"/>
        <v>2</v>
      </c>
      <c r="N1080" s="15">
        <f t="shared" si="208"/>
        <v>0</v>
      </c>
      <c r="O1080" s="20"/>
      <c r="P1080" s="12">
        <f t="shared" si="206"/>
        <v>0</v>
      </c>
      <c r="Q1080" s="20"/>
    </row>
    <row r="1081" spans="1:17" x14ac:dyDescent="0.3">
      <c r="A1081" s="1">
        <f t="shared" si="210"/>
        <v>25</v>
      </c>
      <c r="B1081" s="2">
        <v>80405406</v>
      </c>
      <c r="C1081" s="3" t="s">
        <v>457</v>
      </c>
      <c r="D1081" s="12" t="s">
        <v>40</v>
      </c>
      <c r="E1081" s="12" t="s">
        <v>40</v>
      </c>
      <c r="F1081" s="12"/>
      <c r="G1081" s="12"/>
      <c r="H1081" s="12"/>
      <c r="I1081" s="12"/>
      <c r="J1081" s="12"/>
      <c r="K1081" s="12"/>
      <c r="L1081" s="12">
        <v>0</v>
      </c>
      <c r="M1081" s="15">
        <f t="shared" si="207"/>
        <v>2</v>
      </c>
      <c r="N1081" s="15">
        <f t="shared" si="208"/>
        <v>0</v>
      </c>
      <c r="O1081" s="20"/>
      <c r="P1081" s="12">
        <f t="shared" si="206"/>
        <v>0</v>
      </c>
      <c r="Q1081" s="20"/>
    </row>
    <row r="1082" spans="1:17" x14ac:dyDescent="0.3">
      <c r="A1082" s="1">
        <f t="shared" si="210"/>
        <v>26</v>
      </c>
      <c r="B1082" s="2" t="s">
        <v>877</v>
      </c>
      <c r="C1082" s="3" t="s">
        <v>457</v>
      </c>
      <c r="D1082" s="12" t="s">
        <v>40</v>
      </c>
      <c r="E1082" s="12" t="s">
        <v>40</v>
      </c>
      <c r="F1082" s="12"/>
      <c r="G1082" s="12"/>
      <c r="H1082" s="12"/>
      <c r="I1082" s="12"/>
      <c r="J1082" s="12"/>
      <c r="K1082" s="12"/>
      <c r="L1082" s="12">
        <v>0</v>
      </c>
      <c r="M1082" s="15">
        <f t="shared" si="207"/>
        <v>2</v>
      </c>
      <c r="N1082" s="15">
        <f t="shared" si="208"/>
        <v>0</v>
      </c>
      <c r="O1082" s="20"/>
      <c r="P1082" s="12">
        <f t="shared" si="206"/>
        <v>0</v>
      </c>
      <c r="Q1082" s="20"/>
    </row>
    <row r="1083" spans="1:17" x14ac:dyDescent="0.3">
      <c r="A1083" s="1">
        <f t="shared" si="210"/>
        <v>27</v>
      </c>
      <c r="B1083" s="2">
        <v>15981116</v>
      </c>
      <c r="C1083" s="3" t="s">
        <v>457</v>
      </c>
      <c r="D1083" s="12" t="s">
        <v>40</v>
      </c>
      <c r="E1083" s="12" t="s">
        <v>40</v>
      </c>
      <c r="F1083" s="12"/>
      <c r="G1083" s="12"/>
      <c r="H1083" s="12"/>
      <c r="I1083" s="12"/>
      <c r="J1083" s="12"/>
      <c r="K1083" s="12"/>
      <c r="L1083" s="12">
        <v>0</v>
      </c>
      <c r="M1083" s="15">
        <f t="shared" si="207"/>
        <v>2</v>
      </c>
      <c r="N1083" s="15">
        <f t="shared" si="208"/>
        <v>0</v>
      </c>
      <c r="O1083" s="20"/>
      <c r="P1083" s="12">
        <f t="shared" si="206"/>
        <v>0</v>
      </c>
      <c r="Q1083" s="20"/>
    </row>
    <row r="1084" spans="1:17" x14ac:dyDescent="0.3">
      <c r="A1084" s="1">
        <f t="shared" si="210"/>
        <v>28</v>
      </c>
      <c r="B1084" s="2" t="s">
        <v>878</v>
      </c>
      <c r="C1084" s="3" t="s">
        <v>457</v>
      </c>
      <c r="D1084" s="12"/>
      <c r="E1084" s="12"/>
      <c r="F1084" s="12"/>
      <c r="G1084" s="12"/>
      <c r="H1084" s="12"/>
      <c r="I1084" s="12"/>
      <c r="J1084" s="12"/>
      <c r="K1084" s="12"/>
      <c r="L1084" s="12">
        <v>0</v>
      </c>
      <c r="M1084" s="15">
        <f t="shared" si="207"/>
        <v>0</v>
      </c>
      <c r="N1084" s="15">
        <f t="shared" si="208"/>
        <v>0</v>
      </c>
      <c r="O1084" s="20"/>
      <c r="P1084" s="12">
        <f t="shared" si="206"/>
        <v>0</v>
      </c>
      <c r="Q1084" s="20"/>
    </row>
    <row r="1085" spans="1:17" x14ac:dyDescent="0.3">
      <c r="A1085" s="1">
        <f t="shared" si="210"/>
        <v>29</v>
      </c>
      <c r="B1085" s="2">
        <v>40852617</v>
      </c>
      <c r="C1085" s="3" t="s">
        <v>457</v>
      </c>
      <c r="D1085" s="12"/>
      <c r="E1085" s="12"/>
      <c r="F1085" s="12"/>
      <c r="G1085" s="12"/>
      <c r="H1085" s="12"/>
      <c r="I1085" s="12"/>
      <c r="J1085" s="12"/>
      <c r="K1085" s="12"/>
      <c r="L1085" s="12">
        <v>0</v>
      </c>
      <c r="M1085" s="15">
        <f t="shared" si="207"/>
        <v>0</v>
      </c>
      <c r="N1085" s="15">
        <f t="shared" si="208"/>
        <v>0</v>
      </c>
      <c r="O1085" s="20"/>
      <c r="P1085" s="12">
        <f t="shared" si="206"/>
        <v>0</v>
      </c>
      <c r="Q1085" s="20"/>
    </row>
    <row r="1086" spans="1:17" x14ac:dyDescent="0.3">
      <c r="A1086" s="1">
        <f t="shared" si="210"/>
        <v>30</v>
      </c>
      <c r="B1086" s="2">
        <v>15977667</v>
      </c>
      <c r="C1086" s="3" t="s">
        <v>457</v>
      </c>
      <c r="D1086" s="12"/>
      <c r="E1086" s="12"/>
      <c r="F1086" s="12"/>
      <c r="G1086" s="12"/>
      <c r="H1086" s="12"/>
      <c r="I1086" s="12"/>
      <c r="J1086" s="12"/>
      <c r="K1086" s="12"/>
      <c r="L1086" s="12">
        <v>0</v>
      </c>
      <c r="M1086" s="15">
        <f t="shared" si="207"/>
        <v>0</v>
      </c>
      <c r="N1086" s="15">
        <f t="shared" si="208"/>
        <v>0</v>
      </c>
      <c r="O1086" s="20"/>
      <c r="P1086" s="12">
        <f t="shared" si="206"/>
        <v>0</v>
      </c>
      <c r="Q1086" s="20"/>
    </row>
    <row r="1087" spans="1:17" x14ac:dyDescent="0.3">
      <c r="B1087" s="29"/>
      <c r="D1087"/>
      <c r="E1087"/>
      <c r="F1087"/>
      <c r="G1087"/>
      <c r="H1087"/>
      <c r="I1087"/>
      <c r="J1087"/>
      <c r="L1087" s="14">
        <f>+AVERAGE(L1057:L1086)</f>
        <v>39991.435862068967</v>
      </c>
      <c r="M1087" s="14">
        <f>+AVERAGE(M1057:M1086)</f>
        <v>3.4827586206896552</v>
      </c>
      <c r="N1087" s="14">
        <f>+SUM(N1057:N1086)</f>
        <v>2</v>
      </c>
      <c r="O1087" s="14">
        <f>+AVERAGE(O1057:O1086)</f>
        <v>123469.94</v>
      </c>
      <c r="P1087" s="14">
        <f>+AVERAGE(P1057:P1086)</f>
        <v>3332.6196551724142</v>
      </c>
      <c r="Q1087" s="14">
        <f>+AVERAGE(Q1057:Q1086)</f>
        <v>10289.161666666667</v>
      </c>
    </row>
    <row r="1088" spans="1:17" x14ac:dyDescent="0.3">
      <c r="D1088"/>
      <c r="E1088"/>
      <c r="F1088"/>
      <c r="G1088"/>
      <c r="H1088"/>
      <c r="I1088"/>
      <c r="J1088"/>
      <c r="L1088" s="14">
        <f>+STDEV(L1057:L1086)</f>
        <v>105726.86374975437</v>
      </c>
      <c r="M1088" s="14">
        <f>+STDEV(M1057:M1086)</f>
        <v>3.6017921100392352</v>
      </c>
      <c r="N1088" s="17"/>
      <c r="O1088" s="14">
        <f>+STDEV(O1057:O1086)</f>
        <v>135938.15381667006</v>
      </c>
      <c r="P1088" s="14">
        <f>+STDEV(P1057:P1086)</f>
        <v>8810.5719791461979</v>
      </c>
      <c r="Q1088" s="14">
        <f>+STDEV(Q1057:Q1086)</f>
        <v>11328.179484722505</v>
      </c>
    </row>
    <row r="1089" spans="1:28" x14ac:dyDescent="0.3">
      <c r="D1089"/>
      <c r="E1089"/>
      <c r="F1089"/>
      <c r="G1089"/>
      <c r="H1089"/>
      <c r="I1089" s="15"/>
      <c r="J1089" s="15"/>
      <c r="K1089" s="11" t="s">
        <v>75</v>
      </c>
      <c r="L1089" s="14">
        <f>+COUNTIF(L1057:L1086,0)</f>
        <v>22</v>
      </c>
      <c r="M1089" s="14">
        <f>+COUNT(M1057:M1086)</f>
        <v>29</v>
      </c>
      <c r="P1089" s="14">
        <f>+COUNTIF(P1057:P1086,0)</f>
        <v>22</v>
      </c>
    </row>
    <row r="1090" spans="1:28" x14ac:dyDescent="0.3">
      <c r="D1090"/>
      <c r="E1090"/>
      <c r="F1090"/>
      <c r="G1090"/>
      <c r="H1090"/>
      <c r="I1090"/>
      <c r="J1090"/>
    </row>
    <row r="1091" spans="1:28" x14ac:dyDescent="0.3">
      <c r="A1091" s="1">
        <v>1</v>
      </c>
      <c r="B1091" s="2" t="s">
        <v>879</v>
      </c>
      <c r="C1091" s="3" t="s">
        <v>458</v>
      </c>
      <c r="D1091" s="12" t="s">
        <v>40</v>
      </c>
      <c r="E1091" s="12" t="s">
        <v>40</v>
      </c>
      <c r="F1091" s="12"/>
      <c r="G1091" s="12"/>
      <c r="H1091" s="12" t="s">
        <v>40</v>
      </c>
      <c r="I1091" s="12"/>
      <c r="J1091" s="12"/>
      <c r="K1091" s="12"/>
      <c r="L1091" s="12">
        <v>0</v>
      </c>
      <c r="M1091" s="15">
        <f>+IF(D1091="X",1,0)+IF(E1091="X",1,0)+IF(F1091="X",2,0)+IF(G1091="X",2,0)+IF(H1091="X",3,IF(H1091="Y",1.5,0))+IF(I1091="X",5,IF(I1091="Y",2.5,0))+IF(J1091="X1",10,IF(J1091="X2",5,IF(J1091="X3",3,0)))</f>
        <v>5</v>
      </c>
      <c r="N1091" s="15">
        <f>+IF(K1091="X",1,0)</f>
        <v>0</v>
      </c>
      <c r="O1091" s="20"/>
      <c r="P1091" s="12">
        <f t="shared" ref="P1091:P1120" si="211">+L1091/12</f>
        <v>0</v>
      </c>
      <c r="Q1091" s="20"/>
      <c r="R1091" s="1"/>
      <c r="S1091" s="3"/>
      <c r="T1091" s="3"/>
      <c r="U1091" s="3"/>
      <c r="V1091" s="3"/>
      <c r="W1091" s="3"/>
      <c r="X1091" s="3"/>
      <c r="Y1091" s="3"/>
      <c r="Z1091" s="3"/>
      <c r="AA1091" s="3"/>
      <c r="AB1091" s="1"/>
    </row>
    <row r="1092" spans="1:28" x14ac:dyDescent="0.3">
      <c r="A1092" s="1">
        <f>+A1091+1</f>
        <v>2</v>
      </c>
      <c r="B1092" s="2">
        <v>18087659</v>
      </c>
      <c r="C1092" s="3" t="s">
        <v>458</v>
      </c>
      <c r="D1092" s="12" t="s">
        <v>40</v>
      </c>
      <c r="E1092" s="12" t="s">
        <v>40</v>
      </c>
      <c r="F1092" s="12"/>
      <c r="G1092" s="12"/>
      <c r="H1092" s="12"/>
      <c r="I1092" s="12"/>
      <c r="J1092" s="12"/>
      <c r="K1092" s="12"/>
      <c r="L1092" s="12">
        <v>0</v>
      </c>
      <c r="M1092" s="15">
        <f t="shared" ref="M1092:M1120" si="212">+IF(D1092="X",1,0)+IF(E1092="X",1,0)+IF(F1092="X",2,0)+IF(G1092="X",2,0)+IF(H1092="X",3,IF(H1092="Y",1.5,0))+IF(I1092="X",5,IF(I1092="Y",2.5,0))+IF(J1092="X1",10,IF(J1092="X2",5,IF(J1092="X3",3,0)))</f>
        <v>2</v>
      </c>
      <c r="N1092" s="15">
        <f t="shared" ref="N1092:N1120" si="213">+IF(K1092="X",1,0)</f>
        <v>0</v>
      </c>
      <c r="O1092" s="20"/>
      <c r="P1092" s="12">
        <f t="shared" si="211"/>
        <v>0</v>
      </c>
      <c r="Q1092" s="20"/>
      <c r="R1092" s="1"/>
      <c r="S1092" s="3"/>
      <c r="T1092" s="3"/>
      <c r="U1092" s="3"/>
      <c r="V1092" s="3"/>
      <c r="W1092" s="3"/>
      <c r="X1092" s="3"/>
      <c r="Y1092" s="3"/>
      <c r="Z1092" s="3"/>
      <c r="AA1092" s="3"/>
      <c r="AB1092" s="1"/>
    </row>
    <row r="1093" spans="1:28" x14ac:dyDescent="0.3">
      <c r="A1093" s="1">
        <f t="shared" ref="A1093:A1120" si="214">+A1092+1</f>
        <v>3</v>
      </c>
      <c r="B1093" s="2" t="s">
        <v>880</v>
      </c>
      <c r="C1093" s="3" t="s">
        <v>458</v>
      </c>
      <c r="D1093" s="12" t="s">
        <v>40</v>
      </c>
      <c r="E1093" s="12" t="s">
        <v>40</v>
      </c>
      <c r="F1093" s="12"/>
      <c r="G1093" s="12"/>
      <c r="H1093" s="12" t="s">
        <v>40</v>
      </c>
      <c r="I1093" s="12"/>
      <c r="J1093" s="12"/>
      <c r="K1093" s="12"/>
      <c r="L1093" s="12">
        <v>0</v>
      </c>
      <c r="M1093" s="15">
        <f t="shared" si="212"/>
        <v>5</v>
      </c>
      <c r="N1093" s="15">
        <f t="shared" si="213"/>
        <v>0</v>
      </c>
      <c r="O1093" s="20"/>
      <c r="P1093" s="12">
        <f t="shared" si="211"/>
        <v>0</v>
      </c>
      <c r="Q1093" s="20"/>
      <c r="R1093" s="1"/>
      <c r="S1093" s="3"/>
      <c r="T1093" s="3"/>
      <c r="U1093" s="3"/>
      <c r="V1093" s="3"/>
      <c r="W1093" s="3"/>
      <c r="X1093" s="3"/>
      <c r="Y1093" s="3"/>
      <c r="Z1093" s="3"/>
      <c r="AA1093" s="3"/>
      <c r="AB1093" s="1"/>
    </row>
    <row r="1094" spans="1:28" x14ac:dyDescent="0.3">
      <c r="A1094" s="1">
        <f t="shared" si="214"/>
        <v>4</v>
      </c>
      <c r="B1094" s="2" t="s">
        <v>881</v>
      </c>
      <c r="C1094" s="3" t="s">
        <v>458</v>
      </c>
      <c r="D1094" s="12" t="s">
        <v>40</v>
      </c>
      <c r="E1094" s="12" t="s">
        <v>40</v>
      </c>
      <c r="F1094" s="12"/>
      <c r="G1094" s="12"/>
      <c r="H1094" s="12"/>
      <c r="I1094" s="12"/>
      <c r="J1094" s="12"/>
      <c r="K1094" s="12"/>
      <c r="L1094" s="12">
        <v>0</v>
      </c>
      <c r="M1094" s="15">
        <f t="shared" si="212"/>
        <v>2</v>
      </c>
      <c r="N1094" s="15">
        <f t="shared" si="213"/>
        <v>0</v>
      </c>
      <c r="O1094" s="20"/>
      <c r="P1094" s="12">
        <f t="shared" si="211"/>
        <v>0</v>
      </c>
      <c r="Q1094" s="20"/>
      <c r="R1094" s="1">
        <v>17834654</v>
      </c>
      <c r="S1094" s="3" t="s">
        <v>458</v>
      </c>
      <c r="T1094" s="3" t="s">
        <v>288</v>
      </c>
      <c r="U1094" s="3"/>
      <c r="V1094" s="3"/>
      <c r="W1094" s="3"/>
      <c r="X1094" s="3"/>
      <c r="Y1094" s="3"/>
      <c r="Z1094" s="3"/>
      <c r="AA1094" s="3"/>
      <c r="AB1094" s="1">
        <v>1</v>
      </c>
    </row>
    <row r="1095" spans="1:28" x14ac:dyDescent="0.3">
      <c r="A1095" s="1">
        <f t="shared" si="214"/>
        <v>5</v>
      </c>
      <c r="B1095" s="2">
        <v>18032469</v>
      </c>
      <c r="C1095" s="3" t="s">
        <v>458</v>
      </c>
      <c r="D1095" s="12" t="s">
        <v>40</v>
      </c>
      <c r="E1095" s="12" t="s">
        <v>40</v>
      </c>
      <c r="F1095" s="12"/>
      <c r="G1095" s="12"/>
      <c r="H1095" s="12" t="s">
        <v>40</v>
      </c>
      <c r="I1095" s="12"/>
      <c r="J1095" s="12"/>
      <c r="K1095" s="12"/>
      <c r="L1095" s="12">
        <v>0</v>
      </c>
      <c r="M1095" s="15">
        <f t="shared" si="212"/>
        <v>5</v>
      </c>
      <c r="N1095" s="15">
        <f t="shared" si="213"/>
        <v>0</v>
      </c>
      <c r="O1095" s="20"/>
      <c r="P1095" s="12">
        <f t="shared" si="211"/>
        <v>0</v>
      </c>
      <c r="Q1095" s="20"/>
      <c r="R1095" s="1">
        <v>18032469</v>
      </c>
      <c r="S1095" s="3" t="s">
        <v>458</v>
      </c>
      <c r="T1095" s="3"/>
      <c r="U1095" s="3"/>
      <c r="V1095" s="3"/>
      <c r="W1095" s="3"/>
      <c r="X1095" s="3"/>
      <c r="Y1095" s="3"/>
      <c r="Z1095" s="3"/>
      <c r="AA1095" s="3"/>
      <c r="AB1095" s="1">
        <v>0</v>
      </c>
    </row>
    <row r="1096" spans="1:28" x14ac:dyDescent="0.3">
      <c r="A1096" s="1">
        <f t="shared" si="214"/>
        <v>6</v>
      </c>
      <c r="B1096" s="2">
        <v>18119695</v>
      </c>
      <c r="C1096" s="3" t="s">
        <v>458</v>
      </c>
      <c r="D1096" s="12" t="s">
        <v>40</v>
      </c>
      <c r="E1096" s="12" t="s">
        <v>40</v>
      </c>
      <c r="F1096" s="12"/>
      <c r="G1096" s="12"/>
      <c r="H1096" s="12"/>
      <c r="I1096" s="12"/>
      <c r="J1096" s="12"/>
      <c r="K1096" s="12"/>
      <c r="L1096" s="12">
        <v>0</v>
      </c>
      <c r="M1096" s="15">
        <f t="shared" si="212"/>
        <v>2</v>
      </c>
      <c r="N1096" s="15">
        <f t="shared" si="213"/>
        <v>0</v>
      </c>
      <c r="O1096" s="20"/>
      <c r="P1096" s="12">
        <f t="shared" si="211"/>
        <v>0</v>
      </c>
      <c r="Q1096" s="20"/>
      <c r="R1096" s="1">
        <v>18119695</v>
      </c>
      <c r="S1096" s="3" t="s">
        <v>458</v>
      </c>
      <c r="T1096" s="3"/>
      <c r="U1096" s="3"/>
      <c r="V1096" s="3"/>
      <c r="W1096" s="3"/>
      <c r="X1096" s="3"/>
      <c r="Y1096" s="3"/>
      <c r="Z1096" s="3"/>
      <c r="AA1096" s="3"/>
      <c r="AB1096" s="1">
        <v>0</v>
      </c>
    </row>
    <row r="1097" spans="1:28" x14ac:dyDescent="0.3">
      <c r="A1097" s="1">
        <f t="shared" si="214"/>
        <v>7</v>
      </c>
      <c r="B1097" s="2">
        <v>18071086</v>
      </c>
      <c r="C1097" s="3" t="s">
        <v>458</v>
      </c>
      <c r="D1097" s="12" t="s">
        <v>40</v>
      </c>
      <c r="E1097" s="12" t="s">
        <v>40</v>
      </c>
      <c r="F1097" s="12" t="s">
        <v>40</v>
      </c>
      <c r="G1097" s="12" t="s">
        <v>40</v>
      </c>
      <c r="H1097" s="12"/>
      <c r="I1097" s="12" t="s">
        <v>40</v>
      </c>
      <c r="J1097" s="12"/>
      <c r="K1097" s="12"/>
      <c r="L1097" s="12">
        <v>66000</v>
      </c>
      <c r="M1097" s="15">
        <f t="shared" si="212"/>
        <v>11</v>
      </c>
      <c r="N1097" s="15">
        <f t="shared" si="213"/>
        <v>0</v>
      </c>
      <c r="O1097" s="20"/>
      <c r="P1097" s="12">
        <f t="shared" si="211"/>
        <v>5500</v>
      </c>
      <c r="Q1097" s="20"/>
      <c r="R1097" s="1">
        <v>18071086</v>
      </c>
      <c r="S1097" s="3" t="s">
        <v>458</v>
      </c>
      <c r="T1097" s="3"/>
      <c r="U1097" s="3"/>
      <c r="V1097" s="3"/>
      <c r="W1097" s="3"/>
      <c r="X1097" s="3"/>
      <c r="Y1097" s="3"/>
      <c r="Z1097" s="3"/>
      <c r="AA1097" s="3"/>
      <c r="AB1097" s="1">
        <v>0</v>
      </c>
    </row>
    <row r="1098" spans="1:28" x14ac:dyDescent="0.3">
      <c r="A1098" s="1">
        <f t="shared" si="214"/>
        <v>8</v>
      </c>
      <c r="B1098" s="2">
        <v>18089713</v>
      </c>
      <c r="C1098" s="3" t="s">
        <v>458</v>
      </c>
      <c r="D1098" s="12" t="s">
        <v>40</v>
      </c>
      <c r="E1098" s="12" t="s">
        <v>40</v>
      </c>
      <c r="F1098" s="12"/>
      <c r="G1098" s="12"/>
      <c r="H1098" s="12" t="s">
        <v>40</v>
      </c>
      <c r="I1098" s="12"/>
      <c r="J1098" s="12"/>
      <c r="K1098" s="12"/>
      <c r="L1098" s="12">
        <v>0</v>
      </c>
      <c r="M1098" s="15">
        <f t="shared" si="212"/>
        <v>5</v>
      </c>
      <c r="N1098" s="15">
        <f t="shared" si="213"/>
        <v>0</v>
      </c>
      <c r="O1098" s="20"/>
      <c r="P1098" s="12">
        <f t="shared" si="211"/>
        <v>0</v>
      </c>
      <c r="Q1098" s="20"/>
      <c r="R1098" s="1">
        <v>18089713</v>
      </c>
      <c r="S1098" s="3" t="s">
        <v>458</v>
      </c>
      <c r="T1098" s="3"/>
      <c r="U1098" s="3"/>
      <c r="V1098" s="3"/>
      <c r="W1098" s="3"/>
      <c r="X1098" s="3"/>
      <c r="Y1098" s="3"/>
      <c r="Z1098" s="3"/>
      <c r="AA1098" s="3"/>
      <c r="AB1098" s="1">
        <v>0</v>
      </c>
    </row>
    <row r="1099" spans="1:28" x14ac:dyDescent="0.3">
      <c r="A1099" s="1">
        <f t="shared" si="214"/>
        <v>9</v>
      </c>
      <c r="B1099" s="2">
        <v>19404985</v>
      </c>
      <c r="C1099" s="3" t="s">
        <v>458</v>
      </c>
      <c r="D1099" s="12" t="s">
        <v>40</v>
      </c>
      <c r="E1099" s="12" t="s">
        <v>40</v>
      </c>
      <c r="F1099" s="12"/>
      <c r="G1099" s="12"/>
      <c r="H1099" s="12" t="s">
        <v>40</v>
      </c>
      <c r="I1099" s="12" t="s">
        <v>40</v>
      </c>
      <c r="J1099" s="12"/>
      <c r="K1099" s="12"/>
      <c r="L1099" s="12">
        <v>0</v>
      </c>
      <c r="M1099" s="15">
        <f t="shared" si="212"/>
        <v>10</v>
      </c>
      <c r="N1099" s="15">
        <f t="shared" si="213"/>
        <v>0</v>
      </c>
      <c r="O1099" s="20"/>
      <c r="P1099" s="12">
        <f t="shared" si="211"/>
        <v>0</v>
      </c>
      <c r="Q1099" s="20"/>
      <c r="R1099" s="1">
        <v>19404985</v>
      </c>
      <c r="S1099" s="3" t="s">
        <v>458</v>
      </c>
      <c r="T1099" s="3" t="s">
        <v>502</v>
      </c>
      <c r="U1099" s="3"/>
      <c r="V1099" s="3" t="s">
        <v>186</v>
      </c>
      <c r="W1099" s="3"/>
      <c r="X1099" s="3" t="s">
        <v>183</v>
      </c>
      <c r="Y1099" s="3"/>
      <c r="Z1099" s="3"/>
      <c r="AA1099" s="3"/>
      <c r="AB1099" s="1">
        <v>0</v>
      </c>
    </row>
    <row r="1100" spans="1:28" x14ac:dyDescent="0.3">
      <c r="A1100" s="1">
        <f t="shared" si="214"/>
        <v>10</v>
      </c>
      <c r="B1100" s="2">
        <v>32125542</v>
      </c>
      <c r="C1100" s="3" t="s">
        <v>458</v>
      </c>
      <c r="D1100" s="12" t="s">
        <v>40</v>
      </c>
      <c r="E1100" s="12" t="s">
        <v>40</v>
      </c>
      <c r="F1100" s="12"/>
      <c r="G1100" s="12"/>
      <c r="H1100" s="12"/>
      <c r="I1100" s="12"/>
      <c r="J1100" s="12"/>
      <c r="K1100" s="12"/>
      <c r="L1100" s="12">
        <v>0</v>
      </c>
      <c r="M1100" s="15">
        <f t="shared" si="212"/>
        <v>2</v>
      </c>
      <c r="N1100" s="15">
        <f t="shared" si="213"/>
        <v>0</v>
      </c>
      <c r="O1100" s="20"/>
      <c r="P1100" s="12">
        <f t="shared" si="211"/>
        <v>0</v>
      </c>
      <c r="Q1100" s="20"/>
      <c r="R1100" s="1">
        <v>32125542</v>
      </c>
      <c r="S1100" s="3" t="s">
        <v>458</v>
      </c>
      <c r="T1100" s="3"/>
      <c r="U1100" s="3"/>
      <c r="V1100" s="3"/>
      <c r="W1100" s="3"/>
      <c r="X1100" s="3"/>
      <c r="Y1100" s="3"/>
      <c r="Z1100" s="3"/>
      <c r="AA1100" s="3"/>
      <c r="AB1100" s="1">
        <v>0</v>
      </c>
    </row>
    <row r="1101" spans="1:28" x14ac:dyDescent="0.3">
      <c r="A1101" s="1">
        <f t="shared" si="214"/>
        <v>11</v>
      </c>
      <c r="B1101" s="2">
        <v>18172534</v>
      </c>
      <c r="C1101" s="3" t="s">
        <v>458</v>
      </c>
      <c r="D1101" s="12" t="s">
        <v>40</v>
      </c>
      <c r="E1101" s="12" t="s">
        <v>40</v>
      </c>
      <c r="F1101" s="12"/>
      <c r="G1101" s="12"/>
      <c r="H1101" s="12" t="s">
        <v>40</v>
      </c>
      <c r="I1101" s="12"/>
      <c r="J1101" s="12"/>
      <c r="K1101" s="12"/>
      <c r="L1101" s="12">
        <v>0</v>
      </c>
      <c r="M1101" s="15">
        <f t="shared" si="212"/>
        <v>5</v>
      </c>
      <c r="N1101" s="15">
        <f t="shared" si="213"/>
        <v>0</v>
      </c>
      <c r="O1101" s="20"/>
      <c r="P1101" s="12">
        <f t="shared" si="211"/>
        <v>0</v>
      </c>
      <c r="Q1101" s="20"/>
      <c r="R1101" s="1">
        <v>18172534</v>
      </c>
      <c r="S1101" s="3" t="s">
        <v>458</v>
      </c>
      <c r="T1101" s="3"/>
      <c r="U1101" s="3"/>
      <c r="V1101" s="3"/>
      <c r="W1101" s="3"/>
      <c r="X1101" s="3"/>
      <c r="Y1101" s="3"/>
      <c r="Z1101" s="3"/>
      <c r="AA1101" s="3"/>
      <c r="AB1101" s="1">
        <v>0</v>
      </c>
    </row>
    <row r="1102" spans="1:28" x14ac:dyDescent="0.3">
      <c r="A1102" s="1">
        <f t="shared" si="214"/>
        <v>12</v>
      </c>
      <c r="B1102" s="2" t="s">
        <v>882</v>
      </c>
      <c r="C1102" s="3" t="s">
        <v>458</v>
      </c>
      <c r="D1102" s="12" t="s">
        <v>40</v>
      </c>
      <c r="E1102" s="12"/>
      <c r="F1102" s="12"/>
      <c r="G1102" s="12"/>
      <c r="H1102" s="12"/>
      <c r="I1102" s="12"/>
      <c r="J1102" s="12"/>
      <c r="K1102" s="12"/>
      <c r="L1102" s="12">
        <v>0</v>
      </c>
      <c r="M1102" s="15">
        <f t="shared" si="212"/>
        <v>1</v>
      </c>
      <c r="N1102" s="15">
        <f t="shared" si="213"/>
        <v>0</v>
      </c>
      <c r="O1102" s="20"/>
      <c r="P1102" s="12">
        <f t="shared" si="211"/>
        <v>0</v>
      </c>
      <c r="Q1102" s="20"/>
      <c r="R1102" s="1">
        <v>4405481</v>
      </c>
      <c r="S1102" s="3" t="s">
        <v>458</v>
      </c>
      <c r="T1102" s="3" t="s">
        <v>503</v>
      </c>
      <c r="U1102" s="3"/>
      <c r="V1102" s="3"/>
      <c r="W1102" s="3"/>
      <c r="X1102" s="3"/>
      <c r="Y1102" s="3"/>
      <c r="Z1102" s="3"/>
      <c r="AA1102" s="3"/>
      <c r="AB1102" s="1">
        <v>0</v>
      </c>
    </row>
    <row r="1103" spans="1:28" x14ac:dyDescent="0.3">
      <c r="A1103" s="1">
        <f t="shared" si="214"/>
        <v>13</v>
      </c>
      <c r="B1103" s="2">
        <v>18220972</v>
      </c>
      <c r="C1103" s="3" t="s">
        <v>458</v>
      </c>
      <c r="D1103" s="12" t="s">
        <v>40</v>
      </c>
      <c r="E1103" s="12" t="s">
        <v>40</v>
      </c>
      <c r="F1103" s="12"/>
      <c r="G1103" s="12"/>
      <c r="H1103" s="12"/>
      <c r="I1103" s="12"/>
      <c r="J1103" s="12"/>
      <c r="K1103" s="12"/>
      <c r="L1103" s="12">
        <v>0</v>
      </c>
      <c r="M1103" s="15">
        <f t="shared" si="212"/>
        <v>2</v>
      </c>
      <c r="N1103" s="15">
        <f t="shared" si="213"/>
        <v>0</v>
      </c>
      <c r="O1103" s="20"/>
      <c r="P1103" s="12">
        <f t="shared" si="211"/>
        <v>0</v>
      </c>
      <c r="Q1103" s="20"/>
      <c r="R1103" s="1">
        <v>18220972</v>
      </c>
      <c r="S1103" s="3" t="s">
        <v>458</v>
      </c>
      <c r="T1103" s="3"/>
      <c r="U1103" s="3"/>
      <c r="V1103" s="3"/>
      <c r="W1103" s="3"/>
      <c r="X1103" s="3"/>
      <c r="Y1103" s="3"/>
      <c r="Z1103" s="3"/>
      <c r="AA1103" s="3"/>
      <c r="AB1103" s="1">
        <v>0</v>
      </c>
    </row>
    <row r="1104" spans="1:28" x14ac:dyDescent="0.3">
      <c r="A1104" s="1">
        <f t="shared" si="214"/>
        <v>14</v>
      </c>
      <c r="B1104" s="2">
        <v>40193458</v>
      </c>
      <c r="C1104" s="3" t="s">
        <v>458</v>
      </c>
      <c r="D1104" s="12" t="s">
        <v>40</v>
      </c>
      <c r="E1104" s="12" t="s">
        <v>40</v>
      </c>
      <c r="F1104" s="12"/>
      <c r="G1104" s="12"/>
      <c r="H1104" s="12" t="s">
        <v>40</v>
      </c>
      <c r="I1104" s="12" t="s">
        <v>40</v>
      </c>
      <c r="J1104" s="12"/>
      <c r="K1104" s="12"/>
      <c r="L1104" s="12">
        <v>40926.6</v>
      </c>
      <c r="M1104" s="15">
        <f t="shared" si="212"/>
        <v>10</v>
      </c>
      <c r="N1104" s="15">
        <f t="shared" si="213"/>
        <v>0</v>
      </c>
      <c r="O1104" s="12">
        <v>40926.6</v>
      </c>
      <c r="P1104" s="12">
        <f t="shared" si="211"/>
        <v>3410.5499999999997</v>
      </c>
      <c r="Q1104" s="12">
        <f t="shared" ref="Q1104:Q1111" si="215">+O1104/12</f>
        <v>3410.5499999999997</v>
      </c>
      <c r="R1104" s="1">
        <v>40193458</v>
      </c>
      <c r="S1104" s="3" t="s">
        <v>458</v>
      </c>
      <c r="T1104" s="3"/>
      <c r="U1104" s="3"/>
      <c r="V1104" s="3"/>
      <c r="W1104" s="3"/>
      <c r="X1104" s="3"/>
      <c r="Y1104" s="3"/>
      <c r="Z1104" s="3"/>
      <c r="AA1104" s="3"/>
      <c r="AB1104" s="1">
        <v>0</v>
      </c>
    </row>
    <row r="1105" spans="1:28" x14ac:dyDescent="0.3">
      <c r="A1105" s="1">
        <f t="shared" si="214"/>
        <v>15</v>
      </c>
      <c r="B1105" s="2">
        <v>18857710</v>
      </c>
      <c r="C1105" s="3" t="s">
        <v>458</v>
      </c>
      <c r="D1105" s="12" t="s">
        <v>40</v>
      </c>
      <c r="E1105" s="12" t="s">
        <v>40</v>
      </c>
      <c r="F1105" s="12"/>
      <c r="G1105" s="12"/>
      <c r="H1105" s="12"/>
      <c r="I1105" s="12"/>
      <c r="J1105" s="12"/>
      <c r="K1105" s="12"/>
      <c r="L1105" s="12">
        <v>0</v>
      </c>
      <c r="M1105" s="15">
        <f t="shared" si="212"/>
        <v>2</v>
      </c>
      <c r="N1105" s="15">
        <f t="shared" si="213"/>
        <v>0</v>
      </c>
      <c r="O1105" s="20"/>
      <c r="P1105" s="12">
        <f t="shared" si="211"/>
        <v>0</v>
      </c>
      <c r="Q1105" s="20"/>
      <c r="R1105" s="1">
        <v>1885710</v>
      </c>
      <c r="S1105" s="3" t="s">
        <v>458</v>
      </c>
      <c r="T1105" s="3"/>
      <c r="U1105" s="3"/>
      <c r="V1105" s="3"/>
      <c r="W1105" s="3"/>
      <c r="X1105" s="3"/>
      <c r="Y1105" s="3"/>
      <c r="Z1105" s="3"/>
      <c r="AA1105" s="3"/>
      <c r="AB1105" s="1">
        <v>0</v>
      </c>
    </row>
    <row r="1106" spans="1:28" x14ac:dyDescent="0.3">
      <c r="A1106" s="1">
        <f t="shared" si="214"/>
        <v>16</v>
      </c>
      <c r="B1106" s="2">
        <v>18123441</v>
      </c>
      <c r="C1106" s="3" t="s">
        <v>458</v>
      </c>
      <c r="D1106" s="12" t="s">
        <v>40</v>
      </c>
      <c r="E1106" s="12" t="s">
        <v>40</v>
      </c>
      <c r="F1106" s="12"/>
      <c r="G1106" s="12"/>
      <c r="H1106" s="12" t="s">
        <v>40</v>
      </c>
      <c r="I1106" s="12"/>
      <c r="J1106" s="12"/>
      <c r="K1106" s="12"/>
      <c r="L1106" s="12">
        <v>0</v>
      </c>
      <c r="M1106" s="15">
        <f t="shared" si="212"/>
        <v>5</v>
      </c>
      <c r="N1106" s="15">
        <f t="shared" si="213"/>
        <v>0</v>
      </c>
      <c r="O1106" s="20"/>
      <c r="P1106" s="12">
        <f t="shared" si="211"/>
        <v>0</v>
      </c>
      <c r="Q1106" s="20"/>
      <c r="R1106" s="1">
        <v>18857710</v>
      </c>
      <c r="S1106" s="3" t="s">
        <v>458</v>
      </c>
      <c r="T1106" s="3" t="s">
        <v>460</v>
      </c>
      <c r="U1106" s="3"/>
      <c r="V1106" s="3"/>
      <c r="W1106" s="3"/>
      <c r="X1106" s="3"/>
      <c r="Y1106" s="3"/>
      <c r="Z1106" s="3"/>
      <c r="AA1106" s="3"/>
      <c r="AB1106" s="1">
        <v>1</v>
      </c>
    </row>
    <row r="1107" spans="1:28" x14ac:dyDescent="0.3">
      <c r="A1107" s="1">
        <f t="shared" si="214"/>
        <v>17</v>
      </c>
      <c r="B1107" s="2">
        <v>18049273</v>
      </c>
      <c r="C1107" s="3" t="s">
        <v>458</v>
      </c>
      <c r="D1107" s="12" t="s">
        <v>40</v>
      </c>
      <c r="E1107" s="12"/>
      <c r="F1107" s="12"/>
      <c r="G1107" s="12"/>
      <c r="H1107" s="12"/>
      <c r="I1107" s="12"/>
      <c r="J1107" s="12"/>
      <c r="K1107" s="12"/>
      <c r="L1107" s="12">
        <v>0</v>
      </c>
      <c r="M1107" s="15">
        <f t="shared" si="212"/>
        <v>1</v>
      </c>
      <c r="N1107" s="15">
        <f t="shared" si="213"/>
        <v>0</v>
      </c>
      <c r="O1107" s="20"/>
      <c r="P1107" s="12">
        <f t="shared" si="211"/>
        <v>0</v>
      </c>
      <c r="Q1107" s="20"/>
      <c r="R1107" s="1">
        <v>18049273</v>
      </c>
      <c r="S1107" s="3" t="s">
        <v>458</v>
      </c>
      <c r="T1107" s="3" t="s">
        <v>504</v>
      </c>
      <c r="U1107" s="3"/>
      <c r="V1107" s="3"/>
      <c r="W1107" s="3"/>
      <c r="X1107" s="3"/>
      <c r="Y1107" s="3"/>
      <c r="Z1107" s="3"/>
      <c r="AA1107" s="3"/>
      <c r="AB1107" s="1">
        <v>0</v>
      </c>
    </row>
    <row r="1108" spans="1:28" x14ac:dyDescent="0.3">
      <c r="A1108" s="1">
        <f t="shared" si="214"/>
        <v>18</v>
      </c>
      <c r="B1108" s="2">
        <v>17400951</v>
      </c>
      <c r="C1108" s="3" t="s">
        <v>458</v>
      </c>
      <c r="D1108" s="12" t="s">
        <v>40</v>
      </c>
      <c r="E1108" s="12"/>
      <c r="F1108" s="12"/>
      <c r="G1108" s="12"/>
      <c r="H1108" s="12"/>
      <c r="I1108" s="12"/>
      <c r="J1108" s="12"/>
      <c r="K1108" s="12"/>
      <c r="L1108" s="12">
        <v>0</v>
      </c>
      <c r="M1108" s="15">
        <f t="shared" si="212"/>
        <v>1</v>
      </c>
      <c r="N1108" s="15">
        <f t="shared" si="213"/>
        <v>0</v>
      </c>
      <c r="O1108" s="20"/>
      <c r="P1108" s="12">
        <f t="shared" si="211"/>
        <v>0</v>
      </c>
      <c r="Q1108" s="20"/>
      <c r="R1108" s="1">
        <v>17400951</v>
      </c>
      <c r="S1108" s="3" t="s">
        <v>458</v>
      </c>
      <c r="T1108" s="3" t="s">
        <v>186</v>
      </c>
      <c r="U1108" s="3"/>
      <c r="V1108" s="3"/>
      <c r="W1108" s="3"/>
      <c r="X1108" s="3"/>
      <c r="Y1108" s="3"/>
      <c r="Z1108" s="3"/>
      <c r="AA1108" s="3"/>
      <c r="AB1108" s="1">
        <v>0</v>
      </c>
    </row>
    <row r="1109" spans="1:28" x14ac:dyDescent="0.3">
      <c r="A1109" s="1">
        <f t="shared" si="214"/>
        <v>19</v>
      </c>
      <c r="B1109" s="2">
        <v>17432014</v>
      </c>
      <c r="C1109" s="3" t="s">
        <v>458</v>
      </c>
      <c r="D1109" s="12" t="s">
        <v>40</v>
      </c>
      <c r="E1109" s="12" t="s">
        <v>40</v>
      </c>
      <c r="F1109" s="12"/>
      <c r="G1109" s="12"/>
      <c r="H1109" s="12"/>
      <c r="I1109" s="12"/>
      <c r="J1109" s="12"/>
      <c r="K1109" s="12"/>
      <c r="L1109" s="12">
        <v>1025</v>
      </c>
      <c r="M1109" s="15">
        <f t="shared" si="212"/>
        <v>2</v>
      </c>
      <c r="N1109" s="15">
        <f t="shared" si="213"/>
        <v>0</v>
      </c>
      <c r="O1109" s="12">
        <v>1025</v>
      </c>
      <c r="P1109" s="12">
        <f t="shared" si="211"/>
        <v>85.416666666666671</v>
      </c>
      <c r="Q1109" s="12">
        <f t="shared" si="215"/>
        <v>85.416666666666671</v>
      </c>
      <c r="R1109" s="1">
        <v>17432014</v>
      </c>
      <c r="S1109" s="3" t="s">
        <v>458</v>
      </c>
      <c r="T1109" s="3"/>
      <c r="U1109" s="3"/>
      <c r="V1109" s="3"/>
      <c r="W1109" s="3"/>
      <c r="X1109" s="3"/>
      <c r="Y1109" s="3"/>
      <c r="Z1109" s="3"/>
      <c r="AA1109" s="3"/>
      <c r="AB1109" s="1">
        <v>0</v>
      </c>
    </row>
    <row r="1110" spans="1:28" x14ac:dyDescent="0.3">
      <c r="A1110" s="1">
        <f t="shared" si="214"/>
        <v>20</v>
      </c>
      <c r="B1110" s="2">
        <v>41338105</v>
      </c>
      <c r="C1110" s="3" t="s">
        <v>458</v>
      </c>
      <c r="D1110" s="12" t="s">
        <v>40</v>
      </c>
      <c r="E1110" s="12" t="s">
        <v>40</v>
      </c>
      <c r="F1110" s="12"/>
      <c r="G1110" s="12"/>
      <c r="H1110" s="12"/>
      <c r="I1110" s="12"/>
      <c r="J1110" s="12"/>
      <c r="K1110" s="12"/>
      <c r="L1110" s="12">
        <v>0</v>
      </c>
      <c r="M1110" s="15">
        <f t="shared" si="212"/>
        <v>2</v>
      </c>
      <c r="N1110" s="15">
        <f t="shared" si="213"/>
        <v>0</v>
      </c>
      <c r="O1110" s="20"/>
      <c r="P1110" s="12">
        <f t="shared" si="211"/>
        <v>0</v>
      </c>
      <c r="Q1110" s="20"/>
      <c r="R1110" s="1">
        <v>41338105</v>
      </c>
      <c r="S1110" s="3" t="s">
        <v>458</v>
      </c>
      <c r="T1110" s="3" t="s">
        <v>505</v>
      </c>
      <c r="U1110" s="3"/>
      <c r="V1110" s="3"/>
      <c r="W1110" s="3"/>
      <c r="X1110" s="3"/>
      <c r="Y1110" s="3"/>
      <c r="Z1110" s="3"/>
      <c r="AA1110" s="3"/>
      <c r="AB1110" s="1">
        <v>1</v>
      </c>
    </row>
    <row r="1111" spans="1:28" x14ac:dyDescent="0.3">
      <c r="A1111" s="1">
        <f t="shared" si="214"/>
        <v>21</v>
      </c>
      <c r="B1111" s="2">
        <v>10095860</v>
      </c>
      <c r="C1111" s="3" t="s">
        <v>458</v>
      </c>
      <c r="D1111" s="12"/>
      <c r="E1111" s="12"/>
      <c r="F1111" s="12"/>
      <c r="G1111" s="12"/>
      <c r="H1111" s="12"/>
      <c r="I1111" s="12"/>
      <c r="J1111" s="12"/>
      <c r="K1111" s="12"/>
      <c r="L1111" s="12">
        <v>525.04999999999995</v>
      </c>
      <c r="M1111" s="15">
        <f t="shared" si="212"/>
        <v>0</v>
      </c>
      <c r="N1111" s="15">
        <f t="shared" si="213"/>
        <v>0</v>
      </c>
      <c r="O1111" s="12">
        <v>525.04999999999995</v>
      </c>
      <c r="P1111" s="12">
        <f t="shared" si="211"/>
        <v>43.754166666666663</v>
      </c>
      <c r="Q1111" s="12">
        <f t="shared" si="215"/>
        <v>43.754166666666663</v>
      </c>
      <c r="R1111" s="1">
        <v>10095860</v>
      </c>
      <c r="S1111" s="3" t="s">
        <v>458</v>
      </c>
      <c r="T1111" s="3" t="s">
        <v>506</v>
      </c>
      <c r="U1111" s="3"/>
      <c r="V1111" s="3" t="s">
        <v>442</v>
      </c>
      <c r="W1111" s="3"/>
      <c r="X1111" s="3"/>
      <c r="Y1111" s="3"/>
      <c r="Z1111" s="3"/>
      <c r="AA1111" s="3"/>
      <c r="AB1111" s="1">
        <v>1</v>
      </c>
    </row>
    <row r="1112" spans="1:28" x14ac:dyDescent="0.3">
      <c r="A1112" s="1">
        <f t="shared" si="214"/>
        <v>22</v>
      </c>
      <c r="B1112" s="2">
        <v>32136631</v>
      </c>
      <c r="C1112" s="3" t="s">
        <v>458</v>
      </c>
      <c r="D1112" s="12" t="s">
        <v>40</v>
      </c>
      <c r="E1112" s="12" t="s">
        <v>40</v>
      </c>
      <c r="F1112" s="12"/>
      <c r="G1112" s="12"/>
      <c r="H1112" s="12"/>
      <c r="I1112" s="12"/>
      <c r="J1112" s="12"/>
      <c r="K1112" s="12"/>
      <c r="L1112" s="12">
        <v>0</v>
      </c>
      <c r="M1112" s="15">
        <f t="shared" si="212"/>
        <v>2</v>
      </c>
      <c r="N1112" s="15">
        <f t="shared" si="213"/>
        <v>0</v>
      </c>
      <c r="O1112" s="20"/>
      <c r="P1112" s="12">
        <f t="shared" si="211"/>
        <v>0</v>
      </c>
      <c r="Q1112" s="20"/>
      <c r="R1112" s="1">
        <v>32136631</v>
      </c>
      <c r="S1112" s="3" t="s">
        <v>458</v>
      </c>
      <c r="T1112" s="3"/>
      <c r="U1112" s="3"/>
      <c r="V1112" s="3"/>
      <c r="W1112" s="3"/>
      <c r="X1112" s="3"/>
      <c r="Y1112" s="3"/>
      <c r="Z1112" s="3"/>
      <c r="AA1112" s="3"/>
      <c r="AB1112" s="1">
        <v>0</v>
      </c>
    </row>
    <row r="1113" spans="1:28" x14ac:dyDescent="0.3">
      <c r="A1113" s="1">
        <f t="shared" si="214"/>
        <v>23</v>
      </c>
      <c r="B1113" s="2">
        <v>32115620</v>
      </c>
      <c r="C1113" s="3" t="s">
        <v>458</v>
      </c>
      <c r="D1113" s="12" t="s">
        <v>40</v>
      </c>
      <c r="E1113" s="12" t="s">
        <v>40</v>
      </c>
      <c r="F1113" s="12"/>
      <c r="G1113" s="12"/>
      <c r="H1113" s="12"/>
      <c r="I1113" s="12"/>
      <c r="J1113" s="12"/>
      <c r="K1113" s="12"/>
      <c r="L1113" s="12">
        <v>0</v>
      </c>
      <c r="M1113" s="15">
        <f t="shared" si="212"/>
        <v>2</v>
      </c>
      <c r="N1113" s="15">
        <f t="shared" si="213"/>
        <v>0</v>
      </c>
      <c r="O1113" s="20"/>
      <c r="P1113" s="12">
        <f t="shared" si="211"/>
        <v>0</v>
      </c>
      <c r="Q1113" s="20"/>
      <c r="R1113" s="1">
        <v>32115620</v>
      </c>
      <c r="S1113" s="3" t="s">
        <v>458</v>
      </c>
      <c r="T1113" s="3" t="s">
        <v>507</v>
      </c>
      <c r="U1113" s="3"/>
      <c r="V1113" s="3"/>
      <c r="W1113" s="3"/>
      <c r="X1113" s="3"/>
      <c r="Y1113" s="3"/>
      <c r="Z1113" s="3"/>
      <c r="AA1113" s="3"/>
      <c r="AB1113" s="1">
        <v>0</v>
      </c>
    </row>
    <row r="1114" spans="1:28" x14ac:dyDescent="0.3">
      <c r="A1114" s="1">
        <f t="shared" si="214"/>
        <v>24</v>
      </c>
      <c r="B1114" s="2">
        <v>17433476</v>
      </c>
      <c r="C1114" s="3" t="s">
        <v>458</v>
      </c>
      <c r="D1114" s="12" t="s">
        <v>40</v>
      </c>
      <c r="E1114" s="12" t="s">
        <v>40</v>
      </c>
      <c r="F1114" s="12"/>
      <c r="G1114" s="12"/>
      <c r="H1114" s="12"/>
      <c r="I1114" s="12"/>
      <c r="J1114" s="12"/>
      <c r="K1114" s="12"/>
      <c r="L1114" s="12">
        <v>0</v>
      </c>
      <c r="M1114" s="15">
        <f t="shared" si="212"/>
        <v>2</v>
      </c>
      <c r="N1114" s="15">
        <f t="shared" si="213"/>
        <v>0</v>
      </c>
      <c r="O1114" s="20"/>
      <c r="P1114" s="12">
        <f t="shared" si="211"/>
        <v>0</v>
      </c>
      <c r="Q1114" s="20"/>
      <c r="R1114" s="1">
        <v>17433476</v>
      </c>
      <c r="S1114" s="3" t="s">
        <v>458</v>
      </c>
      <c r="T1114" s="3" t="s">
        <v>288</v>
      </c>
      <c r="U1114" s="3"/>
      <c r="V1114" s="3"/>
      <c r="W1114" s="3"/>
      <c r="X1114" s="3"/>
      <c r="Y1114" s="3"/>
      <c r="Z1114" s="3"/>
      <c r="AA1114" s="3"/>
      <c r="AB1114" s="1">
        <v>1</v>
      </c>
    </row>
    <row r="1115" spans="1:28" x14ac:dyDescent="0.3">
      <c r="A1115" s="1">
        <f t="shared" si="214"/>
        <v>25</v>
      </c>
      <c r="B1115" s="2" t="s">
        <v>883</v>
      </c>
      <c r="C1115" s="3" t="s">
        <v>458</v>
      </c>
      <c r="D1115" s="12" t="s">
        <v>40</v>
      </c>
      <c r="E1115" s="12" t="s">
        <v>40</v>
      </c>
      <c r="F1115" s="12"/>
      <c r="G1115" s="12"/>
      <c r="H1115" s="12"/>
      <c r="I1115" s="12"/>
      <c r="J1115" s="12"/>
      <c r="K1115" s="12"/>
      <c r="L1115" s="12">
        <v>0</v>
      </c>
      <c r="M1115" s="15">
        <f t="shared" si="212"/>
        <v>2</v>
      </c>
      <c r="N1115" s="15">
        <f t="shared" si="213"/>
        <v>0</v>
      </c>
      <c r="O1115" s="20"/>
      <c r="P1115" s="12">
        <f t="shared" si="211"/>
        <v>0</v>
      </c>
      <c r="Q1115" s="20"/>
      <c r="R1115" s="1">
        <v>8680275</v>
      </c>
      <c r="S1115" s="3" t="s">
        <v>458</v>
      </c>
      <c r="T1115" s="3" t="s">
        <v>508</v>
      </c>
      <c r="U1115" s="3"/>
      <c r="V1115" s="3"/>
      <c r="W1115" s="3"/>
      <c r="X1115" s="3"/>
      <c r="Y1115" s="3"/>
      <c r="Z1115" s="3"/>
      <c r="AA1115" s="3"/>
      <c r="AB1115" s="1">
        <v>0</v>
      </c>
    </row>
    <row r="1116" spans="1:28" x14ac:dyDescent="0.3">
      <c r="A1116" s="1">
        <f t="shared" si="214"/>
        <v>26</v>
      </c>
      <c r="B1116" s="2">
        <v>32122946</v>
      </c>
      <c r="C1116" s="3" t="s">
        <v>458</v>
      </c>
      <c r="D1116" s="12" t="s">
        <v>40</v>
      </c>
      <c r="E1116" s="12" t="s">
        <v>40</v>
      </c>
      <c r="F1116" s="12"/>
      <c r="G1116" s="12"/>
      <c r="H1116" s="12"/>
      <c r="I1116" s="12"/>
      <c r="J1116" s="12"/>
      <c r="K1116" s="12"/>
      <c r="L1116" s="12">
        <v>0</v>
      </c>
      <c r="M1116" s="15">
        <f t="shared" si="212"/>
        <v>2</v>
      </c>
      <c r="N1116" s="15">
        <f t="shared" si="213"/>
        <v>0</v>
      </c>
      <c r="O1116" s="20"/>
      <c r="P1116" s="12">
        <f t="shared" si="211"/>
        <v>0</v>
      </c>
      <c r="Q1116" s="20"/>
      <c r="R1116" s="1">
        <v>32122946</v>
      </c>
      <c r="S1116" s="3" t="s">
        <v>458</v>
      </c>
      <c r="T1116" s="3" t="s">
        <v>509</v>
      </c>
      <c r="U1116" s="3"/>
      <c r="V1116" s="3" t="s">
        <v>510</v>
      </c>
      <c r="W1116" s="3"/>
      <c r="X1116" s="3" t="s">
        <v>511</v>
      </c>
      <c r="Y1116" s="3"/>
      <c r="Z1116" s="3"/>
      <c r="AA1116" s="3"/>
      <c r="AB1116" s="1">
        <v>1</v>
      </c>
    </row>
    <row r="1117" spans="1:28" x14ac:dyDescent="0.3">
      <c r="A1117" s="1">
        <f t="shared" si="214"/>
        <v>27</v>
      </c>
      <c r="B1117" s="2" t="s">
        <v>884</v>
      </c>
      <c r="C1117" s="3" t="s">
        <v>458</v>
      </c>
      <c r="D1117" s="12" t="s">
        <v>40</v>
      </c>
      <c r="E1117" s="12" t="s">
        <v>40</v>
      </c>
      <c r="F1117" s="12"/>
      <c r="G1117" s="12"/>
      <c r="H1117" s="12"/>
      <c r="I1117" s="12"/>
      <c r="J1117" s="12"/>
      <c r="K1117" s="12"/>
      <c r="L1117" s="12">
        <v>0</v>
      </c>
      <c r="M1117" s="15">
        <f t="shared" si="212"/>
        <v>2</v>
      </c>
      <c r="N1117" s="15">
        <f t="shared" si="213"/>
        <v>0</v>
      </c>
      <c r="O1117" s="20"/>
      <c r="P1117" s="12">
        <f t="shared" si="211"/>
        <v>0</v>
      </c>
      <c r="Q1117" s="20"/>
      <c r="R1117" s="1">
        <v>9263905</v>
      </c>
      <c r="S1117" s="3" t="s">
        <v>458</v>
      </c>
      <c r="T1117" s="3"/>
      <c r="U1117" s="3"/>
      <c r="V1117" s="3"/>
      <c r="W1117" s="3"/>
      <c r="X1117" s="3"/>
      <c r="Y1117" s="3"/>
      <c r="Z1117" s="3"/>
      <c r="AA1117" s="3"/>
      <c r="AB1117" s="1">
        <v>0</v>
      </c>
    </row>
    <row r="1118" spans="1:28" x14ac:dyDescent="0.3">
      <c r="A1118" s="1">
        <f t="shared" si="214"/>
        <v>28</v>
      </c>
      <c r="B1118" s="2">
        <v>32136253</v>
      </c>
      <c r="C1118" s="3" t="s">
        <v>458</v>
      </c>
      <c r="D1118" s="12" t="s">
        <v>40</v>
      </c>
      <c r="E1118" s="12" t="s">
        <v>40</v>
      </c>
      <c r="F1118" s="12"/>
      <c r="G1118" s="12"/>
      <c r="H1118" s="12"/>
      <c r="I1118" s="12"/>
      <c r="J1118" s="12"/>
      <c r="K1118" s="12"/>
      <c r="L1118" s="12">
        <v>0</v>
      </c>
      <c r="M1118" s="15">
        <f t="shared" si="212"/>
        <v>2</v>
      </c>
      <c r="N1118" s="15">
        <f t="shared" si="213"/>
        <v>0</v>
      </c>
      <c r="O1118" s="20"/>
      <c r="P1118" s="12">
        <f t="shared" si="211"/>
        <v>0</v>
      </c>
      <c r="Q1118" s="20"/>
      <c r="R1118" s="1">
        <v>32136253</v>
      </c>
      <c r="S1118" s="3" t="s">
        <v>458</v>
      </c>
      <c r="T1118" s="3" t="s">
        <v>512</v>
      </c>
      <c r="U1118" s="3"/>
      <c r="V1118" s="3"/>
      <c r="W1118" s="3"/>
      <c r="X1118" s="3"/>
      <c r="Y1118" s="3"/>
      <c r="Z1118" s="3"/>
      <c r="AA1118" s="3"/>
      <c r="AB1118" s="1">
        <v>0</v>
      </c>
    </row>
    <row r="1119" spans="1:28" x14ac:dyDescent="0.3">
      <c r="A1119" s="1">
        <f t="shared" si="214"/>
        <v>29</v>
      </c>
      <c r="B1119" s="2">
        <v>32125755</v>
      </c>
      <c r="C1119" s="3" t="s">
        <v>458</v>
      </c>
      <c r="D1119" s="12" t="s">
        <v>40</v>
      </c>
      <c r="E1119" s="12" t="s">
        <v>40</v>
      </c>
      <c r="F1119" s="12"/>
      <c r="G1119" s="12"/>
      <c r="H1119" s="12"/>
      <c r="I1119" s="12"/>
      <c r="J1119" s="12"/>
      <c r="K1119" s="12"/>
      <c r="L1119" s="12">
        <v>0</v>
      </c>
      <c r="M1119" s="15">
        <f t="shared" si="212"/>
        <v>2</v>
      </c>
      <c r="N1119" s="15">
        <f t="shared" si="213"/>
        <v>0</v>
      </c>
      <c r="O1119" s="20"/>
      <c r="P1119" s="12">
        <f t="shared" si="211"/>
        <v>0</v>
      </c>
      <c r="Q1119" s="20"/>
      <c r="R1119" s="1">
        <v>32125755</v>
      </c>
      <c r="S1119" s="3" t="s">
        <v>458</v>
      </c>
      <c r="T1119" s="3" t="s">
        <v>415</v>
      </c>
      <c r="U1119" s="3"/>
      <c r="V1119" s="3" t="s">
        <v>185</v>
      </c>
      <c r="W1119" s="3"/>
      <c r="X1119" s="3" t="s">
        <v>513</v>
      </c>
      <c r="Y1119" s="3"/>
      <c r="Z1119" s="3" t="s">
        <v>514</v>
      </c>
      <c r="AA1119" s="3"/>
      <c r="AB1119" s="1">
        <v>1</v>
      </c>
    </row>
    <row r="1120" spans="1:28" x14ac:dyDescent="0.3">
      <c r="A1120" s="1">
        <f t="shared" si="214"/>
        <v>30</v>
      </c>
      <c r="B1120" s="2">
        <v>10778814</v>
      </c>
      <c r="C1120" s="3" t="s">
        <v>458</v>
      </c>
      <c r="D1120" s="12" t="s">
        <v>40</v>
      </c>
      <c r="E1120" s="12" t="s">
        <v>40</v>
      </c>
      <c r="F1120" s="12"/>
      <c r="G1120" s="12"/>
      <c r="H1120" s="12"/>
      <c r="I1120" s="12"/>
      <c r="J1120" s="12"/>
      <c r="K1120" s="12"/>
      <c r="L1120" s="12">
        <v>0</v>
      </c>
      <c r="M1120" s="15">
        <f t="shared" si="212"/>
        <v>2</v>
      </c>
      <c r="N1120" s="15">
        <f t="shared" si="213"/>
        <v>0</v>
      </c>
      <c r="O1120" s="20"/>
      <c r="P1120" s="12">
        <f t="shared" si="211"/>
        <v>0</v>
      </c>
      <c r="Q1120" s="20"/>
      <c r="R1120" s="1">
        <v>10778814</v>
      </c>
      <c r="S1120" s="3" t="s">
        <v>458</v>
      </c>
      <c r="T1120" s="3" t="s">
        <v>515</v>
      </c>
      <c r="U1120" s="3"/>
      <c r="V1120" s="3"/>
      <c r="W1120" s="3"/>
      <c r="X1120" s="3"/>
      <c r="Y1120" s="3"/>
      <c r="Z1120" s="3"/>
      <c r="AA1120" s="3"/>
      <c r="AB1120" s="1">
        <v>1</v>
      </c>
    </row>
    <row r="1121" spans="1:21" x14ac:dyDescent="0.3">
      <c r="B1121" s="29"/>
      <c r="D1121"/>
      <c r="E1121"/>
      <c r="F1121"/>
      <c r="G1121"/>
      <c r="H1121"/>
      <c r="I1121"/>
      <c r="J1121"/>
      <c r="L1121" s="14">
        <f>+AVERAGE(L1091:L1120)</f>
        <v>3615.8883333333338</v>
      </c>
      <c r="M1121" s="14">
        <f>+AVERAGE(M1091:M1120)</f>
        <v>3.2666666666666666</v>
      </c>
      <c r="N1121" s="14">
        <f>+SUM(N1091:N1120)</f>
        <v>0</v>
      </c>
      <c r="O1121" s="14">
        <f>+AVERAGE(O1091:O1120)</f>
        <v>14158.883333333333</v>
      </c>
      <c r="P1121" s="14">
        <f>+AVERAGE(P1091:P1120)</f>
        <v>301.32402777777776</v>
      </c>
      <c r="Q1121" s="14">
        <f>+AVERAGE(Q1091:Q1120)</f>
        <v>1179.9069444444442</v>
      </c>
    </row>
    <row r="1122" spans="1:21" x14ac:dyDescent="0.3">
      <c r="D1122"/>
      <c r="E1122"/>
      <c r="F1122"/>
      <c r="G1122"/>
      <c r="H1122"/>
      <c r="I1122"/>
      <c r="J1122"/>
      <c r="L1122" s="14">
        <f>+STDEV(L1091:L1120)</f>
        <v>13945.798325201276</v>
      </c>
      <c r="M1122" s="14">
        <f>+STDEV(M1091:M1120)</f>
        <v>2.7659672291340831</v>
      </c>
      <c r="N1122" s="17"/>
      <c r="O1122" s="14">
        <f>+STDEV(O1091:O1120)</f>
        <v>23182.870382263569</v>
      </c>
      <c r="P1122" s="14">
        <f>+STDEV(P1091:P1120)</f>
        <v>1162.1498604334397</v>
      </c>
      <c r="Q1122" s="14">
        <f>+STDEV(Q1091:Q1120)</f>
        <v>1931.9058651886305</v>
      </c>
    </row>
    <row r="1123" spans="1:21" x14ac:dyDescent="0.3">
      <c r="D1123"/>
      <c r="E1123"/>
      <c r="F1123"/>
      <c r="G1123"/>
      <c r="H1123"/>
      <c r="I1123" s="15"/>
      <c r="J1123" s="15"/>
      <c r="K1123" s="11" t="s">
        <v>75</v>
      </c>
      <c r="L1123" s="14">
        <f>+COUNTIF(L1091:L1120,0)</f>
        <v>26</v>
      </c>
      <c r="M1123" s="14">
        <f>+COUNT(M1091:M1120)</f>
        <v>30</v>
      </c>
      <c r="P1123" s="14">
        <f>+COUNTIF(P1091:P1120,0)</f>
        <v>26</v>
      </c>
    </row>
    <row r="1124" spans="1:21" x14ac:dyDescent="0.3">
      <c r="D1124"/>
      <c r="E1124"/>
      <c r="F1124"/>
      <c r="G1124"/>
      <c r="H1124"/>
      <c r="I1124"/>
      <c r="J1124"/>
    </row>
    <row r="1125" spans="1:21" x14ac:dyDescent="0.3">
      <c r="A1125" s="1">
        <v>1</v>
      </c>
      <c r="B1125" s="2">
        <v>40728264</v>
      </c>
      <c r="C1125" s="3" t="s">
        <v>459</v>
      </c>
      <c r="D1125" s="12" t="s">
        <v>40</v>
      </c>
      <c r="E1125" s="12" t="s">
        <v>40</v>
      </c>
      <c r="F1125" s="12"/>
      <c r="G1125" s="12"/>
      <c r="H1125" s="12" t="s">
        <v>40</v>
      </c>
      <c r="I1125" s="12"/>
      <c r="J1125" s="12"/>
      <c r="K1125" s="12"/>
      <c r="L1125" s="12">
        <v>320676</v>
      </c>
      <c r="M1125" s="15">
        <f>+IF(D1125="X",1,0)+IF(E1125="X",1,0)+IF(F1125="X",2,0)+IF(G1125="X",2,0)+IF(H1125="X",3,IF(H1125="Y",1.5,0))+IF(I1125="X",5,IF(I1125="Y",2.5,0))+IF(J1125="X1",10,IF(J1125="X2",5,IF(J1125="X3",3,0)))</f>
        <v>5</v>
      </c>
      <c r="N1125" s="15">
        <f>+IF(K1125="X",1,0)</f>
        <v>0</v>
      </c>
      <c r="O1125" s="12">
        <v>320676</v>
      </c>
      <c r="P1125" s="12">
        <f t="shared" ref="P1125:P1154" si="216">+L1125/12</f>
        <v>26723</v>
      </c>
      <c r="Q1125" s="12">
        <f t="shared" ref="Q1125:Q1154" si="217">+O1125/12</f>
        <v>26723</v>
      </c>
      <c r="R1125" t="s">
        <v>460</v>
      </c>
    </row>
    <row r="1126" spans="1:21" x14ac:dyDescent="0.3">
      <c r="A1126" s="1">
        <f>+A1125+1</f>
        <v>2</v>
      </c>
      <c r="B1126" s="2">
        <v>29567624</v>
      </c>
      <c r="C1126" s="3" t="s">
        <v>459</v>
      </c>
      <c r="D1126" s="12" t="s">
        <v>40</v>
      </c>
      <c r="E1126" s="12" t="s">
        <v>40</v>
      </c>
      <c r="F1126" s="12"/>
      <c r="G1126" s="12"/>
      <c r="H1126" s="12" t="s">
        <v>40</v>
      </c>
      <c r="I1126" s="12"/>
      <c r="J1126" s="12"/>
      <c r="K1126" s="12"/>
      <c r="L1126" s="12">
        <v>14820</v>
      </c>
      <c r="M1126" s="15">
        <f t="shared" ref="M1126:M1154" si="218">+IF(D1126="X",1,0)+IF(E1126="X",1,0)+IF(F1126="X",2,0)+IF(G1126="X",2,0)+IF(H1126="X",3,IF(H1126="Y",1.5,0))+IF(I1126="X",5,IF(I1126="Y",2.5,0))+IF(J1126="X1",10,IF(J1126="X2",5,IF(J1126="X3",3,0)))</f>
        <v>5</v>
      </c>
      <c r="N1126" s="15">
        <f t="shared" ref="N1126:N1154" si="219">+IF(K1126="X",1,0)</f>
        <v>0</v>
      </c>
      <c r="O1126" s="12">
        <v>14820</v>
      </c>
      <c r="P1126" s="12">
        <f t="shared" si="216"/>
        <v>1235</v>
      </c>
      <c r="Q1126" s="12">
        <f t="shared" si="217"/>
        <v>1235</v>
      </c>
    </row>
    <row r="1127" spans="1:21" x14ac:dyDescent="0.3">
      <c r="A1127" s="1">
        <f t="shared" ref="A1127:A1154" si="220">+A1126+1</f>
        <v>3</v>
      </c>
      <c r="B1127" s="2">
        <v>18113682</v>
      </c>
      <c r="C1127" s="3" t="s">
        <v>459</v>
      </c>
      <c r="D1127" s="12" t="s">
        <v>40</v>
      </c>
      <c r="E1127" s="12" t="s">
        <v>40</v>
      </c>
      <c r="F1127" s="12"/>
      <c r="G1127" s="12" t="s">
        <v>40</v>
      </c>
      <c r="H1127" s="12" t="s">
        <v>40</v>
      </c>
      <c r="I1127" s="12" t="s">
        <v>40</v>
      </c>
      <c r="J1127" s="12"/>
      <c r="K1127" s="12"/>
      <c r="L1127" s="12">
        <v>164433</v>
      </c>
      <c r="M1127" s="15">
        <f t="shared" si="218"/>
        <v>12</v>
      </c>
      <c r="N1127" s="15">
        <f t="shared" si="219"/>
        <v>0</v>
      </c>
      <c r="O1127" s="12">
        <v>164433</v>
      </c>
      <c r="P1127" s="12">
        <f t="shared" si="216"/>
        <v>13702.75</v>
      </c>
      <c r="Q1127" s="12">
        <f t="shared" si="217"/>
        <v>13702.75</v>
      </c>
    </row>
    <row r="1128" spans="1:21" x14ac:dyDescent="0.3">
      <c r="A1128" s="1">
        <f t="shared" si="220"/>
        <v>4</v>
      </c>
      <c r="B1128" s="2">
        <v>31188558</v>
      </c>
      <c r="C1128" s="3" t="s">
        <v>459</v>
      </c>
      <c r="D1128" s="12" t="s">
        <v>40</v>
      </c>
      <c r="E1128" s="12" t="s">
        <v>40</v>
      </c>
      <c r="F1128" s="12"/>
      <c r="G1128" s="12"/>
      <c r="H1128" s="12" t="s">
        <v>40</v>
      </c>
      <c r="I1128" s="12"/>
      <c r="J1128" s="12"/>
      <c r="K1128" s="12"/>
      <c r="L1128" s="12">
        <v>10000</v>
      </c>
      <c r="M1128" s="15">
        <f t="shared" si="218"/>
        <v>5</v>
      </c>
      <c r="N1128" s="15">
        <f t="shared" si="219"/>
        <v>0</v>
      </c>
      <c r="O1128" s="12">
        <v>10000</v>
      </c>
      <c r="P1128" s="12">
        <f t="shared" si="216"/>
        <v>833.33333333333337</v>
      </c>
      <c r="Q1128" s="12">
        <f t="shared" si="217"/>
        <v>833.33333333333337</v>
      </c>
    </row>
    <row r="1129" spans="1:21" x14ac:dyDescent="0.3">
      <c r="A1129" s="1">
        <f t="shared" si="220"/>
        <v>5</v>
      </c>
      <c r="B1129" s="2" t="s">
        <v>823</v>
      </c>
      <c r="C1129" s="3" t="s">
        <v>459</v>
      </c>
      <c r="D1129" s="50" t="s">
        <v>40</v>
      </c>
      <c r="E1129" s="50" t="s">
        <v>40</v>
      </c>
      <c r="F1129" s="50"/>
      <c r="G1129" s="50"/>
      <c r="H1129" s="50" t="s">
        <v>40</v>
      </c>
      <c r="I1129" s="50" t="s">
        <v>40</v>
      </c>
      <c r="J1129" s="50" t="s">
        <v>896</v>
      </c>
      <c r="K1129" s="12"/>
      <c r="L1129" s="12">
        <v>339000</v>
      </c>
      <c r="M1129" s="15">
        <f t="shared" si="218"/>
        <v>20</v>
      </c>
      <c r="N1129" s="15">
        <f t="shared" si="219"/>
        <v>0</v>
      </c>
      <c r="O1129" s="12">
        <v>339000</v>
      </c>
      <c r="P1129" s="12">
        <f t="shared" si="216"/>
        <v>28250</v>
      </c>
      <c r="Q1129" s="12">
        <f t="shared" si="217"/>
        <v>28250</v>
      </c>
    </row>
    <row r="1130" spans="1:21" x14ac:dyDescent="0.3">
      <c r="A1130" s="1">
        <f t="shared" si="220"/>
        <v>6</v>
      </c>
      <c r="B1130" s="2" t="s">
        <v>824</v>
      </c>
      <c r="C1130" s="3" t="s">
        <v>459</v>
      </c>
      <c r="D1130" s="12" t="s">
        <v>40</v>
      </c>
      <c r="E1130" s="12" t="s">
        <v>40</v>
      </c>
      <c r="F1130" s="12"/>
      <c r="G1130" s="12"/>
      <c r="H1130" s="12" t="s">
        <v>40</v>
      </c>
      <c r="I1130" s="12"/>
      <c r="J1130" s="12"/>
      <c r="K1130" s="12"/>
      <c r="L1130" s="12">
        <v>664756.64</v>
      </c>
      <c r="M1130" s="15">
        <f t="shared" si="218"/>
        <v>5</v>
      </c>
      <c r="N1130" s="15">
        <f t="shared" si="219"/>
        <v>0</v>
      </c>
      <c r="O1130" s="20"/>
      <c r="P1130" s="12">
        <f t="shared" si="216"/>
        <v>55396.386666666665</v>
      </c>
      <c r="Q1130" s="20"/>
      <c r="U1130" t="s">
        <v>822</v>
      </c>
    </row>
    <row r="1131" spans="1:21" x14ac:dyDescent="0.3">
      <c r="A1131" s="1">
        <f t="shared" si="220"/>
        <v>7</v>
      </c>
      <c r="B1131" s="2">
        <v>43315918</v>
      </c>
      <c r="C1131" s="3" t="s">
        <v>459</v>
      </c>
      <c r="D1131" s="12" t="s">
        <v>40</v>
      </c>
      <c r="E1131" s="12" t="s">
        <v>40</v>
      </c>
      <c r="F1131" s="12"/>
      <c r="G1131" s="12"/>
      <c r="H1131" s="12" t="s">
        <v>40</v>
      </c>
      <c r="I1131" s="12" t="s">
        <v>40</v>
      </c>
      <c r="J1131" s="12"/>
      <c r="K1131" s="12"/>
      <c r="L1131" s="12">
        <v>191190.78</v>
      </c>
      <c r="M1131" s="15">
        <f t="shared" si="218"/>
        <v>10</v>
      </c>
      <c r="N1131" s="15">
        <f t="shared" si="219"/>
        <v>0</v>
      </c>
      <c r="O1131" s="12">
        <v>191190.78</v>
      </c>
      <c r="P1131" s="12">
        <f t="shared" si="216"/>
        <v>15932.565000000001</v>
      </c>
      <c r="Q1131" s="12">
        <f t="shared" si="217"/>
        <v>15932.565000000001</v>
      </c>
    </row>
    <row r="1132" spans="1:21" x14ac:dyDescent="0.3">
      <c r="A1132" s="1">
        <f t="shared" si="220"/>
        <v>8</v>
      </c>
      <c r="B1132" s="2" t="s">
        <v>825</v>
      </c>
      <c r="C1132" s="3" t="s">
        <v>459</v>
      </c>
      <c r="D1132" s="12" t="s">
        <v>40</v>
      </c>
      <c r="E1132" s="12" t="s">
        <v>40</v>
      </c>
      <c r="F1132" s="12"/>
      <c r="G1132" s="12"/>
      <c r="H1132" s="12" t="s">
        <v>40</v>
      </c>
      <c r="I1132" s="12"/>
      <c r="J1132" s="12"/>
      <c r="K1132" s="12"/>
      <c r="L1132" s="12">
        <v>494314.83</v>
      </c>
      <c r="M1132" s="15">
        <f t="shared" si="218"/>
        <v>5</v>
      </c>
      <c r="N1132" s="15">
        <f t="shared" si="219"/>
        <v>0</v>
      </c>
      <c r="O1132" s="12">
        <v>494314.83</v>
      </c>
      <c r="P1132" s="12">
        <f t="shared" si="216"/>
        <v>41192.902500000004</v>
      </c>
      <c r="Q1132" s="12">
        <f t="shared" si="217"/>
        <v>41192.902500000004</v>
      </c>
    </row>
    <row r="1133" spans="1:21" x14ac:dyDescent="0.3">
      <c r="A1133" s="1">
        <f t="shared" si="220"/>
        <v>9</v>
      </c>
      <c r="B1133" s="2">
        <v>25470735</v>
      </c>
      <c r="C1133" s="3" t="s">
        <v>459</v>
      </c>
      <c r="D1133" s="12" t="s">
        <v>40</v>
      </c>
      <c r="E1133" s="12" t="s">
        <v>40</v>
      </c>
      <c r="F1133" s="12"/>
      <c r="G1133" s="12"/>
      <c r="H1133" s="12" t="s">
        <v>40</v>
      </c>
      <c r="I1133" s="12"/>
      <c r="J1133" s="12"/>
      <c r="K1133" s="12"/>
      <c r="L1133" s="12">
        <v>104200</v>
      </c>
      <c r="M1133" s="15">
        <f t="shared" si="218"/>
        <v>5</v>
      </c>
      <c r="N1133" s="15">
        <f t="shared" si="219"/>
        <v>0</v>
      </c>
      <c r="O1133" s="12">
        <v>104200</v>
      </c>
      <c r="P1133" s="12">
        <f t="shared" si="216"/>
        <v>8683.3333333333339</v>
      </c>
      <c r="Q1133" s="12">
        <f t="shared" si="217"/>
        <v>8683.3333333333339</v>
      </c>
    </row>
    <row r="1134" spans="1:21" x14ac:dyDescent="0.3">
      <c r="A1134" s="1">
        <f t="shared" si="220"/>
        <v>10</v>
      </c>
      <c r="B1134" s="2" t="s">
        <v>826</v>
      </c>
      <c r="C1134" s="3" t="s">
        <v>459</v>
      </c>
      <c r="D1134" s="12" t="s">
        <v>40</v>
      </c>
      <c r="E1134" s="12" t="s">
        <v>40</v>
      </c>
      <c r="F1134" s="12"/>
      <c r="G1134" s="12"/>
      <c r="H1134" s="12"/>
      <c r="I1134" s="12"/>
      <c r="J1134" s="12"/>
      <c r="K1134" s="12"/>
      <c r="L1134" s="12">
        <v>0</v>
      </c>
      <c r="M1134" s="15">
        <f t="shared" si="218"/>
        <v>2</v>
      </c>
      <c r="N1134" s="15">
        <f t="shared" si="219"/>
        <v>0</v>
      </c>
      <c r="O1134" s="20"/>
      <c r="P1134" s="12">
        <f t="shared" si="216"/>
        <v>0</v>
      </c>
      <c r="Q1134" s="20"/>
    </row>
    <row r="1135" spans="1:21" x14ac:dyDescent="0.3">
      <c r="A1135" s="1">
        <f t="shared" si="220"/>
        <v>11</v>
      </c>
      <c r="B1135" s="2">
        <v>23802843</v>
      </c>
      <c r="C1135" s="3" t="s">
        <v>459</v>
      </c>
      <c r="D1135" s="12" t="s">
        <v>40</v>
      </c>
      <c r="E1135" s="12" t="s">
        <v>40</v>
      </c>
      <c r="F1135" s="12"/>
      <c r="G1135" s="12"/>
      <c r="H1135" s="12" t="s">
        <v>40</v>
      </c>
      <c r="I1135" s="12" t="s">
        <v>40</v>
      </c>
      <c r="J1135" s="12"/>
      <c r="K1135" s="12"/>
      <c r="L1135" s="12">
        <v>48000</v>
      </c>
      <c r="M1135" s="15">
        <f t="shared" si="218"/>
        <v>10</v>
      </c>
      <c r="N1135" s="15">
        <f t="shared" si="219"/>
        <v>0</v>
      </c>
      <c r="O1135" s="12">
        <v>48000</v>
      </c>
      <c r="P1135" s="12">
        <f t="shared" si="216"/>
        <v>4000</v>
      </c>
      <c r="Q1135" s="12">
        <f t="shared" si="217"/>
        <v>4000</v>
      </c>
    </row>
    <row r="1136" spans="1:21" x14ac:dyDescent="0.3">
      <c r="A1136" s="1">
        <f t="shared" si="220"/>
        <v>12</v>
      </c>
      <c r="B1136" s="2" t="s">
        <v>828</v>
      </c>
      <c r="C1136" s="3" t="s">
        <v>459</v>
      </c>
      <c r="D1136" s="12" t="s">
        <v>40</v>
      </c>
      <c r="E1136" s="12" t="s">
        <v>40</v>
      </c>
      <c r="F1136" s="12" t="s">
        <v>40</v>
      </c>
      <c r="G1136" s="12"/>
      <c r="H1136" s="12" t="s">
        <v>40</v>
      </c>
      <c r="I1136" s="12"/>
      <c r="J1136" s="12"/>
      <c r="K1136" s="12"/>
      <c r="L1136" s="12">
        <v>19443.96</v>
      </c>
      <c r="M1136" s="15">
        <f t="shared" si="218"/>
        <v>7</v>
      </c>
      <c r="N1136" s="15">
        <f t="shared" si="219"/>
        <v>0</v>
      </c>
      <c r="O1136" s="12">
        <v>19443.96</v>
      </c>
      <c r="P1136" s="12">
        <f t="shared" si="216"/>
        <v>1620.33</v>
      </c>
      <c r="Q1136" s="12">
        <f t="shared" si="217"/>
        <v>1620.33</v>
      </c>
    </row>
    <row r="1137" spans="1:17" x14ac:dyDescent="0.3">
      <c r="A1137" s="1">
        <f t="shared" si="220"/>
        <v>13</v>
      </c>
      <c r="B1137" s="2" t="s">
        <v>827</v>
      </c>
      <c r="C1137" s="3" t="s">
        <v>459</v>
      </c>
      <c r="D1137" s="12" t="s">
        <v>40</v>
      </c>
      <c r="E1137" s="12" t="s">
        <v>40</v>
      </c>
      <c r="F1137" s="12" t="s">
        <v>40</v>
      </c>
      <c r="G1137" s="12"/>
      <c r="H1137" s="12" t="s">
        <v>40</v>
      </c>
      <c r="I1137" s="12" t="s">
        <v>40</v>
      </c>
      <c r="J1137" s="12"/>
      <c r="K1137" s="12"/>
      <c r="L1137" s="12">
        <v>89616</v>
      </c>
      <c r="M1137" s="15">
        <f t="shared" si="218"/>
        <v>12</v>
      </c>
      <c r="N1137" s="15">
        <f t="shared" si="219"/>
        <v>0</v>
      </c>
      <c r="O1137" s="12">
        <v>89616</v>
      </c>
      <c r="P1137" s="12">
        <f t="shared" si="216"/>
        <v>7468</v>
      </c>
      <c r="Q1137" s="12">
        <f t="shared" si="217"/>
        <v>7468</v>
      </c>
    </row>
    <row r="1138" spans="1:17" x14ac:dyDescent="0.3">
      <c r="A1138" s="1">
        <f t="shared" si="220"/>
        <v>14</v>
      </c>
      <c r="B1138" s="2">
        <v>40248378</v>
      </c>
      <c r="C1138" s="3" t="s">
        <v>459</v>
      </c>
      <c r="D1138" s="12" t="s">
        <v>40</v>
      </c>
      <c r="E1138" s="12" t="s">
        <v>40</v>
      </c>
      <c r="F1138" s="12"/>
      <c r="G1138" s="12"/>
      <c r="H1138" s="12"/>
      <c r="I1138" s="12"/>
      <c r="J1138" s="12"/>
      <c r="K1138" s="12" t="s">
        <v>40</v>
      </c>
      <c r="L1138" s="12">
        <v>6000</v>
      </c>
      <c r="M1138" s="15">
        <f t="shared" si="218"/>
        <v>2</v>
      </c>
      <c r="N1138" s="15">
        <f t="shared" si="219"/>
        <v>1</v>
      </c>
      <c r="O1138" s="12">
        <v>6000</v>
      </c>
      <c r="P1138" s="12">
        <f t="shared" si="216"/>
        <v>500</v>
      </c>
      <c r="Q1138" s="12">
        <f t="shared" si="217"/>
        <v>500</v>
      </c>
    </row>
    <row r="1139" spans="1:17" x14ac:dyDescent="0.3">
      <c r="A1139" s="1">
        <f t="shared" si="220"/>
        <v>15</v>
      </c>
      <c r="B1139" s="2">
        <v>16422667</v>
      </c>
      <c r="C1139" s="3" t="s">
        <v>459</v>
      </c>
      <c r="D1139" s="12" t="s">
        <v>40</v>
      </c>
      <c r="E1139" s="12" t="s">
        <v>40</v>
      </c>
      <c r="F1139" s="12"/>
      <c r="G1139" s="12"/>
      <c r="H1139" s="12" t="s">
        <v>40</v>
      </c>
      <c r="I1139" s="12" t="s">
        <v>40</v>
      </c>
      <c r="J1139" s="12"/>
      <c r="K1139" s="12"/>
      <c r="L1139" s="12">
        <v>88800</v>
      </c>
      <c r="M1139" s="15">
        <f t="shared" si="218"/>
        <v>10</v>
      </c>
      <c r="N1139" s="15">
        <f t="shared" si="219"/>
        <v>0</v>
      </c>
      <c r="O1139" s="12">
        <v>88800</v>
      </c>
      <c r="P1139" s="12">
        <f t="shared" si="216"/>
        <v>7400</v>
      </c>
      <c r="Q1139" s="12">
        <f t="shared" si="217"/>
        <v>7400</v>
      </c>
    </row>
    <row r="1140" spans="1:17" x14ac:dyDescent="0.3">
      <c r="A1140" s="1">
        <f t="shared" si="220"/>
        <v>16</v>
      </c>
      <c r="B1140" s="2">
        <v>40807022</v>
      </c>
      <c r="C1140" s="3" t="s">
        <v>459</v>
      </c>
      <c r="D1140" s="12" t="s">
        <v>40</v>
      </c>
      <c r="E1140" s="12" t="s">
        <v>40</v>
      </c>
      <c r="F1140" s="12"/>
      <c r="G1140" s="12"/>
      <c r="H1140" s="12" t="s">
        <v>40</v>
      </c>
      <c r="I1140" s="12"/>
      <c r="J1140" s="12"/>
      <c r="K1140" s="12"/>
      <c r="L1140" s="12">
        <v>43820</v>
      </c>
      <c r="M1140" s="15">
        <f t="shared" si="218"/>
        <v>5</v>
      </c>
      <c r="N1140" s="15">
        <f t="shared" si="219"/>
        <v>0</v>
      </c>
      <c r="O1140" s="12">
        <v>43820</v>
      </c>
      <c r="P1140" s="12">
        <f t="shared" si="216"/>
        <v>3651.6666666666665</v>
      </c>
      <c r="Q1140" s="12">
        <f t="shared" si="217"/>
        <v>3651.6666666666665</v>
      </c>
    </row>
    <row r="1141" spans="1:17" x14ac:dyDescent="0.3">
      <c r="A1141" s="1">
        <f t="shared" si="220"/>
        <v>17</v>
      </c>
      <c r="B1141" s="2">
        <v>10472653</v>
      </c>
      <c r="C1141" s="3" t="s">
        <v>459</v>
      </c>
      <c r="D1141" s="12" t="s">
        <v>40</v>
      </c>
      <c r="E1141" s="12" t="s">
        <v>40</v>
      </c>
      <c r="F1141" s="12"/>
      <c r="G1141" s="12"/>
      <c r="H1141" s="12" t="s">
        <v>40</v>
      </c>
      <c r="I1141" s="12"/>
      <c r="J1141" s="12"/>
      <c r="K1141" s="12"/>
      <c r="L1141" s="12">
        <v>147010.65</v>
      </c>
      <c r="M1141" s="15">
        <f t="shared" si="218"/>
        <v>5</v>
      </c>
      <c r="N1141" s="15">
        <f t="shared" si="219"/>
        <v>0</v>
      </c>
      <c r="O1141" s="12">
        <v>147010.65</v>
      </c>
      <c r="P1141" s="12">
        <f t="shared" si="216"/>
        <v>12250.887499999999</v>
      </c>
      <c r="Q1141" s="12">
        <f t="shared" si="217"/>
        <v>12250.887499999999</v>
      </c>
    </row>
    <row r="1142" spans="1:17" x14ac:dyDescent="0.3">
      <c r="A1142" s="1">
        <f t="shared" si="220"/>
        <v>18</v>
      </c>
      <c r="B1142" s="2" t="s">
        <v>829</v>
      </c>
      <c r="C1142" s="3" t="s">
        <v>459</v>
      </c>
      <c r="D1142" s="12" t="s">
        <v>40</v>
      </c>
      <c r="E1142" s="12" t="s">
        <v>40</v>
      </c>
      <c r="F1142" s="12"/>
      <c r="G1142" s="12"/>
      <c r="H1142" s="12"/>
      <c r="I1142" s="12"/>
      <c r="J1142" s="12"/>
      <c r="K1142" s="12"/>
      <c r="L1142" s="12">
        <v>10200</v>
      </c>
      <c r="M1142" s="15">
        <f t="shared" si="218"/>
        <v>2</v>
      </c>
      <c r="N1142" s="15">
        <f t="shared" si="219"/>
        <v>0</v>
      </c>
      <c r="O1142" s="12">
        <v>10200</v>
      </c>
      <c r="P1142" s="12">
        <f t="shared" si="216"/>
        <v>850</v>
      </c>
      <c r="Q1142" s="12">
        <f t="shared" si="217"/>
        <v>850</v>
      </c>
    </row>
    <row r="1143" spans="1:17" x14ac:dyDescent="0.3">
      <c r="A1143" s="1">
        <f t="shared" si="220"/>
        <v>19</v>
      </c>
      <c r="B1143" s="2">
        <v>20054502</v>
      </c>
      <c r="C1143" s="3" t="s">
        <v>459</v>
      </c>
      <c r="D1143" s="12" t="s">
        <v>40</v>
      </c>
      <c r="E1143" s="12" t="s">
        <v>40</v>
      </c>
      <c r="F1143" s="12"/>
      <c r="G1143" s="12"/>
      <c r="H1143" s="12"/>
      <c r="I1143" s="12"/>
      <c r="J1143" s="12"/>
      <c r="K1143" s="12"/>
      <c r="L1143" s="12">
        <v>36000</v>
      </c>
      <c r="M1143" s="15">
        <f t="shared" si="218"/>
        <v>2</v>
      </c>
      <c r="N1143" s="15">
        <f t="shared" si="219"/>
        <v>0</v>
      </c>
      <c r="O1143" s="12">
        <v>36000</v>
      </c>
      <c r="P1143" s="12">
        <f t="shared" si="216"/>
        <v>3000</v>
      </c>
      <c r="Q1143" s="12">
        <f t="shared" si="217"/>
        <v>3000</v>
      </c>
    </row>
    <row r="1144" spans="1:17" x14ac:dyDescent="0.3">
      <c r="A1144" s="1">
        <f t="shared" si="220"/>
        <v>20</v>
      </c>
      <c r="B1144" s="2" t="s">
        <v>830</v>
      </c>
      <c r="C1144" s="3" t="s">
        <v>459</v>
      </c>
      <c r="D1144" s="12" t="s">
        <v>40</v>
      </c>
      <c r="E1144" s="12" t="s">
        <v>40</v>
      </c>
      <c r="F1144" s="12"/>
      <c r="G1144" s="12"/>
      <c r="H1144" s="12" t="s">
        <v>40</v>
      </c>
      <c r="I1144" s="12"/>
      <c r="J1144" s="12"/>
      <c r="K1144" s="12"/>
      <c r="L1144" s="12">
        <v>0</v>
      </c>
      <c r="M1144" s="15">
        <f t="shared" si="218"/>
        <v>5</v>
      </c>
      <c r="N1144" s="15">
        <f t="shared" si="219"/>
        <v>0</v>
      </c>
      <c r="O1144" s="20"/>
      <c r="P1144" s="12">
        <f t="shared" si="216"/>
        <v>0</v>
      </c>
      <c r="Q1144" s="20"/>
    </row>
    <row r="1145" spans="1:17" x14ac:dyDescent="0.3">
      <c r="A1145" s="1">
        <f t="shared" si="220"/>
        <v>21</v>
      </c>
      <c r="B1145" s="2">
        <v>10006722</v>
      </c>
      <c r="C1145" s="3" t="s">
        <v>459</v>
      </c>
      <c r="D1145" s="50" t="s">
        <v>40</v>
      </c>
      <c r="E1145" s="50" t="s">
        <v>40</v>
      </c>
      <c r="F1145" s="50"/>
      <c r="G1145" s="50"/>
      <c r="H1145" s="50" t="s">
        <v>40</v>
      </c>
      <c r="I1145" s="50" t="s">
        <v>40</v>
      </c>
      <c r="J1145" s="50" t="s">
        <v>897</v>
      </c>
      <c r="K1145" s="12"/>
      <c r="L1145" s="12">
        <v>189600</v>
      </c>
      <c r="M1145" s="15">
        <f t="shared" si="218"/>
        <v>15</v>
      </c>
      <c r="N1145" s="15">
        <f t="shared" si="219"/>
        <v>0</v>
      </c>
      <c r="O1145" s="12">
        <v>189600</v>
      </c>
      <c r="P1145" s="12">
        <f t="shared" si="216"/>
        <v>15800</v>
      </c>
      <c r="Q1145" s="12">
        <f t="shared" si="217"/>
        <v>15800</v>
      </c>
    </row>
    <row r="1146" spans="1:17" x14ac:dyDescent="0.3">
      <c r="A1146" s="1">
        <f t="shared" si="220"/>
        <v>22</v>
      </c>
      <c r="B1146" s="2" t="s">
        <v>831</v>
      </c>
      <c r="C1146" s="3" t="s">
        <v>459</v>
      </c>
      <c r="D1146" s="12" t="s">
        <v>40</v>
      </c>
      <c r="E1146" s="12" t="s">
        <v>40</v>
      </c>
      <c r="F1146" s="12" t="s">
        <v>40</v>
      </c>
      <c r="G1146" s="12"/>
      <c r="H1146" s="12"/>
      <c r="I1146" s="12"/>
      <c r="J1146" s="12"/>
      <c r="K1146" s="12"/>
      <c r="L1146" s="12">
        <v>0</v>
      </c>
      <c r="M1146" s="15">
        <f t="shared" si="218"/>
        <v>4</v>
      </c>
      <c r="N1146" s="15">
        <f t="shared" si="219"/>
        <v>0</v>
      </c>
      <c r="O1146" s="20"/>
      <c r="P1146" s="12">
        <f t="shared" si="216"/>
        <v>0</v>
      </c>
      <c r="Q1146" s="20"/>
    </row>
    <row r="1147" spans="1:17" x14ac:dyDescent="0.3">
      <c r="A1147" s="1">
        <f t="shared" si="220"/>
        <v>23</v>
      </c>
      <c r="B1147" s="2" t="s">
        <v>832</v>
      </c>
      <c r="C1147" s="3" t="s">
        <v>459</v>
      </c>
      <c r="D1147" s="12" t="s">
        <v>40</v>
      </c>
      <c r="E1147" s="12" t="s">
        <v>40</v>
      </c>
      <c r="F1147" s="12"/>
      <c r="G1147" s="12"/>
      <c r="H1147" s="12"/>
      <c r="I1147" s="12"/>
      <c r="J1147" s="12"/>
      <c r="K1147" s="12"/>
      <c r="L1147" s="12">
        <v>120000</v>
      </c>
      <c r="M1147" s="15">
        <f t="shared" si="218"/>
        <v>2</v>
      </c>
      <c r="N1147" s="15">
        <f t="shared" si="219"/>
        <v>0</v>
      </c>
      <c r="O1147" s="12">
        <v>120000</v>
      </c>
      <c r="P1147" s="12">
        <f t="shared" si="216"/>
        <v>10000</v>
      </c>
      <c r="Q1147" s="12">
        <f t="shared" si="217"/>
        <v>10000</v>
      </c>
    </row>
    <row r="1148" spans="1:17" x14ac:dyDescent="0.3">
      <c r="A1148" s="1">
        <f t="shared" si="220"/>
        <v>24</v>
      </c>
      <c r="B1148" s="2" t="s">
        <v>833</v>
      </c>
      <c r="C1148" s="3" t="s">
        <v>459</v>
      </c>
      <c r="D1148" s="12" t="s">
        <v>40</v>
      </c>
      <c r="E1148" s="12" t="s">
        <v>40</v>
      </c>
      <c r="F1148" s="12" t="s">
        <v>40</v>
      </c>
      <c r="G1148" s="12"/>
      <c r="H1148" s="12"/>
      <c r="I1148" s="12"/>
      <c r="J1148" s="12"/>
      <c r="K1148" s="12"/>
      <c r="L1148" s="12">
        <v>0</v>
      </c>
      <c r="M1148" s="15">
        <f t="shared" si="218"/>
        <v>4</v>
      </c>
      <c r="N1148" s="15">
        <f t="shared" si="219"/>
        <v>0</v>
      </c>
      <c r="O1148" s="20"/>
      <c r="P1148" s="12">
        <f t="shared" si="216"/>
        <v>0</v>
      </c>
      <c r="Q1148" s="20"/>
    </row>
    <row r="1149" spans="1:17" x14ac:dyDescent="0.3">
      <c r="A1149" s="1">
        <f t="shared" si="220"/>
        <v>25</v>
      </c>
      <c r="B1149" s="2" t="s">
        <v>834</v>
      </c>
      <c r="C1149" s="3" t="s">
        <v>459</v>
      </c>
      <c r="D1149" s="12" t="s">
        <v>40</v>
      </c>
      <c r="E1149" s="12" t="s">
        <v>40</v>
      </c>
      <c r="F1149" s="12"/>
      <c r="G1149" s="12"/>
      <c r="H1149" s="12" t="s">
        <v>40</v>
      </c>
      <c r="I1149" s="12" t="s">
        <v>40</v>
      </c>
      <c r="J1149" s="12"/>
      <c r="K1149" s="12"/>
      <c r="L1149" s="12">
        <v>15000</v>
      </c>
      <c r="M1149" s="15">
        <f t="shared" si="218"/>
        <v>10</v>
      </c>
      <c r="N1149" s="15">
        <f t="shared" si="219"/>
        <v>0</v>
      </c>
      <c r="O1149" s="12">
        <v>15000</v>
      </c>
      <c r="P1149" s="12">
        <f t="shared" si="216"/>
        <v>1250</v>
      </c>
      <c r="Q1149" s="12">
        <f t="shared" si="217"/>
        <v>1250</v>
      </c>
    </row>
    <row r="1150" spans="1:17" x14ac:dyDescent="0.3">
      <c r="A1150" s="1">
        <f t="shared" si="220"/>
        <v>26</v>
      </c>
      <c r="B1150" s="2" t="s">
        <v>835</v>
      </c>
      <c r="C1150" s="3" t="s">
        <v>459</v>
      </c>
      <c r="D1150" s="12" t="s">
        <v>40</v>
      </c>
      <c r="E1150" s="12" t="s">
        <v>40</v>
      </c>
      <c r="F1150" s="12"/>
      <c r="G1150" s="12"/>
      <c r="H1150" s="12" t="s">
        <v>40</v>
      </c>
      <c r="I1150" s="12"/>
      <c r="J1150" s="12"/>
      <c r="K1150" s="12"/>
      <c r="L1150" s="12">
        <v>60000</v>
      </c>
      <c r="M1150" s="15">
        <f t="shared" si="218"/>
        <v>5</v>
      </c>
      <c r="N1150" s="15">
        <f t="shared" si="219"/>
        <v>0</v>
      </c>
      <c r="O1150" s="12">
        <v>60000</v>
      </c>
      <c r="P1150" s="12">
        <f t="shared" si="216"/>
        <v>5000</v>
      </c>
      <c r="Q1150" s="12">
        <f t="shared" si="217"/>
        <v>5000</v>
      </c>
    </row>
    <row r="1151" spans="1:17" x14ac:dyDescent="0.3">
      <c r="A1151" s="1">
        <f t="shared" si="220"/>
        <v>27</v>
      </c>
      <c r="B1151" s="2" t="s">
        <v>836</v>
      </c>
      <c r="C1151" s="3" t="s">
        <v>459</v>
      </c>
      <c r="D1151" s="50" t="s">
        <v>40</v>
      </c>
      <c r="E1151" s="50" t="s">
        <v>40</v>
      </c>
      <c r="F1151" s="50"/>
      <c r="G1151" s="50"/>
      <c r="H1151" s="50" t="s">
        <v>40</v>
      </c>
      <c r="I1151" s="50" t="s">
        <v>40</v>
      </c>
      <c r="J1151" s="50" t="s">
        <v>897</v>
      </c>
      <c r="K1151" s="12"/>
      <c r="L1151" s="12">
        <v>138803</v>
      </c>
      <c r="M1151" s="15">
        <f t="shared" si="218"/>
        <v>15</v>
      </c>
      <c r="N1151" s="15">
        <f t="shared" si="219"/>
        <v>0</v>
      </c>
      <c r="O1151" s="12">
        <v>138803</v>
      </c>
      <c r="P1151" s="12">
        <f t="shared" si="216"/>
        <v>11566.916666666666</v>
      </c>
      <c r="Q1151" s="12">
        <f t="shared" si="217"/>
        <v>11566.916666666666</v>
      </c>
    </row>
    <row r="1152" spans="1:17" x14ac:dyDescent="0.3">
      <c r="A1152" s="1">
        <f t="shared" si="220"/>
        <v>28</v>
      </c>
      <c r="B1152" s="2" t="s">
        <v>837</v>
      </c>
      <c r="C1152" s="3" t="s">
        <v>459</v>
      </c>
      <c r="D1152" s="12" t="s">
        <v>40</v>
      </c>
      <c r="E1152" s="12" t="s">
        <v>40</v>
      </c>
      <c r="F1152" s="12" t="s">
        <v>40</v>
      </c>
      <c r="G1152" s="12"/>
      <c r="H1152" s="12"/>
      <c r="I1152" s="12"/>
      <c r="J1152" s="12"/>
      <c r="K1152" s="12"/>
      <c r="L1152" s="12">
        <v>0</v>
      </c>
      <c r="M1152" s="15">
        <f t="shared" si="218"/>
        <v>4</v>
      </c>
      <c r="N1152" s="15">
        <f t="shared" si="219"/>
        <v>0</v>
      </c>
      <c r="O1152" s="20"/>
      <c r="P1152" s="12">
        <f t="shared" si="216"/>
        <v>0</v>
      </c>
      <c r="Q1152" s="20"/>
    </row>
    <row r="1153" spans="1:21" x14ac:dyDescent="0.3">
      <c r="A1153" s="1">
        <f t="shared" si="220"/>
        <v>29</v>
      </c>
      <c r="B1153" s="2" t="s">
        <v>838</v>
      </c>
      <c r="C1153" s="3" t="s">
        <v>459</v>
      </c>
      <c r="D1153" s="12" t="s">
        <v>40</v>
      </c>
      <c r="E1153" s="12" t="s">
        <v>40</v>
      </c>
      <c r="F1153" s="12"/>
      <c r="G1153" s="12"/>
      <c r="H1153" s="12" t="s">
        <v>40</v>
      </c>
      <c r="I1153" s="12"/>
      <c r="J1153" s="12"/>
      <c r="K1153" s="12"/>
      <c r="L1153" s="12">
        <v>45000</v>
      </c>
      <c r="M1153" s="15">
        <f t="shared" si="218"/>
        <v>5</v>
      </c>
      <c r="N1153" s="15">
        <f t="shared" si="219"/>
        <v>0</v>
      </c>
      <c r="O1153" s="12">
        <v>45000</v>
      </c>
      <c r="P1153" s="12">
        <f t="shared" si="216"/>
        <v>3750</v>
      </c>
      <c r="Q1153" s="12">
        <f t="shared" si="217"/>
        <v>3750</v>
      </c>
    </row>
    <row r="1154" spans="1:21" x14ac:dyDescent="0.3">
      <c r="A1154" s="1">
        <f t="shared" si="220"/>
        <v>30</v>
      </c>
      <c r="B1154" s="2">
        <v>30581647</v>
      </c>
      <c r="C1154" s="3" t="s">
        <v>459</v>
      </c>
      <c r="D1154" s="12" t="s">
        <v>40</v>
      </c>
      <c r="E1154" s="12" t="s">
        <v>40</v>
      </c>
      <c r="F1154" s="12"/>
      <c r="G1154" s="12"/>
      <c r="H1154" s="12"/>
      <c r="I1154" s="12"/>
      <c r="J1154" s="12"/>
      <c r="K1154" s="12"/>
      <c r="L1154" s="12">
        <v>42000</v>
      </c>
      <c r="M1154" s="15">
        <f t="shared" si="218"/>
        <v>2</v>
      </c>
      <c r="N1154" s="15">
        <f t="shared" si="219"/>
        <v>0</v>
      </c>
      <c r="O1154" s="12">
        <v>42000</v>
      </c>
      <c r="P1154" s="12">
        <f t="shared" si="216"/>
        <v>3500</v>
      </c>
      <c r="Q1154" s="12">
        <f t="shared" si="217"/>
        <v>3500</v>
      </c>
    </row>
    <row r="1155" spans="1:21" x14ac:dyDescent="0.3">
      <c r="B1155" s="29"/>
      <c r="D1155"/>
      <c r="E1155"/>
      <c r="F1155"/>
      <c r="G1155"/>
      <c r="H1155"/>
      <c r="I1155"/>
      <c r="J1155"/>
      <c r="L1155" s="14">
        <f>+AVERAGE(L1125:L1154)</f>
        <v>113422.82866666667</v>
      </c>
      <c r="M1155" s="14">
        <f>+AVERAGE(M1125:M1154)</f>
        <v>6.666666666666667</v>
      </c>
      <c r="N1155" s="14">
        <f>+SUM(N1125:N1154)</f>
        <v>1</v>
      </c>
      <c r="O1155" s="14">
        <f>+AVERAGE(O1125:O1154)</f>
        <v>114080.34249999998</v>
      </c>
      <c r="P1155" s="14">
        <f>+AVERAGE(P1125:P1154)</f>
        <v>9451.9023888888896</v>
      </c>
      <c r="Q1155" s="14">
        <f>+AVERAGE(Q1125:Q1154)</f>
        <v>9506.6952083333326</v>
      </c>
    </row>
    <row r="1156" spans="1:21" x14ac:dyDescent="0.3">
      <c r="D1156"/>
      <c r="E1156"/>
      <c r="F1156"/>
      <c r="G1156"/>
      <c r="H1156"/>
      <c r="I1156"/>
      <c r="J1156"/>
      <c r="L1156" s="14">
        <f>+STDEV(L1125:L1154)</f>
        <v>156868.62792449439</v>
      </c>
      <c r="M1156" s="14">
        <f>+STDEV(M1125:M1154)</f>
        <v>4.5511145533990813</v>
      </c>
      <c r="N1156" s="17"/>
      <c r="O1156" s="14">
        <f>+STDEV(O1125:O1154)</f>
        <v>122531.66205920998</v>
      </c>
      <c r="P1156" s="14">
        <f>+STDEV(P1125:P1154)</f>
        <v>13072.385660374532</v>
      </c>
      <c r="Q1156" s="14">
        <f>+STDEV(Q1125:Q1154)</f>
        <v>10210.971838267498</v>
      </c>
    </row>
    <row r="1157" spans="1:21" x14ac:dyDescent="0.3">
      <c r="D1157"/>
      <c r="E1157"/>
      <c r="F1157"/>
      <c r="G1157"/>
      <c r="H1157"/>
      <c r="I1157" s="15"/>
      <c r="J1157" s="15"/>
      <c r="K1157" s="11" t="s">
        <v>75</v>
      </c>
      <c r="L1157" s="14">
        <f>+COUNTIF(L1125:L1154,0)</f>
        <v>5</v>
      </c>
      <c r="M1157" s="14">
        <f>+COUNT(M1125:M1154)</f>
        <v>30</v>
      </c>
      <c r="P1157" s="14">
        <f>+COUNTIF(P1125:P1154,0)</f>
        <v>5</v>
      </c>
    </row>
    <row r="1158" spans="1:21" x14ac:dyDescent="0.3">
      <c r="D1158"/>
      <c r="E1158"/>
      <c r="F1158"/>
      <c r="G1158"/>
      <c r="H1158"/>
      <c r="I1158"/>
      <c r="J1158"/>
    </row>
    <row r="1159" spans="1:21" x14ac:dyDescent="0.3">
      <c r="A1159" s="1">
        <v>1</v>
      </c>
      <c r="B1159" s="2" t="s">
        <v>885</v>
      </c>
      <c r="C1159" s="3" t="s">
        <v>140</v>
      </c>
      <c r="D1159" s="50" t="s">
        <v>40</v>
      </c>
      <c r="E1159" s="50" t="s">
        <v>40</v>
      </c>
      <c r="F1159" s="50"/>
      <c r="G1159" s="50"/>
      <c r="H1159" s="50" t="s">
        <v>40</v>
      </c>
      <c r="I1159" s="50" t="s">
        <v>40</v>
      </c>
      <c r="J1159" s="50" t="s">
        <v>897</v>
      </c>
      <c r="K1159" s="12"/>
      <c r="L1159" s="14">
        <v>0</v>
      </c>
      <c r="M1159" s="15">
        <f>+IF(D1159="X",1,0)+IF(E1159="X",1,0)+IF(F1159="X",2,0)+IF(G1159="X",2,0)+IF(H1159="X",3,IF(H1159="Y",1.5,0))+IF(I1159="X",5,IF(I1159="Y",2.5,0))+IF(J1159="X1",10,IF(J1159="X2",5,IF(J1159="X3",3,0)))</f>
        <v>15</v>
      </c>
      <c r="N1159" s="15">
        <f>+IF(K1159="X",1,0)</f>
        <v>0</v>
      </c>
      <c r="O1159" s="20"/>
      <c r="P1159" s="12">
        <f t="shared" ref="P1159:P1188" si="221">+L1159/12</f>
        <v>0</v>
      </c>
      <c r="Q1159" s="20"/>
    </row>
    <row r="1160" spans="1:21" x14ac:dyDescent="0.3">
      <c r="A1160" s="1">
        <f>+A1159+1</f>
        <v>2</v>
      </c>
      <c r="B1160" s="2">
        <v>19805447</v>
      </c>
      <c r="C1160" s="3" t="s">
        <v>140</v>
      </c>
      <c r="D1160" s="50" t="s">
        <v>40</v>
      </c>
      <c r="E1160" s="50" t="s">
        <v>40</v>
      </c>
      <c r="F1160" s="50"/>
      <c r="G1160" s="50"/>
      <c r="H1160" s="50" t="s">
        <v>40</v>
      </c>
      <c r="I1160" s="50" t="s">
        <v>40</v>
      </c>
      <c r="J1160" s="50" t="s">
        <v>897</v>
      </c>
      <c r="K1160" s="12"/>
      <c r="L1160" s="14">
        <v>171974.11</v>
      </c>
      <c r="M1160" s="15">
        <f t="shared" ref="M1160:M1188" si="222">+IF(D1160="X",1,0)+IF(E1160="X",1,0)+IF(F1160="X",2,0)+IF(G1160="X",2,0)+IF(H1160="X",3,IF(H1160="Y",1.5,0))+IF(I1160="X",5,IF(I1160="Y",2.5,0))+IF(J1160="X1",10,IF(J1160="X2",5,IF(J1160="X3",3,0)))</f>
        <v>15</v>
      </c>
      <c r="N1160" s="15">
        <f t="shared" ref="N1160:N1188" si="223">+IF(K1160="X",1,0)</f>
        <v>0</v>
      </c>
      <c r="O1160" s="14">
        <v>171974.11</v>
      </c>
      <c r="P1160" s="12">
        <f t="shared" si="221"/>
        <v>14331.175833333333</v>
      </c>
      <c r="Q1160" s="12">
        <f t="shared" ref="Q1160" si="224">+O1160/12</f>
        <v>14331.175833333333</v>
      </c>
    </row>
    <row r="1161" spans="1:21" x14ac:dyDescent="0.3">
      <c r="A1161" s="1">
        <f t="shared" ref="A1161:A1188" si="225">+A1160+1</f>
        <v>3</v>
      </c>
      <c r="B1161" s="2" t="s">
        <v>886</v>
      </c>
      <c r="C1161" s="3" t="s">
        <v>140</v>
      </c>
      <c r="D1161" s="12" t="s">
        <v>40</v>
      </c>
      <c r="E1161" s="12" t="s">
        <v>40</v>
      </c>
      <c r="F1161" s="12" t="s">
        <v>40</v>
      </c>
      <c r="G1161" s="12"/>
      <c r="H1161" s="12" t="s">
        <v>40</v>
      </c>
      <c r="I1161" s="12" t="s">
        <v>40</v>
      </c>
      <c r="J1161" s="12"/>
      <c r="K1161" s="12"/>
      <c r="L1161" s="14">
        <v>427249.6</v>
      </c>
      <c r="M1161" s="15">
        <f t="shared" si="222"/>
        <v>12</v>
      </c>
      <c r="N1161" s="15">
        <f t="shared" si="223"/>
        <v>0</v>
      </c>
      <c r="O1161" s="20"/>
      <c r="P1161" s="12">
        <f t="shared" si="221"/>
        <v>35604.133333333331</v>
      </c>
      <c r="Q1161" s="20"/>
      <c r="R1161" t="s">
        <v>140</v>
      </c>
    </row>
    <row r="1162" spans="1:21" x14ac:dyDescent="0.3">
      <c r="A1162" s="1">
        <f t="shared" si="225"/>
        <v>4</v>
      </c>
      <c r="B1162" s="2">
        <v>20107161</v>
      </c>
      <c r="C1162" s="3" t="s">
        <v>140</v>
      </c>
      <c r="D1162" s="12" t="s">
        <v>40</v>
      </c>
      <c r="E1162" s="12" t="s">
        <v>40</v>
      </c>
      <c r="F1162" s="12"/>
      <c r="G1162" s="12"/>
      <c r="H1162" s="12" t="s">
        <v>40</v>
      </c>
      <c r="I1162" s="12" t="s">
        <v>40</v>
      </c>
      <c r="J1162" s="12"/>
      <c r="K1162" s="12" t="s">
        <v>40</v>
      </c>
      <c r="L1162" s="14">
        <v>297344.34000000003</v>
      </c>
      <c r="M1162" s="15">
        <f t="shared" si="222"/>
        <v>10</v>
      </c>
      <c r="N1162" s="15">
        <f t="shared" si="223"/>
        <v>1</v>
      </c>
      <c r="O1162" s="14">
        <v>297344.34000000003</v>
      </c>
      <c r="P1162" s="12">
        <f t="shared" si="221"/>
        <v>24778.695000000003</v>
      </c>
      <c r="Q1162" s="12">
        <f t="shared" ref="Q1162:Q1188" si="226">+O1162/12</f>
        <v>24778.695000000003</v>
      </c>
      <c r="U1162" t="s">
        <v>365</v>
      </c>
    </row>
    <row r="1163" spans="1:21" x14ac:dyDescent="0.3">
      <c r="A1163" s="1">
        <f t="shared" si="225"/>
        <v>5</v>
      </c>
      <c r="B1163" s="2">
        <v>10305232</v>
      </c>
      <c r="C1163" s="3" t="s">
        <v>140</v>
      </c>
      <c r="D1163" s="12" t="s">
        <v>40</v>
      </c>
      <c r="E1163" s="12" t="s">
        <v>40</v>
      </c>
      <c r="F1163" s="12"/>
      <c r="G1163" s="12"/>
      <c r="H1163" s="12" t="s">
        <v>40</v>
      </c>
      <c r="I1163" s="12"/>
      <c r="J1163" s="12"/>
      <c r="K1163" s="12"/>
      <c r="L1163" s="14">
        <v>266875.74</v>
      </c>
      <c r="M1163" s="15">
        <f t="shared" si="222"/>
        <v>5</v>
      </c>
      <c r="N1163" s="15">
        <f t="shared" si="223"/>
        <v>0</v>
      </c>
      <c r="O1163" s="14">
        <v>266875.74</v>
      </c>
      <c r="P1163" s="12">
        <f t="shared" si="221"/>
        <v>22239.645</v>
      </c>
      <c r="Q1163" s="12">
        <f t="shared" si="226"/>
        <v>22239.645</v>
      </c>
      <c r="U1163" t="s">
        <v>365</v>
      </c>
    </row>
    <row r="1164" spans="1:21" x14ac:dyDescent="0.3">
      <c r="A1164" s="1">
        <f t="shared" si="225"/>
        <v>6</v>
      </c>
      <c r="B1164" s="2" t="s">
        <v>887</v>
      </c>
      <c r="C1164" s="3" t="s">
        <v>140</v>
      </c>
      <c r="D1164" s="12" t="s">
        <v>40</v>
      </c>
      <c r="E1164" s="12" t="s">
        <v>40</v>
      </c>
      <c r="F1164" s="12"/>
      <c r="G1164" s="12"/>
      <c r="H1164" s="12"/>
      <c r="I1164" s="12"/>
      <c r="J1164" s="12"/>
      <c r="K1164" s="12"/>
      <c r="L1164" s="14">
        <v>410705</v>
      </c>
      <c r="M1164" s="15">
        <f t="shared" si="222"/>
        <v>2</v>
      </c>
      <c r="N1164" s="15">
        <f t="shared" si="223"/>
        <v>0</v>
      </c>
      <c r="O1164" s="14">
        <v>410705</v>
      </c>
      <c r="P1164" s="12">
        <f t="shared" si="221"/>
        <v>34225.416666666664</v>
      </c>
      <c r="Q1164" s="12">
        <f t="shared" si="226"/>
        <v>34225.416666666664</v>
      </c>
      <c r="R1164" t="s">
        <v>140</v>
      </c>
    </row>
    <row r="1165" spans="1:21" x14ac:dyDescent="0.3">
      <c r="A1165" s="1">
        <f t="shared" si="225"/>
        <v>7</v>
      </c>
      <c r="B1165" s="2">
        <v>16655831</v>
      </c>
      <c r="C1165" s="3" t="s">
        <v>140</v>
      </c>
      <c r="D1165" s="12" t="s">
        <v>40</v>
      </c>
      <c r="E1165" s="12" t="s">
        <v>40</v>
      </c>
      <c r="F1165" s="12"/>
      <c r="G1165" s="12"/>
      <c r="H1165" s="12"/>
      <c r="I1165" s="12"/>
      <c r="J1165" s="12"/>
      <c r="K1165" s="12" t="s">
        <v>40</v>
      </c>
      <c r="L1165" s="14">
        <v>397731.96</v>
      </c>
      <c r="M1165" s="15">
        <f t="shared" si="222"/>
        <v>2</v>
      </c>
      <c r="N1165" s="15">
        <f t="shared" si="223"/>
        <v>1</v>
      </c>
      <c r="O1165" s="14">
        <v>397731.96</v>
      </c>
      <c r="P1165" s="12">
        <f t="shared" si="221"/>
        <v>33144.33</v>
      </c>
      <c r="Q1165" s="12">
        <f t="shared" si="226"/>
        <v>33144.33</v>
      </c>
      <c r="R1165" t="s">
        <v>140</v>
      </c>
    </row>
    <row r="1166" spans="1:21" x14ac:dyDescent="0.3">
      <c r="A1166" s="1">
        <f t="shared" si="225"/>
        <v>8</v>
      </c>
      <c r="B1166" s="2">
        <v>41005490</v>
      </c>
      <c r="C1166" s="3" t="s">
        <v>140</v>
      </c>
      <c r="D1166" s="12" t="s">
        <v>40</v>
      </c>
      <c r="E1166" s="12" t="s">
        <v>40</v>
      </c>
      <c r="F1166" s="12"/>
      <c r="G1166" s="12"/>
      <c r="H1166" s="12" t="s">
        <v>40</v>
      </c>
      <c r="I1166" s="12"/>
      <c r="J1166" s="12"/>
      <c r="K1166" s="12"/>
      <c r="L1166" s="14">
        <v>387848.64</v>
      </c>
      <c r="M1166" s="15">
        <f t="shared" si="222"/>
        <v>5</v>
      </c>
      <c r="N1166" s="15">
        <f t="shared" si="223"/>
        <v>0</v>
      </c>
      <c r="O1166" s="14">
        <v>387848.64</v>
      </c>
      <c r="P1166" s="12">
        <f t="shared" si="221"/>
        <v>32320.720000000001</v>
      </c>
      <c r="Q1166" s="12">
        <f t="shared" si="226"/>
        <v>32320.720000000001</v>
      </c>
      <c r="R1166" t="s">
        <v>140</v>
      </c>
    </row>
    <row r="1167" spans="1:21" x14ac:dyDescent="0.3">
      <c r="A1167" s="1">
        <f t="shared" si="225"/>
        <v>9</v>
      </c>
      <c r="B1167" s="2">
        <v>40724667</v>
      </c>
      <c r="C1167" s="3" t="s">
        <v>140</v>
      </c>
      <c r="D1167" s="12" t="s">
        <v>40</v>
      </c>
      <c r="E1167" s="12" t="s">
        <v>40</v>
      </c>
      <c r="F1167" s="12" t="s">
        <v>40</v>
      </c>
      <c r="G1167" s="12"/>
      <c r="H1167" s="12" t="s">
        <v>40</v>
      </c>
      <c r="I1167" s="12"/>
      <c r="J1167" s="12"/>
      <c r="K1167" s="12"/>
      <c r="L1167" s="14">
        <v>66648</v>
      </c>
      <c r="M1167" s="15">
        <f t="shared" si="222"/>
        <v>7</v>
      </c>
      <c r="N1167" s="15">
        <f t="shared" si="223"/>
        <v>0</v>
      </c>
      <c r="O1167" s="14">
        <v>66648</v>
      </c>
      <c r="P1167" s="12">
        <f t="shared" si="221"/>
        <v>5554</v>
      </c>
      <c r="Q1167" s="12">
        <f t="shared" si="226"/>
        <v>5554</v>
      </c>
    </row>
    <row r="1168" spans="1:21" x14ac:dyDescent="0.3">
      <c r="A1168" s="1">
        <f t="shared" si="225"/>
        <v>10</v>
      </c>
      <c r="B1168" s="2">
        <v>42699423</v>
      </c>
      <c r="C1168" s="3" t="s">
        <v>140</v>
      </c>
      <c r="D1168" s="12" t="s">
        <v>40</v>
      </c>
      <c r="E1168" s="12" t="s">
        <v>40</v>
      </c>
      <c r="F1168" s="12"/>
      <c r="G1168" s="12"/>
      <c r="H1168" s="12" t="s">
        <v>40</v>
      </c>
      <c r="I1168" s="12"/>
      <c r="J1168" s="12"/>
      <c r="K1168" s="12"/>
      <c r="L1168" s="14">
        <v>411650</v>
      </c>
      <c r="M1168" s="15">
        <f t="shared" si="222"/>
        <v>5</v>
      </c>
      <c r="N1168" s="15">
        <f t="shared" si="223"/>
        <v>0</v>
      </c>
      <c r="O1168" s="14">
        <v>411650</v>
      </c>
      <c r="P1168" s="12">
        <f t="shared" si="221"/>
        <v>34304.166666666664</v>
      </c>
      <c r="Q1168" s="12">
        <f t="shared" si="226"/>
        <v>34304.166666666664</v>
      </c>
      <c r="R1168" t="s">
        <v>140</v>
      </c>
    </row>
    <row r="1169" spans="1:21" x14ac:dyDescent="0.3">
      <c r="A1169" s="1">
        <f t="shared" si="225"/>
        <v>11</v>
      </c>
      <c r="B1169" s="2">
        <v>28237461</v>
      </c>
      <c r="C1169" s="3" t="s">
        <v>140</v>
      </c>
      <c r="D1169" s="12" t="s">
        <v>40</v>
      </c>
      <c r="E1169" s="12" t="s">
        <v>40</v>
      </c>
      <c r="F1169" s="12"/>
      <c r="G1169" s="12"/>
      <c r="H1169" s="12"/>
      <c r="I1169" s="12"/>
      <c r="J1169" s="12"/>
      <c r="K1169" s="12"/>
      <c r="L1169" s="14">
        <v>50000</v>
      </c>
      <c r="M1169" s="15">
        <f t="shared" si="222"/>
        <v>2</v>
      </c>
      <c r="N1169" s="15">
        <f t="shared" si="223"/>
        <v>0</v>
      </c>
      <c r="O1169" s="14">
        <v>50000</v>
      </c>
      <c r="P1169" s="12">
        <f t="shared" si="221"/>
        <v>4166.666666666667</v>
      </c>
      <c r="Q1169" s="12">
        <f t="shared" si="226"/>
        <v>4166.666666666667</v>
      </c>
    </row>
    <row r="1170" spans="1:21" x14ac:dyDescent="0.3">
      <c r="A1170" s="1">
        <f t="shared" si="225"/>
        <v>12</v>
      </c>
      <c r="B1170" s="2" t="s">
        <v>888</v>
      </c>
      <c r="C1170" s="3" t="s">
        <v>140</v>
      </c>
      <c r="D1170" s="12" t="s">
        <v>40</v>
      </c>
      <c r="E1170" s="12" t="s">
        <v>40</v>
      </c>
      <c r="F1170" s="12" t="s">
        <v>40</v>
      </c>
      <c r="G1170" s="12" t="s">
        <v>40</v>
      </c>
      <c r="H1170" s="12" t="s">
        <v>40</v>
      </c>
      <c r="I1170" s="12"/>
      <c r="J1170" s="12"/>
      <c r="K1170" s="12"/>
      <c r="L1170" s="14">
        <v>67200</v>
      </c>
      <c r="M1170" s="15">
        <f t="shared" si="222"/>
        <v>9</v>
      </c>
      <c r="N1170" s="15">
        <f t="shared" si="223"/>
        <v>0</v>
      </c>
      <c r="O1170" s="14">
        <v>67200</v>
      </c>
      <c r="P1170" s="12">
        <f t="shared" si="221"/>
        <v>5600</v>
      </c>
      <c r="Q1170" s="12">
        <f t="shared" si="226"/>
        <v>5600</v>
      </c>
    </row>
    <row r="1171" spans="1:21" x14ac:dyDescent="0.3">
      <c r="A1171" s="1">
        <f t="shared" si="225"/>
        <v>13</v>
      </c>
      <c r="B1171" s="2">
        <v>31173024</v>
      </c>
      <c r="C1171" s="3" t="s">
        <v>140</v>
      </c>
      <c r="D1171" s="12" t="s">
        <v>40</v>
      </c>
      <c r="E1171" s="12" t="s">
        <v>40</v>
      </c>
      <c r="F1171" s="12"/>
      <c r="G1171" s="12"/>
      <c r="H1171" s="12" t="s">
        <v>40</v>
      </c>
      <c r="I1171" s="12"/>
      <c r="J1171" s="12"/>
      <c r="K1171" s="12"/>
      <c r="L1171" s="14">
        <v>81600</v>
      </c>
      <c r="M1171" s="15">
        <f t="shared" si="222"/>
        <v>5</v>
      </c>
      <c r="N1171" s="15">
        <f t="shared" si="223"/>
        <v>0</v>
      </c>
      <c r="O1171" s="14">
        <v>81600</v>
      </c>
      <c r="P1171" s="12">
        <f t="shared" si="221"/>
        <v>6800</v>
      </c>
      <c r="Q1171" s="12">
        <f t="shared" si="226"/>
        <v>6800</v>
      </c>
      <c r="U1171" t="s">
        <v>365</v>
      </c>
    </row>
    <row r="1172" spans="1:21" x14ac:dyDescent="0.3">
      <c r="A1172" s="1">
        <f t="shared" si="225"/>
        <v>14</v>
      </c>
      <c r="B1172" s="2">
        <v>20051068</v>
      </c>
      <c r="C1172" s="3" t="s">
        <v>140</v>
      </c>
      <c r="D1172" s="12" t="s">
        <v>40</v>
      </c>
      <c r="E1172" s="12" t="s">
        <v>40</v>
      </c>
      <c r="F1172" s="12"/>
      <c r="G1172" s="12" t="s">
        <v>40</v>
      </c>
      <c r="H1172" s="12"/>
      <c r="I1172" s="12"/>
      <c r="J1172" s="12"/>
      <c r="K1172" s="12"/>
      <c r="L1172" s="14">
        <v>29825</v>
      </c>
      <c r="M1172" s="15">
        <f t="shared" si="222"/>
        <v>4</v>
      </c>
      <c r="N1172" s="15">
        <f t="shared" si="223"/>
        <v>0</v>
      </c>
      <c r="O1172" s="14">
        <v>29825</v>
      </c>
      <c r="P1172" s="12">
        <f t="shared" si="221"/>
        <v>2485.4166666666665</v>
      </c>
      <c r="Q1172" s="12">
        <f t="shared" si="226"/>
        <v>2485.4166666666665</v>
      </c>
    </row>
    <row r="1173" spans="1:21" x14ac:dyDescent="0.3">
      <c r="A1173" s="1">
        <f t="shared" si="225"/>
        <v>15</v>
      </c>
      <c r="B1173" s="2">
        <v>43391265</v>
      </c>
      <c r="C1173" s="3" t="s">
        <v>140</v>
      </c>
      <c r="D1173" s="12" t="s">
        <v>40</v>
      </c>
      <c r="E1173" s="12" t="s">
        <v>40</v>
      </c>
      <c r="F1173" s="12"/>
      <c r="G1173" s="12" t="s">
        <v>40</v>
      </c>
      <c r="H1173" s="12" t="s">
        <v>40</v>
      </c>
      <c r="I1173" s="12" t="s">
        <v>40</v>
      </c>
      <c r="J1173" s="12"/>
      <c r="K1173" s="12"/>
      <c r="L1173" s="14">
        <v>40800</v>
      </c>
      <c r="M1173" s="15">
        <f t="shared" si="222"/>
        <v>12</v>
      </c>
      <c r="N1173" s="15">
        <f t="shared" si="223"/>
        <v>0</v>
      </c>
      <c r="O1173" s="14">
        <v>40800</v>
      </c>
      <c r="P1173" s="12">
        <f t="shared" si="221"/>
        <v>3400</v>
      </c>
      <c r="Q1173" s="12">
        <f t="shared" si="226"/>
        <v>3400</v>
      </c>
    </row>
    <row r="1174" spans="1:21" x14ac:dyDescent="0.3">
      <c r="A1174" s="1">
        <f t="shared" si="225"/>
        <v>16</v>
      </c>
      <c r="B1174" s="2" t="s">
        <v>889</v>
      </c>
      <c r="C1174" s="3" t="s">
        <v>140</v>
      </c>
      <c r="D1174" s="12" t="s">
        <v>40</v>
      </c>
      <c r="E1174" s="12" t="s">
        <v>40</v>
      </c>
      <c r="F1174" s="12"/>
      <c r="G1174" s="12"/>
      <c r="H1174" s="12"/>
      <c r="I1174" s="12"/>
      <c r="J1174" s="12"/>
      <c r="K1174" s="12"/>
      <c r="L1174" s="14">
        <v>45600</v>
      </c>
      <c r="M1174" s="15">
        <f t="shared" si="222"/>
        <v>2</v>
      </c>
      <c r="N1174" s="15">
        <f t="shared" si="223"/>
        <v>0</v>
      </c>
      <c r="O1174" s="14">
        <v>45600</v>
      </c>
      <c r="P1174" s="12">
        <f t="shared" si="221"/>
        <v>3800</v>
      </c>
      <c r="Q1174" s="12">
        <f t="shared" si="226"/>
        <v>3800</v>
      </c>
    </row>
    <row r="1175" spans="1:21" x14ac:dyDescent="0.3">
      <c r="A1175" s="1">
        <f t="shared" si="225"/>
        <v>17</v>
      </c>
      <c r="B1175" s="2">
        <v>20066854</v>
      </c>
      <c r="C1175" s="3" t="s">
        <v>140</v>
      </c>
      <c r="D1175" s="50" t="s">
        <v>40</v>
      </c>
      <c r="E1175" s="50" t="s">
        <v>40</v>
      </c>
      <c r="F1175" s="50"/>
      <c r="G1175" s="50"/>
      <c r="H1175" s="50" t="s">
        <v>40</v>
      </c>
      <c r="I1175" s="50" t="s">
        <v>40</v>
      </c>
      <c r="J1175" s="50" t="s">
        <v>897</v>
      </c>
      <c r="K1175" s="12"/>
      <c r="L1175" s="14">
        <v>165759</v>
      </c>
      <c r="M1175" s="15">
        <f t="shared" si="222"/>
        <v>15</v>
      </c>
      <c r="N1175" s="15">
        <f t="shared" si="223"/>
        <v>0</v>
      </c>
      <c r="O1175" s="14">
        <v>165759</v>
      </c>
      <c r="P1175" s="12">
        <f t="shared" si="221"/>
        <v>13813.25</v>
      </c>
      <c r="Q1175" s="12">
        <f t="shared" si="226"/>
        <v>13813.25</v>
      </c>
      <c r="U1175" t="s">
        <v>746</v>
      </c>
    </row>
    <row r="1176" spans="1:21" x14ac:dyDescent="0.3">
      <c r="A1176" s="1">
        <f t="shared" si="225"/>
        <v>18</v>
      </c>
      <c r="B1176" s="2" t="s">
        <v>890</v>
      </c>
      <c r="C1176" s="3" t="s">
        <v>140</v>
      </c>
      <c r="D1176" s="12" t="s">
        <v>40</v>
      </c>
      <c r="E1176" s="12" t="s">
        <v>40</v>
      </c>
      <c r="F1176" s="12"/>
      <c r="G1176" s="12"/>
      <c r="H1176" s="12" t="s">
        <v>40</v>
      </c>
      <c r="I1176" s="12"/>
      <c r="J1176" s="12"/>
      <c r="K1176" s="12"/>
      <c r="L1176" s="14">
        <v>54000</v>
      </c>
      <c r="M1176" s="15">
        <f t="shared" si="222"/>
        <v>5</v>
      </c>
      <c r="N1176" s="15">
        <f t="shared" si="223"/>
        <v>0</v>
      </c>
      <c r="O1176" s="14">
        <v>54000</v>
      </c>
      <c r="P1176" s="12">
        <f t="shared" si="221"/>
        <v>4500</v>
      </c>
      <c r="Q1176" s="12">
        <f t="shared" si="226"/>
        <v>4500</v>
      </c>
    </row>
    <row r="1177" spans="1:21" x14ac:dyDescent="0.3">
      <c r="A1177" s="1">
        <f t="shared" si="225"/>
        <v>19</v>
      </c>
      <c r="B1177" s="2" t="s">
        <v>891</v>
      </c>
      <c r="C1177" s="3" t="s">
        <v>140</v>
      </c>
      <c r="D1177" s="12" t="s">
        <v>40</v>
      </c>
      <c r="E1177" s="12" t="s">
        <v>40</v>
      </c>
      <c r="F1177" s="12"/>
      <c r="G1177" s="12"/>
      <c r="H1177" s="12" t="s">
        <v>40</v>
      </c>
      <c r="I1177" s="12"/>
      <c r="J1177" s="12"/>
      <c r="K1177" s="12"/>
      <c r="L1177" s="14">
        <v>60000</v>
      </c>
      <c r="M1177" s="15">
        <f t="shared" si="222"/>
        <v>5</v>
      </c>
      <c r="N1177" s="15">
        <f t="shared" si="223"/>
        <v>0</v>
      </c>
      <c r="O1177" s="14">
        <v>60000</v>
      </c>
      <c r="P1177" s="12">
        <f t="shared" si="221"/>
        <v>5000</v>
      </c>
      <c r="Q1177" s="12">
        <f t="shared" si="226"/>
        <v>5000</v>
      </c>
    </row>
    <row r="1178" spans="1:21" x14ac:dyDescent="0.3">
      <c r="A1178" s="1">
        <f t="shared" si="225"/>
        <v>20</v>
      </c>
      <c r="B1178" s="2" t="s">
        <v>892</v>
      </c>
      <c r="C1178" s="3" t="s">
        <v>140</v>
      </c>
      <c r="D1178" s="12" t="s">
        <v>40</v>
      </c>
      <c r="E1178" s="12" t="s">
        <v>40</v>
      </c>
      <c r="F1178" s="12"/>
      <c r="G1178" s="12"/>
      <c r="H1178" s="12" t="s">
        <v>40</v>
      </c>
      <c r="I1178" s="12"/>
      <c r="J1178" s="12"/>
      <c r="K1178" s="12"/>
      <c r="L1178" s="14">
        <v>122057</v>
      </c>
      <c r="M1178" s="15">
        <f t="shared" si="222"/>
        <v>5</v>
      </c>
      <c r="N1178" s="15">
        <f t="shared" si="223"/>
        <v>0</v>
      </c>
      <c r="O1178" s="14">
        <v>122057</v>
      </c>
      <c r="P1178" s="12">
        <f t="shared" si="221"/>
        <v>10171.416666666666</v>
      </c>
      <c r="Q1178" s="12">
        <f t="shared" si="226"/>
        <v>10171.416666666666</v>
      </c>
    </row>
    <row r="1179" spans="1:21" x14ac:dyDescent="0.3">
      <c r="A1179" s="1">
        <f t="shared" si="225"/>
        <v>21</v>
      </c>
      <c r="B1179" s="2">
        <v>20073840</v>
      </c>
      <c r="C1179" s="3" t="s">
        <v>140</v>
      </c>
      <c r="D1179" s="12" t="s">
        <v>40</v>
      </c>
      <c r="E1179" s="12" t="s">
        <v>40</v>
      </c>
      <c r="F1179" s="12"/>
      <c r="G1179" s="12" t="s">
        <v>40</v>
      </c>
      <c r="H1179" s="12" t="s">
        <v>40</v>
      </c>
      <c r="I1179" s="12"/>
      <c r="J1179" s="12"/>
      <c r="K1179" s="12"/>
      <c r="L1179" s="14">
        <v>120000</v>
      </c>
      <c r="M1179" s="15">
        <f t="shared" si="222"/>
        <v>7</v>
      </c>
      <c r="N1179" s="15">
        <f t="shared" si="223"/>
        <v>0</v>
      </c>
      <c r="O1179" s="14">
        <v>120000</v>
      </c>
      <c r="P1179" s="12">
        <f t="shared" si="221"/>
        <v>10000</v>
      </c>
      <c r="Q1179" s="12">
        <f t="shared" si="226"/>
        <v>10000</v>
      </c>
    </row>
    <row r="1180" spans="1:21" x14ac:dyDescent="0.3">
      <c r="A1180" s="1">
        <f t="shared" si="225"/>
        <v>22</v>
      </c>
      <c r="B1180" s="2" t="s">
        <v>893</v>
      </c>
      <c r="C1180" s="3" t="s">
        <v>140</v>
      </c>
      <c r="D1180" s="12" t="s">
        <v>40</v>
      </c>
      <c r="E1180" s="12" t="s">
        <v>40</v>
      </c>
      <c r="F1180" s="12" t="s">
        <v>40</v>
      </c>
      <c r="G1180" s="12"/>
      <c r="H1180" s="12"/>
      <c r="I1180" s="12"/>
      <c r="J1180" s="12"/>
      <c r="K1180" s="12"/>
      <c r="L1180" s="14">
        <v>39600</v>
      </c>
      <c r="M1180" s="15">
        <f t="shared" si="222"/>
        <v>4</v>
      </c>
      <c r="N1180" s="15">
        <f t="shared" si="223"/>
        <v>0</v>
      </c>
      <c r="O1180" s="14">
        <v>39600</v>
      </c>
      <c r="P1180" s="12">
        <f t="shared" si="221"/>
        <v>3300</v>
      </c>
      <c r="Q1180" s="12">
        <f t="shared" si="226"/>
        <v>3300</v>
      </c>
    </row>
    <row r="1181" spans="1:21" x14ac:dyDescent="0.3">
      <c r="A1181" s="1">
        <f t="shared" si="225"/>
        <v>23</v>
      </c>
      <c r="B1181" s="2">
        <v>19864589</v>
      </c>
      <c r="C1181" s="3" t="s">
        <v>140</v>
      </c>
      <c r="D1181" s="12" t="s">
        <v>40</v>
      </c>
      <c r="E1181" s="12" t="s">
        <v>40</v>
      </c>
      <c r="F1181" s="12"/>
      <c r="G1181" s="12" t="s">
        <v>40</v>
      </c>
      <c r="H1181" s="12"/>
      <c r="I1181" s="12"/>
      <c r="J1181" s="12"/>
      <c r="K1181" s="12"/>
      <c r="L1181" s="14">
        <v>33600</v>
      </c>
      <c r="M1181" s="15">
        <f t="shared" si="222"/>
        <v>4</v>
      </c>
      <c r="N1181" s="15">
        <f t="shared" si="223"/>
        <v>0</v>
      </c>
      <c r="O1181" s="14">
        <v>33600</v>
      </c>
      <c r="P1181" s="12">
        <f t="shared" si="221"/>
        <v>2800</v>
      </c>
      <c r="Q1181" s="12">
        <f t="shared" si="226"/>
        <v>2800</v>
      </c>
      <c r="U1181" t="s">
        <v>746</v>
      </c>
    </row>
    <row r="1182" spans="1:21" x14ac:dyDescent="0.3">
      <c r="A1182" s="1">
        <f t="shared" si="225"/>
        <v>24</v>
      </c>
      <c r="B1182" s="2">
        <v>20075990</v>
      </c>
      <c r="C1182" s="3" t="s">
        <v>140</v>
      </c>
      <c r="D1182" s="12" t="s">
        <v>40</v>
      </c>
      <c r="E1182" s="12" t="s">
        <v>40</v>
      </c>
      <c r="F1182" s="12"/>
      <c r="G1182" s="12" t="s">
        <v>40</v>
      </c>
      <c r="H1182" s="12"/>
      <c r="I1182" s="12"/>
      <c r="J1182" s="12"/>
      <c r="K1182" s="12"/>
      <c r="L1182" s="14">
        <v>40670.400000000001</v>
      </c>
      <c r="M1182" s="15">
        <f t="shared" si="222"/>
        <v>4</v>
      </c>
      <c r="N1182" s="15">
        <f t="shared" si="223"/>
        <v>0</v>
      </c>
      <c r="O1182" s="14">
        <v>40670.400000000001</v>
      </c>
      <c r="P1182" s="12">
        <f t="shared" si="221"/>
        <v>3389.2000000000003</v>
      </c>
      <c r="Q1182" s="12">
        <f t="shared" si="226"/>
        <v>3389.2000000000003</v>
      </c>
    </row>
    <row r="1183" spans="1:21" x14ac:dyDescent="0.3">
      <c r="A1183" s="1">
        <f t="shared" si="225"/>
        <v>25</v>
      </c>
      <c r="B1183" s="2" t="s">
        <v>894</v>
      </c>
      <c r="C1183" s="3" t="s">
        <v>140</v>
      </c>
      <c r="D1183" s="12" t="s">
        <v>40</v>
      </c>
      <c r="E1183" s="12" t="s">
        <v>40</v>
      </c>
      <c r="F1183" s="12"/>
      <c r="G1183" s="12"/>
      <c r="H1183" s="12" t="s">
        <v>40</v>
      </c>
      <c r="I1183" s="12"/>
      <c r="J1183" s="12"/>
      <c r="K1183" s="12"/>
      <c r="L1183" s="14">
        <v>36588</v>
      </c>
      <c r="M1183" s="15">
        <f t="shared" si="222"/>
        <v>5</v>
      </c>
      <c r="N1183" s="15">
        <f t="shared" si="223"/>
        <v>0</v>
      </c>
      <c r="O1183" s="14">
        <v>36588</v>
      </c>
      <c r="P1183" s="12">
        <f t="shared" si="221"/>
        <v>3049</v>
      </c>
      <c r="Q1183" s="12">
        <f t="shared" si="226"/>
        <v>3049</v>
      </c>
    </row>
    <row r="1184" spans="1:21" x14ac:dyDescent="0.3">
      <c r="A1184" s="1">
        <f t="shared" si="225"/>
        <v>26</v>
      </c>
      <c r="B1184" s="2">
        <v>20057129</v>
      </c>
      <c r="C1184" s="3" t="s">
        <v>140</v>
      </c>
      <c r="D1184" s="12" t="s">
        <v>40</v>
      </c>
      <c r="E1184" s="12" t="s">
        <v>40</v>
      </c>
      <c r="F1184" s="12" t="s">
        <v>40</v>
      </c>
      <c r="G1184" s="12"/>
      <c r="H1184" s="12" t="s">
        <v>40</v>
      </c>
      <c r="I1184" s="12" t="s">
        <v>40</v>
      </c>
      <c r="J1184" s="12"/>
      <c r="K1184" s="12"/>
      <c r="L1184" s="14">
        <v>38200</v>
      </c>
      <c r="M1184" s="15">
        <f t="shared" si="222"/>
        <v>12</v>
      </c>
      <c r="N1184" s="15">
        <f t="shared" si="223"/>
        <v>0</v>
      </c>
      <c r="O1184" s="14">
        <v>38200</v>
      </c>
      <c r="P1184" s="12">
        <f t="shared" si="221"/>
        <v>3183.3333333333335</v>
      </c>
      <c r="Q1184" s="12">
        <f t="shared" si="226"/>
        <v>3183.3333333333335</v>
      </c>
    </row>
    <row r="1185" spans="1:18" x14ac:dyDescent="0.3">
      <c r="A1185" s="1">
        <f t="shared" si="225"/>
        <v>27</v>
      </c>
      <c r="B1185" s="2">
        <v>42377791</v>
      </c>
      <c r="C1185" s="3" t="s">
        <v>140</v>
      </c>
      <c r="D1185" s="12" t="s">
        <v>40</v>
      </c>
      <c r="E1185" s="12" t="s">
        <v>40</v>
      </c>
      <c r="F1185" s="12"/>
      <c r="G1185" s="12"/>
      <c r="H1185" s="12"/>
      <c r="I1185" s="12"/>
      <c r="J1185" s="12"/>
      <c r="K1185" s="12"/>
      <c r="L1185" s="14">
        <v>427249.6</v>
      </c>
      <c r="M1185" s="15">
        <f t="shared" si="222"/>
        <v>2</v>
      </c>
      <c r="N1185" s="15">
        <f t="shared" si="223"/>
        <v>0</v>
      </c>
      <c r="O1185" s="14">
        <v>427249.6</v>
      </c>
      <c r="P1185" s="12">
        <f t="shared" si="221"/>
        <v>35604.133333333331</v>
      </c>
      <c r="Q1185" s="12">
        <f t="shared" si="226"/>
        <v>35604.133333333331</v>
      </c>
      <c r="R1185" t="s">
        <v>140</v>
      </c>
    </row>
    <row r="1186" spans="1:18" x14ac:dyDescent="0.3">
      <c r="A1186" s="1">
        <f t="shared" si="225"/>
        <v>28</v>
      </c>
      <c r="B1186" s="2">
        <v>40725826</v>
      </c>
      <c r="C1186" s="3" t="s">
        <v>140</v>
      </c>
      <c r="D1186" s="12" t="s">
        <v>40</v>
      </c>
      <c r="E1186" s="12" t="s">
        <v>40</v>
      </c>
      <c r="F1186" s="12"/>
      <c r="G1186" s="12"/>
      <c r="H1186" s="12"/>
      <c r="I1186" s="12"/>
      <c r="J1186" s="12"/>
      <c r="K1186" s="12"/>
      <c r="L1186" s="14">
        <v>48000</v>
      </c>
      <c r="M1186" s="15">
        <f t="shared" si="222"/>
        <v>2</v>
      </c>
      <c r="N1186" s="15">
        <f t="shared" si="223"/>
        <v>0</v>
      </c>
      <c r="O1186" s="14">
        <v>48000</v>
      </c>
      <c r="P1186" s="12">
        <f t="shared" si="221"/>
        <v>4000</v>
      </c>
      <c r="Q1186" s="12">
        <f t="shared" si="226"/>
        <v>4000</v>
      </c>
    </row>
    <row r="1187" spans="1:18" x14ac:dyDescent="0.3">
      <c r="A1187" s="1">
        <f t="shared" si="225"/>
        <v>29</v>
      </c>
      <c r="B1187" s="2">
        <v>19254198</v>
      </c>
      <c r="C1187" s="3" t="s">
        <v>140</v>
      </c>
      <c r="D1187" s="12" t="s">
        <v>40</v>
      </c>
      <c r="E1187" s="12" t="s">
        <v>40</v>
      </c>
      <c r="F1187" s="12"/>
      <c r="G1187" s="12"/>
      <c r="H1187" s="12" t="s">
        <v>40</v>
      </c>
      <c r="I1187" s="12"/>
      <c r="J1187" s="12"/>
      <c r="K1187" s="12" t="s">
        <v>40</v>
      </c>
      <c r="L1187" s="14">
        <v>13560</v>
      </c>
      <c r="M1187" s="15">
        <f t="shared" si="222"/>
        <v>5</v>
      </c>
      <c r="N1187" s="15">
        <f t="shared" si="223"/>
        <v>1</v>
      </c>
      <c r="O1187" s="14">
        <v>13560</v>
      </c>
      <c r="P1187" s="12">
        <f t="shared" si="221"/>
        <v>1130</v>
      </c>
      <c r="Q1187" s="12">
        <f t="shared" si="226"/>
        <v>1130</v>
      </c>
    </row>
    <row r="1188" spans="1:18" x14ac:dyDescent="0.3">
      <c r="A1188" s="1">
        <f t="shared" si="225"/>
        <v>30</v>
      </c>
      <c r="B1188" s="2" t="s">
        <v>895</v>
      </c>
      <c r="C1188" s="3" t="s">
        <v>140</v>
      </c>
      <c r="D1188" s="12" t="s">
        <v>40</v>
      </c>
      <c r="E1188" s="12" t="s">
        <v>40</v>
      </c>
      <c r="F1188" s="12"/>
      <c r="G1188" s="12"/>
      <c r="H1188" s="12" t="s">
        <v>40</v>
      </c>
      <c r="I1188" s="12"/>
      <c r="J1188" s="12"/>
      <c r="K1188" s="12"/>
      <c r="L1188" s="14">
        <v>15133.56</v>
      </c>
      <c r="M1188" s="15">
        <f t="shared" si="222"/>
        <v>5</v>
      </c>
      <c r="N1188" s="15">
        <f t="shared" si="223"/>
        <v>0</v>
      </c>
      <c r="O1188" s="14">
        <v>15133.56</v>
      </c>
      <c r="P1188" s="12">
        <f t="shared" si="221"/>
        <v>1261.1299999999999</v>
      </c>
      <c r="Q1188" s="12">
        <f t="shared" si="226"/>
        <v>1261.1299999999999</v>
      </c>
    </row>
    <row r="1189" spans="1:18" x14ac:dyDescent="0.3">
      <c r="B1189" s="29"/>
      <c r="D1189"/>
      <c r="E1189"/>
      <c r="F1189"/>
      <c r="G1189"/>
      <c r="H1189"/>
      <c r="I1189"/>
      <c r="J1189"/>
      <c r="L1189" s="14">
        <f>+AVERAGE(L1159:L1188)</f>
        <v>145582.33166666664</v>
      </c>
      <c r="M1189" s="14">
        <f>+AVERAGE(M1159:M1188)</f>
        <v>6.4</v>
      </c>
      <c r="N1189" s="14">
        <f>+SUM(N1159:N1188)</f>
        <v>3</v>
      </c>
      <c r="O1189" s="14">
        <f>+AVERAGE(O1159:O1188)</f>
        <v>140722.15535714285</v>
      </c>
      <c r="P1189" s="14">
        <f>+AVERAGE(P1159:P1188)</f>
        <v>12131.860972222221</v>
      </c>
      <c r="Q1189" s="14">
        <f>+AVERAGE(Q1159:Q1188)</f>
        <v>11726.846279761903</v>
      </c>
    </row>
    <row r="1190" spans="1:18" x14ac:dyDescent="0.3">
      <c r="D1190"/>
      <c r="E1190"/>
      <c r="F1190"/>
      <c r="G1190"/>
      <c r="H1190"/>
      <c r="I1190"/>
      <c r="J1190"/>
      <c r="L1190" s="14">
        <f>+STDEV(L1159:L1188)</f>
        <v>150988.33690899945</v>
      </c>
      <c r="M1190" s="14">
        <f>+STDEV(M1159:M1188)</f>
        <v>4.1322950123346134</v>
      </c>
      <c r="N1190" s="17"/>
      <c r="O1190" s="14">
        <f>+STDEV(O1159:O1188)</f>
        <v>144008.07545060906</v>
      </c>
      <c r="P1190" s="14">
        <f>+STDEV(P1159:P1188)</f>
        <v>12582.361409083285</v>
      </c>
      <c r="Q1190" s="14">
        <f>+STDEV(Q1159:Q1188)</f>
        <v>12000.67295421742</v>
      </c>
    </row>
    <row r="1191" spans="1:18" x14ac:dyDescent="0.3">
      <c r="D1191"/>
      <c r="E1191"/>
      <c r="F1191"/>
      <c r="G1191"/>
      <c r="H1191"/>
      <c r="I1191" s="15"/>
      <c r="J1191" s="15"/>
      <c r="K1191" s="11" t="s">
        <v>75</v>
      </c>
      <c r="L1191" s="14">
        <f>+COUNTIF(L1159:L1188,0)</f>
        <v>1</v>
      </c>
      <c r="M1191" s="14">
        <f>+COUNT(M1159:M1188)</f>
        <v>30</v>
      </c>
      <c r="P1191" s="14">
        <f>+COUNTIF(P1159:P1188,0)</f>
        <v>1</v>
      </c>
    </row>
  </sheetData>
  <autoFilter ref="A2:Q1191" xr:uid="{8CA47C21-C8FC-4AD7-AB56-3F9763178E4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007CC-9EA0-43AC-A63D-97BB3EE6E5B8}">
  <dimension ref="A1:N40"/>
  <sheetViews>
    <sheetView topLeftCell="A9" workbookViewId="0">
      <selection activeCell="K29" sqref="K29"/>
    </sheetView>
  </sheetViews>
  <sheetFormatPr baseColWidth="10" defaultRowHeight="14.4" x14ac:dyDescent="0.3"/>
  <cols>
    <col min="2" max="2" width="20.5546875" bestFit="1" customWidth="1"/>
    <col min="3" max="13" width="13.77734375" customWidth="1"/>
  </cols>
  <sheetData>
    <row r="1" spans="1:14" x14ac:dyDescent="0.3">
      <c r="C1" s="66" t="s">
        <v>439</v>
      </c>
      <c r="D1" s="66"/>
      <c r="G1" s="66" t="s">
        <v>176</v>
      </c>
      <c r="H1" s="66"/>
      <c r="I1" s="66" t="s">
        <v>41</v>
      </c>
      <c r="J1" s="66"/>
      <c r="K1" s="66" t="s">
        <v>440</v>
      </c>
      <c r="L1" s="66"/>
      <c r="N1">
        <f>1130*4</f>
        <v>4520</v>
      </c>
    </row>
    <row r="2" spans="1:14" x14ac:dyDescent="0.3">
      <c r="B2" t="s">
        <v>32</v>
      </c>
      <c r="C2" s="38" t="s">
        <v>174</v>
      </c>
      <c r="D2" s="38" t="s">
        <v>175</v>
      </c>
      <c r="E2" s="38" t="s">
        <v>173</v>
      </c>
      <c r="F2" s="38" t="s">
        <v>234</v>
      </c>
      <c r="G2" s="38" t="s">
        <v>174</v>
      </c>
      <c r="H2" s="38" t="s">
        <v>175</v>
      </c>
      <c r="I2" s="38" t="s">
        <v>257</v>
      </c>
      <c r="J2" s="38" t="s">
        <v>258</v>
      </c>
      <c r="K2" s="38" t="s">
        <v>174</v>
      </c>
      <c r="L2" s="38" t="s">
        <v>175</v>
      </c>
      <c r="M2" s="38" t="s">
        <v>234</v>
      </c>
      <c r="N2" s="38" t="s">
        <v>414</v>
      </c>
    </row>
    <row r="3" spans="1:14" x14ac:dyDescent="0.3">
      <c r="A3">
        <v>1</v>
      </c>
      <c r="B3" t="str">
        <f t="shared" ref="B3:B9" ca="1" si="0">INDIRECT(ADDRESS(34*(A3-1)+3,3,,,"Crudo2"))</f>
        <v>Ahora Nación</v>
      </c>
      <c r="C3" s="39">
        <f t="shared" ref="C3:C37" ca="1" si="1">INDIRECT(ADDRESS(34*(A3-1)+33,16,,,"Crudo2"))</f>
        <v>8509.7649107142861</v>
      </c>
      <c r="D3" s="39">
        <f t="shared" ref="D3:D37" ca="1" si="2">INDIRECT(ADDRESS(34*(A3-1)+34,16,,,"Crudo2"))</f>
        <v>8326.9528239522315</v>
      </c>
      <c r="E3" s="40">
        <f t="shared" ref="E3:E37" ca="1" si="3">INDIRECT(ADDRESS(34*(A3-1)+35,12,,,"Crudo2"))</f>
        <v>0</v>
      </c>
      <c r="F3" s="41">
        <f ca="1">+E3/M3</f>
        <v>0</v>
      </c>
      <c r="G3" s="42">
        <f t="shared" ref="G3:G37" ca="1" si="4">INDIRECT(ADDRESS(34*(A3-1)+33,13,,,"Crudo2"))</f>
        <v>7.3928571428571432</v>
      </c>
      <c r="H3" s="42">
        <f t="shared" ref="H3:H37" ca="1" si="5">INDIRECT(ADDRESS(34*(A3-1)+34,13,,,"Crudo2"))</f>
        <v>4.7713596611315117</v>
      </c>
      <c r="I3" s="42">
        <f t="shared" ref="I3:I37" ca="1" si="6">INDIRECT(ADDRESS(34*(A3-1)+33,14,,,"Crudo2"))</f>
        <v>0</v>
      </c>
      <c r="J3" s="41">
        <f ca="1">+I3/M3</f>
        <v>0</v>
      </c>
      <c r="K3" s="39">
        <f t="shared" ref="K3:K37" ca="1" si="7">INDIRECT(ADDRESS(34*(A3-1)+33,17,,,"Crudo2"))</f>
        <v>6872.4074382716044</v>
      </c>
      <c r="L3" s="39">
        <f t="shared" ref="L3:L37" ca="1" si="8">INDIRECT(ADDRESS(34*(A3-1)+34,17,,,"Crudo2"))</f>
        <v>5479.2326649434781</v>
      </c>
      <c r="M3" s="40">
        <f t="shared" ref="M3:M37" ca="1" si="9">INDIRECT(ADDRESS(34*(A3-1)+35,13,,,"Crudo2"))</f>
        <v>28</v>
      </c>
      <c r="N3" s="43">
        <f ca="1">+M3-E3</f>
        <v>28</v>
      </c>
    </row>
    <row r="4" spans="1:14" x14ac:dyDescent="0.3">
      <c r="A4">
        <f>+A3+1</f>
        <v>2</v>
      </c>
      <c r="B4" t="str">
        <f t="shared" ca="1" si="0"/>
        <v>Renovación Popular</v>
      </c>
      <c r="C4" s="21">
        <f t="shared" ca="1" si="1"/>
        <v>15310.844109195406</v>
      </c>
      <c r="D4" s="21">
        <f t="shared" ca="1" si="2"/>
        <v>29497.025197436116</v>
      </c>
      <c r="E4" s="23">
        <f t="shared" ca="1" si="3"/>
        <v>7</v>
      </c>
      <c r="F4" s="26">
        <f t="shared" ref="F4:F37" ca="1" si="10">+E4/M4</f>
        <v>0.2413793103448276</v>
      </c>
      <c r="G4" s="22">
        <f t="shared" ca="1" si="4"/>
        <v>5.8275862068965516</v>
      </c>
      <c r="H4" s="22">
        <f t="shared" ca="1" si="5"/>
        <v>3.6942906289613338</v>
      </c>
      <c r="I4" s="22">
        <f t="shared" ca="1" si="6"/>
        <v>5</v>
      </c>
      <c r="J4" s="26">
        <f t="shared" ref="J4:J37" ca="1" si="11">+I4/M4</f>
        <v>0.17241379310344829</v>
      </c>
      <c r="K4" s="21">
        <f t="shared" ca="1" si="7"/>
        <v>13614.284722222223</v>
      </c>
      <c r="L4" s="21">
        <f t="shared" ca="1" si="8"/>
        <v>10648.482328466114</v>
      </c>
      <c r="M4" s="23">
        <f t="shared" ca="1" si="9"/>
        <v>29</v>
      </c>
      <c r="N4">
        <f t="shared" ref="N4:N37" ca="1" si="12">+M4-E4</f>
        <v>22</v>
      </c>
    </row>
    <row r="5" spans="1:14" x14ac:dyDescent="0.3">
      <c r="A5">
        <f>+A4+1</f>
        <v>3</v>
      </c>
      <c r="B5" t="str">
        <f t="shared" ca="1" si="0"/>
        <v>Fuerza Popular</v>
      </c>
      <c r="C5" s="21">
        <f t="shared" ca="1" si="1"/>
        <v>16195.718083333331</v>
      </c>
      <c r="D5" s="21">
        <f t="shared" ca="1" si="2"/>
        <v>14402.227228310208</v>
      </c>
      <c r="E5" s="23">
        <f t="shared" ca="1" si="3"/>
        <v>1</v>
      </c>
      <c r="F5" s="26">
        <f t="shared" ca="1" si="10"/>
        <v>3.3333333333333333E-2</v>
      </c>
      <c r="G5" s="22">
        <f t="shared" ca="1" si="4"/>
        <v>6.833333333333333</v>
      </c>
      <c r="H5" s="22">
        <f t="shared" ca="1" si="5"/>
        <v>3.7608081792241865</v>
      </c>
      <c r="I5" s="22">
        <f t="shared" ca="1" si="6"/>
        <v>6</v>
      </c>
      <c r="J5" s="26">
        <f t="shared" ca="1" si="11"/>
        <v>0.2</v>
      </c>
      <c r="K5" s="21">
        <f t="shared" ca="1" si="7"/>
        <v>15141.925555555556</v>
      </c>
      <c r="L5" s="21">
        <f t="shared" ca="1" si="8"/>
        <v>10657.682886582295</v>
      </c>
      <c r="M5" s="23">
        <f t="shared" ca="1" si="9"/>
        <v>30</v>
      </c>
      <c r="N5">
        <f t="shared" ca="1" si="12"/>
        <v>29</v>
      </c>
    </row>
    <row r="6" spans="1:14" x14ac:dyDescent="0.3">
      <c r="A6">
        <f>+A5+1</f>
        <v>4</v>
      </c>
      <c r="B6" t="str">
        <f t="shared" ca="1" si="0"/>
        <v>Alianza para el Progreso</v>
      </c>
      <c r="C6" s="21">
        <f t="shared" ca="1" si="1"/>
        <v>42399.069827586209</v>
      </c>
      <c r="D6" s="21">
        <f t="shared" ca="1" si="2"/>
        <v>150040.03445523279</v>
      </c>
      <c r="E6" s="23">
        <f t="shared" ca="1" si="3"/>
        <v>3</v>
      </c>
      <c r="F6" s="26">
        <f t="shared" ca="1" si="10"/>
        <v>0.10344827586206896</v>
      </c>
      <c r="G6" s="22">
        <f t="shared" ca="1" si="4"/>
        <v>8.4137931034482758</v>
      </c>
      <c r="H6" s="22">
        <f t="shared" ca="1" si="5"/>
        <v>4.9245539419417055</v>
      </c>
      <c r="I6" s="22">
        <f t="shared" ca="1" si="6"/>
        <v>7</v>
      </c>
      <c r="J6" s="26">
        <f t="shared" ca="1" si="11"/>
        <v>0.2413793103448276</v>
      </c>
      <c r="K6" s="21">
        <f t="shared" ca="1" si="7"/>
        <v>16393.700999999997</v>
      </c>
      <c r="L6" s="21">
        <f t="shared" ca="1" si="8"/>
        <v>12570.0676278916</v>
      </c>
      <c r="M6" s="23">
        <f t="shared" ca="1" si="9"/>
        <v>29</v>
      </c>
      <c r="N6">
        <f t="shared" ca="1" si="12"/>
        <v>26</v>
      </c>
    </row>
    <row r="7" spans="1:14" x14ac:dyDescent="0.3">
      <c r="A7">
        <f>+A6+1</f>
        <v>5</v>
      </c>
      <c r="B7" t="str">
        <f t="shared" ca="1" si="0"/>
        <v>Juntos por el Perú</v>
      </c>
      <c r="C7" s="21">
        <f t="shared" ca="1" si="1"/>
        <v>8226.7181111111113</v>
      </c>
      <c r="D7" s="21">
        <f t="shared" ca="1" si="2"/>
        <v>16506.917090772229</v>
      </c>
      <c r="E7" s="23">
        <f t="shared" ca="1" si="3"/>
        <v>8</v>
      </c>
      <c r="F7" s="26">
        <f t="shared" ca="1" si="10"/>
        <v>0.26666666666666666</v>
      </c>
      <c r="G7" s="22">
        <f t="shared" ca="1" si="4"/>
        <v>5</v>
      </c>
      <c r="H7" s="22">
        <f t="shared" ca="1" si="5"/>
        <v>3.850660489694794</v>
      </c>
      <c r="I7" s="22">
        <f t="shared" ca="1" si="6"/>
        <v>2</v>
      </c>
      <c r="J7" s="26">
        <f t="shared" ca="1" si="11"/>
        <v>6.6666666666666666E-2</v>
      </c>
      <c r="K7" s="21">
        <f t="shared" ca="1" si="7"/>
        <v>7985.3433333333342</v>
      </c>
      <c r="L7" s="21">
        <f t="shared" ca="1" si="8"/>
        <v>10804.793561604609</v>
      </c>
      <c r="M7" s="23">
        <f t="shared" ca="1" si="9"/>
        <v>30</v>
      </c>
      <c r="N7">
        <f t="shared" ca="1" si="12"/>
        <v>22</v>
      </c>
    </row>
    <row r="8" spans="1:14" x14ac:dyDescent="0.3">
      <c r="A8">
        <f t="shared" ref="A8:A40" si="13">+A7+1</f>
        <v>6</v>
      </c>
      <c r="B8" t="str">
        <f t="shared" ca="1" si="0"/>
        <v>Buen Gobierno</v>
      </c>
      <c r="C8" s="39">
        <f t="shared" ca="1" si="1"/>
        <v>6373.2588888888868</v>
      </c>
      <c r="D8" s="39">
        <f t="shared" ca="1" si="2"/>
        <v>8562.9171462189261</v>
      </c>
      <c r="E8" s="40">
        <f t="shared" ca="1" si="3"/>
        <v>2</v>
      </c>
      <c r="F8" s="41">
        <f t="shared" ca="1" si="10"/>
        <v>6.6666666666666666E-2</v>
      </c>
      <c r="G8" s="42">
        <f t="shared" ca="1" si="4"/>
        <v>6</v>
      </c>
      <c r="H8" s="42">
        <f t="shared" ca="1" si="5"/>
        <v>3.2589399588167338</v>
      </c>
      <c r="I8" s="42">
        <f t="shared" ca="1" si="6"/>
        <v>1</v>
      </c>
      <c r="J8" s="41">
        <f t="shared" ca="1" si="11"/>
        <v>3.3333333333333333E-2</v>
      </c>
      <c r="K8" s="39">
        <f t="shared" ca="1" si="7"/>
        <v>5266.1580246913582</v>
      </c>
      <c r="L8" s="39">
        <f t="shared" ca="1" si="8"/>
        <v>5446.8125705588864</v>
      </c>
      <c r="M8" s="40">
        <f t="shared" ca="1" si="9"/>
        <v>30</v>
      </c>
      <c r="N8" s="43">
        <f t="shared" ca="1" si="12"/>
        <v>28</v>
      </c>
    </row>
    <row r="9" spans="1:14" x14ac:dyDescent="0.3">
      <c r="A9">
        <f t="shared" si="13"/>
        <v>7</v>
      </c>
      <c r="B9" t="str">
        <f t="shared" ca="1" si="0"/>
        <v>Obras</v>
      </c>
      <c r="C9" s="21">
        <f t="shared" ca="1" si="1"/>
        <v>2769.8313611111107</v>
      </c>
      <c r="D9" s="21">
        <f t="shared" ca="1" si="2"/>
        <v>5039.9981360640923</v>
      </c>
      <c r="E9" s="23">
        <f t="shared" ca="1" si="3"/>
        <v>9</v>
      </c>
      <c r="F9" s="26">
        <f t="shared" ca="1" si="10"/>
        <v>0.3</v>
      </c>
      <c r="G9" s="22">
        <f t="shared" ca="1" si="4"/>
        <v>3.7</v>
      </c>
      <c r="H9" s="22">
        <f t="shared" ca="1" si="5"/>
        <v>2.2916640543349791</v>
      </c>
      <c r="I9" s="22">
        <f t="shared" ca="1" si="6"/>
        <v>2</v>
      </c>
      <c r="J9" s="26">
        <f t="shared" ca="1" si="11"/>
        <v>6.6666666666666666E-2</v>
      </c>
      <c r="K9" s="21">
        <f t="shared" ca="1" si="7"/>
        <v>3308.4868421052633</v>
      </c>
      <c r="L9" s="21">
        <f t="shared" ca="1" si="8"/>
        <v>4320.5012131959584</v>
      </c>
      <c r="M9" s="23">
        <f t="shared" ca="1" si="9"/>
        <v>30</v>
      </c>
      <c r="N9">
        <f t="shared" ca="1" si="12"/>
        <v>21</v>
      </c>
    </row>
    <row r="10" spans="1:14" x14ac:dyDescent="0.3">
      <c r="A10">
        <f t="shared" si="13"/>
        <v>8</v>
      </c>
      <c r="B10" t="s">
        <v>235</v>
      </c>
      <c r="C10" s="21">
        <f t="shared" ca="1" si="1"/>
        <v>3869.7260277777777</v>
      </c>
      <c r="D10" s="21">
        <f t="shared" ca="1" si="2"/>
        <v>5453.1101628896276</v>
      </c>
      <c r="E10" s="23">
        <f t="shared" ca="1" si="3"/>
        <v>14</v>
      </c>
      <c r="F10" s="26">
        <f t="shared" ca="1" si="10"/>
        <v>0.46666666666666667</v>
      </c>
      <c r="G10" s="22">
        <f t="shared" ca="1" si="4"/>
        <v>7.4333333333333336</v>
      </c>
      <c r="H10" s="22">
        <f t="shared" ca="1" si="5"/>
        <v>4.9527653949557573</v>
      </c>
      <c r="I10" s="22">
        <f t="shared" ca="1" si="6"/>
        <v>0</v>
      </c>
      <c r="J10" s="26">
        <f t="shared" ca="1" si="11"/>
        <v>0</v>
      </c>
      <c r="K10" s="21">
        <f t="shared" ca="1" si="7"/>
        <v>6195.9687222222228</v>
      </c>
      <c r="L10" s="21">
        <f t="shared" ca="1" si="8"/>
        <v>3777.0186915426539</v>
      </c>
      <c r="M10" s="23">
        <f t="shared" ca="1" si="9"/>
        <v>30</v>
      </c>
      <c r="N10">
        <f t="shared" ca="1" si="12"/>
        <v>16</v>
      </c>
    </row>
    <row r="11" spans="1:14" x14ac:dyDescent="0.3">
      <c r="A11">
        <f t="shared" si="13"/>
        <v>9</v>
      </c>
      <c r="B11" t="str">
        <f t="shared" ref="B11:B37" ca="1" si="14">INDIRECT(ADDRESS(34*(A11-1)+3,3,,,"Crudo2"))</f>
        <v>Partido Morado</v>
      </c>
      <c r="C11" s="39">
        <f t="shared" ca="1" si="1"/>
        <v>8654.14857142857</v>
      </c>
      <c r="D11" s="39">
        <f t="shared" ca="1" si="2"/>
        <v>10863.373378260436</v>
      </c>
      <c r="E11" s="40">
        <f t="shared" ca="1" si="3"/>
        <v>1</v>
      </c>
      <c r="F11" s="41">
        <f t="shared" ca="1" si="10"/>
        <v>3.5714285714285712E-2</v>
      </c>
      <c r="G11" s="42">
        <f t="shared" ca="1" si="4"/>
        <v>6.3571428571428568</v>
      </c>
      <c r="H11" s="42">
        <f t="shared" ca="1" si="5"/>
        <v>3.0455101830616611</v>
      </c>
      <c r="I11" s="42">
        <f t="shared" ca="1" si="6"/>
        <v>2</v>
      </c>
      <c r="J11" s="41">
        <f t="shared" ca="1" si="11"/>
        <v>7.1428571428571425E-2</v>
      </c>
      <c r="K11" s="39">
        <f t="shared" ca="1" si="7"/>
        <v>6928.5958974358964</v>
      </c>
      <c r="L11" s="39">
        <f t="shared" ca="1" si="8"/>
        <v>7778.2237003948585</v>
      </c>
      <c r="M11" s="40">
        <f t="shared" ca="1" si="9"/>
        <v>28</v>
      </c>
      <c r="N11" s="43">
        <f t="shared" ca="1" si="12"/>
        <v>27</v>
      </c>
    </row>
    <row r="12" spans="1:14" x14ac:dyDescent="0.3">
      <c r="A12">
        <f t="shared" si="13"/>
        <v>10</v>
      </c>
      <c r="B12" t="str">
        <f t="shared" ca="1" si="14"/>
        <v>Cooperación Popular</v>
      </c>
      <c r="C12" s="21">
        <f t="shared" ca="1" si="1"/>
        <v>3355.883928571428</v>
      </c>
      <c r="D12" s="21">
        <f t="shared" ca="1" si="2"/>
        <v>6460.0595167974634</v>
      </c>
      <c r="E12" s="23">
        <f t="shared" ca="1" si="3"/>
        <v>0</v>
      </c>
      <c r="F12" s="26">
        <f t="shared" ca="1" si="10"/>
        <v>0</v>
      </c>
      <c r="G12" s="22">
        <f t="shared" ca="1" si="4"/>
        <v>3.4285714285714284</v>
      </c>
      <c r="H12" s="22">
        <f t="shared" ca="1" si="5"/>
        <v>3.2366943748507482</v>
      </c>
      <c r="I12" s="22">
        <f t="shared" ca="1" si="6"/>
        <v>1</v>
      </c>
      <c r="J12" s="26">
        <f t="shared" ca="1" si="11"/>
        <v>3.5714285714285712E-2</v>
      </c>
      <c r="K12" s="21">
        <f t="shared" ca="1" si="7"/>
        <v>1885.5771604938273</v>
      </c>
      <c r="L12" s="21">
        <f t="shared" ca="1" si="8"/>
        <v>1651.3348034160881</v>
      </c>
      <c r="M12" s="23">
        <f t="shared" ca="1" si="9"/>
        <v>28</v>
      </c>
      <c r="N12">
        <f t="shared" ca="1" si="12"/>
        <v>28</v>
      </c>
    </row>
    <row r="13" spans="1:14" x14ac:dyDescent="0.3">
      <c r="A13">
        <f t="shared" si="13"/>
        <v>11</v>
      </c>
      <c r="B13" t="str">
        <f t="shared" ca="1" si="14"/>
        <v>Unido Perú</v>
      </c>
      <c r="C13" s="21">
        <f t="shared" ca="1" si="1"/>
        <v>4439.0219907407409</v>
      </c>
      <c r="D13" s="21">
        <f t="shared" ca="1" si="2"/>
        <v>3820.4286069941568</v>
      </c>
      <c r="E13" s="23">
        <f t="shared" ca="1" si="3"/>
        <v>2</v>
      </c>
      <c r="F13" s="26">
        <f ca="1">+E13/M13</f>
        <v>0.1111111111111111</v>
      </c>
      <c r="G13" s="22">
        <f t="shared" ca="1" si="4"/>
        <v>7.9444444444444446</v>
      </c>
      <c r="H13" s="22">
        <f t="shared" ca="1" si="5"/>
        <v>5.3848613748307192</v>
      </c>
      <c r="I13" s="22">
        <f t="shared" ca="1" si="6"/>
        <v>2</v>
      </c>
      <c r="J13" s="26">
        <f t="shared" ca="1" si="11"/>
        <v>0.1111111111111111</v>
      </c>
      <c r="K13" s="21">
        <f t="shared" ca="1" si="7"/>
        <v>4105.0597222222223</v>
      </c>
      <c r="L13" s="21">
        <f t="shared" ca="1" si="8"/>
        <v>2638.2567393916775</v>
      </c>
      <c r="M13" s="23">
        <f t="shared" ca="1" si="9"/>
        <v>18</v>
      </c>
      <c r="N13">
        <f t="shared" ca="1" si="12"/>
        <v>16</v>
      </c>
    </row>
    <row r="14" spans="1:14" x14ac:dyDescent="0.3">
      <c r="A14">
        <f t="shared" si="13"/>
        <v>12</v>
      </c>
      <c r="B14" t="str">
        <f t="shared" ca="1" si="14"/>
        <v>Pais para Todos</v>
      </c>
      <c r="C14" s="21">
        <f t="shared" ca="1" si="1"/>
        <v>7261.4848611111111</v>
      </c>
      <c r="D14" s="21">
        <f t="shared" ca="1" si="2"/>
        <v>10930.684274431864</v>
      </c>
      <c r="E14" s="23">
        <f t="shared" ca="1" si="3"/>
        <v>5</v>
      </c>
      <c r="F14" s="26">
        <f t="shared" ca="1" si="10"/>
        <v>0.20833333333333334</v>
      </c>
      <c r="G14" s="22">
        <f t="shared" ca="1" si="4"/>
        <v>7.958333333333333</v>
      </c>
      <c r="H14" s="22">
        <f t="shared" ca="1" si="5"/>
        <v>5.7519687870794494</v>
      </c>
      <c r="I14" s="22">
        <f t="shared" ca="1" si="6"/>
        <v>1</v>
      </c>
      <c r="J14" s="26">
        <f t="shared" ca="1" si="11"/>
        <v>4.1666666666666664E-2</v>
      </c>
      <c r="K14" s="21">
        <f t="shared" ca="1" si="7"/>
        <v>7635.3224074074078</v>
      </c>
      <c r="L14" s="21">
        <f t="shared" ca="1" si="8"/>
        <v>7237.4903543068503</v>
      </c>
      <c r="M14" s="23">
        <f t="shared" ca="1" si="9"/>
        <v>24</v>
      </c>
      <c r="N14">
        <f t="shared" ca="1" si="12"/>
        <v>19</v>
      </c>
    </row>
    <row r="15" spans="1:14" x14ac:dyDescent="0.3">
      <c r="A15">
        <f t="shared" si="13"/>
        <v>13</v>
      </c>
      <c r="B15" t="str">
        <f t="shared" ca="1" si="14"/>
        <v>Libertad Popular</v>
      </c>
      <c r="C15" s="39">
        <f t="shared" ca="1" si="1"/>
        <v>9145.1447839506181</v>
      </c>
      <c r="D15" s="39">
        <f t="shared" ca="1" si="2"/>
        <v>10920.547831238981</v>
      </c>
      <c r="E15" s="40">
        <f t="shared" ca="1" si="3"/>
        <v>2</v>
      </c>
      <c r="F15" s="41">
        <f t="shared" ca="1" si="10"/>
        <v>7.407407407407407E-2</v>
      </c>
      <c r="G15" s="42">
        <f t="shared" ca="1" si="4"/>
        <v>7.5185185185185182</v>
      </c>
      <c r="H15" s="42">
        <f t="shared" ca="1" si="5"/>
        <v>5.4938453001823939</v>
      </c>
      <c r="I15" s="42">
        <f t="shared" ca="1" si="6"/>
        <v>0</v>
      </c>
      <c r="J15" s="41">
        <f t="shared" ca="1" si="11"/>
        <v>0</v>
      </c>
      <c r="K15" s="39">
        <f t="shared" ca="1" si="7"/>
        <v>9840.3712152777789</v>
      </c>
      <c r="L15" s="39">
        <f t="shared" ca="1" si="8"/>
        <v>11266.098485222665</v>
      </c>
      <c r="M15" s="40">
        <f t="shared" ca="1" si="9"/>
        <v>27</v>
      </c>
      <c r="N15" s="43">
        <f t="shared" ca="1" si="12"/>
        <v>25</v>
      </c>
    </row>
    <row r="16" spans="1:14" x14ac:dyDescent="0.3">
      <c r="A16">
        <f t="shared" si="13"/>
        <v>14</v>
      </c>
      <c r="B16" t="str">
        <f t="shared" ca="1" si="14"/>
        <v>Venceremos</v>
      </c>
      <c r="C16" s="21">
        <f t="shared" ca="1" si="1"/>
        <v>7024.084404761903</v>
      </c>
      <c r="D16" s="21">
        <f t="shared" ca="1" si="2"/>
        <v>13559.35564730359</v>
      </c>
      <c r="E16" s="23">
        <f t="shared" ca="1" si="3"/>
        <v>7</v>
      </c>
      <c r="F16" s="26">
        <f t="shared" ca="1" si="10"/>
        <v>0.25</v>
      </c>
      <c r="G16" s="22">
        <f t="shared" ca="1" si="4"/>
        <v>5.7142857142857144</v>
      </c>
      <c r="H16" s="22">
        <f t="shared" ca="1" si="5"/>
        <v>3.8089285249183273</v>
      </c>
      <c r="I16" s="22">
        <f t="shared" ca="1" si="6"/>
        <v>0</v>
      </c>
      <c r="J16" s="26">
        <f t="shared" ca="1" si="11"/>
        <v>0</v>
      </c>
      <c r="K16" s="21">
        <f t="shared" ca="1" si="7"/>
        <v>6629.4893750000001</v>
      </c>
      <c r="L16" s="21">
        <f t="shared" ca="1" si="8"/>
        <v>8459.6169861501839</v>
      </c>
      <c r="M16" s="23">
        <f t="shared" ca="1" si="9"/>
        <v>28</v>
      </c>
      <c r="N16">
        <f t="shared" ca="1" si="12"/>
        <v>21</v>
      </c>
    </row>
    <row r="17" spans="1:14" x14ac:dyDescent="0.3">
      <c r="A17">
        <f t="shared" si="13"/>
        <v>15</v>
      </c>
      <c r="B17" t="str">
        <f t="shared" ca="1" si="14"/>
        <v>Peru Primero</v>
      </c>
      <c r="C17" s="21">
        <f t="shared" ca="1" si="1"/>
        <v>8740.4684523809519</v>
      </c>
      <c r="D17" s="21">
        <f t="shared" ca="1" si="2"/>
        <v>9730.7655569014078</v>
      </c>
      <c r="E17" s="23">
        <f t="shared" ca="1" si="3"/>
        <v>3</v>
      </c>
      <c r="F17" s="26">
        <f t="shared" ca="1" si="10"/>
        <v>0.10714285714285714</v>
      </c>
      <c r="G17" s="22">
        <f t="shared" ca="1" si="4"/>
        <v>7.9285714285714288</v>
      </c>
      <c r="H17" s="22">
        <f t="shared" ca="1" si="5"/>
        <v>3.8866206537067787</v>
      </c>
      <c r="I17" s="22">
        <f t="shared" ca="1" si="6"/>
        <v>3</v>
      </c>
      <c r="J17" s="26">
        <f t="shared" ca="1" si="11"/>
        <v>0.10714285714285714</v>
      </c>
      <c r="K17" s="21">
        <f t="shared" ca="1" si="7"/>
        <v>8821.5954861111113</v>
      </c>
      <c r="L17" s="21">
        <f t="shared" ca="1" si="8"/>
        <v>8228.2428243725226</v>
      </c>
      <c r="M17" s="23">
        <f t="shared" ca="1" si="9"/>
        <v>28</v>
      </c>
      <c r="N17">
        <f t="shared" ca="1" si="12"/>
        <v>25</v>
      </c>
    </row>
    <row r="18" spans="1:14" x14ac:dyDescent="0.3">
      <c r="A18">
        <f t="shared" si="13"/>
        <v>16</v>
      </c>
      <c r="B18" t="str">
        <f t="shared" ca="1" si="14"/>
        <v>Primero La Gente</v>
      </c>
      <c r="C18" s="21">
        <f t="shared" ca="1" si="1"/>
        <v>21686.197561728393</v>
      </c>
      <c r="D18" s="21">
        <f t="shared" ca="1" si="2"/>
        <v>71085.079207753559</v>
      </c>
      <c r="E18" s="23">
        <f t="shared" ca="1" si="3"/>
        <v>4</v>
      </c>
      <c r="F18" s="26">
        <f t="shared" ca="1" si="10"/>
        <v>0.14814814814814814</v>
      </c>
      <c r="G18" s="22">
        <f t="shared" ca="1" si="4"/>
        <v>6.5555555555555554</v>
      </c>
      <c r="H18" s="22">
        <f t="shared" ca="1" si="5"/>
        <v>3.1784530990033666</v>
      </c>
      <c r="I18" s="22">
        <f t="shared" ca="1" si="6"/>
        <v>4</v>
      </c>
      <c r="J18" s="26">
        <f t="shared" ca="1" si="11"/>
        <v>0.14814814814814814</v>
      </c>
      <c r="K18" s="21">
        <f t="shared" ca="1" si="7"/>
        <v>9599.9621590909082</v>
      </c>
      <c r="L18" s="21">
        <f t="shared" ca="1" si="8"/>
        <v>8256.9106321265954</v>
      </c>
      <c r="M18" s="23">
        <f t="shared" ca="1" si="9"/>
        <v>27</v>
      </c>
      <c r="N18" s="43">
        <f t="shared" ca="1" si="12"/>
        <v>23</v>
      </c>
    </row>
    <row r="19" spans="1:14" x14ac:dyDescent="0.3">
      <c r="A19">
        <f t="shared" si="13"/>
        <v>17</v>
      </c>
      <c r="B19" t="str">
        <f t="shared" ca="1" si="14"/>
        <v>Fe en el Peru</v>
      </c>
      <c r="C19" s="21">
        <f t="shared" ca="1" si="1"/>
        <v>4809.5549999999985</v>
      </c>
      <c r="D19" s="21">
        <f t="shared" ca="1" si="2"/>
        <v>4477.7625215328317</v>
      </c>
      <c r="E19" s="23">
        <f t="shared" ca="1" si="3"/>
        <v>2</v>
      </c>
      <c r="F19" s="26">
        <f t="shared" ca="1" si="10"/>
        <v>0.1111111111111111</v>
      </c>
      <c r="G19" s="22">
        <f t="shared" ca="1" si="4"/>
        <v>4.9333333333333336</v>
      </c>
      <c r="H19" s="22">
        <f t="shared" ca="1" si="5"/>
        <v>3.8999389494611081</v>
      </c>
      <c r="I19" s="22">
        <f t="shared" ca="1" si="6"/>
        <v>0</v>
      </c>
      <c r="J19" s="26">
        <f t="shared" ca="1" si="11"/>
        <v>0</v>
      </c>
      <c r="K19" s="21">
        <f t="shared" ca="1" si="7"/>
        <v>4705.0479166666664</v>
      </c>
      <c r="L19" s="21">
        <f t="shared" ca="1" si="8"/>
        <v>3248.5511724423136</v>
      </c>
      <c r="M19" s="23">
        <f t="shared" ca="1" si="9"/>
        <v>18</v>
      </c>
      <c r="N19" s="43">
        <f t="shared" ca="1" si="12"/>
        <v>16</v>
      </c>
    </row>
    <row r="20" spans="1:14" x14ac:dyDescent="0.3">
      <c r="A20">
        <f t="shared" si="13"/>
        <v>18</v>
      </c>
      <c r="B20" t="str">
        <f t="shared" ca="1" si="14"/>
        <v>Avanza Pais</v>
      </c>
      <c r="C20" s="21">
        <f t="shared" ca="1" si="1"/>
        <v>14076.754433333332</v>
      </c>
      <c r="D20" s="21">
        <f t="shared" ca="1" si="2"/>
        <v>17844.180331972078</v>
      </c>
      <c r="E20" s="23">
        <f t="shared" ca="1" si="3"/>
        <v>10</v>
      </c>
      <c r="F20" s="26">
        <f t="shared" ca="1" si="10"/>
        <v>0.4</v>
      </c>
      <c r="G20" s="22">
        <f t="shared" ca="1" si="4"/>
        <v>6.56</v>
      </c>
      <c r="H20" s="22">
        <f t="shared" ca="1" si="5"/>
        <v>4.5650848842053318</v>
      </c>
      <c r="I20" s="22">
        <f t="shared" ca="1" si="6"/>
        <v>0</v>
      </c>
      <c r="J20" s="26">
        <f t="shared" ca="1" si="11"/>
        <v>0</v>
      </c>
      <c r="K20" s="21">
        <f t="shared" ca="1" si="7"/>
        <v>20119.150773809524</v>
      </c>
      <c r="L20" s="21">
        <f t="shared" ca="1" si="8"/>
        <v>12384.043207336654</v>
      </c>
      <c r="M20" s="23">
        <f t="shared" ca="1" si="9"/>
        <v>25</v>
      </c>
      <c r="N20">
        <f t="shared" ca="1" si="12"/>
        <v>15</v>
      </c>
    </row>
    <row r="21" spans="1:14" x14ac:dyDescent="0.3">
      <c r="A21">
        <f t="shared" si="13"/>
        <v>19</v>
      </c>
      <c r="B21" t="str">
        <f t="shared" ca="1" si="14"/>
        <v>FREPAP</v>
      </c>
      <c r="C21" s="21">
        <f t="shared" ca="1" si="1"/>
        <v>1215.6089722222221</v>
      </c>
      <c r="D21" s="21">
        <f t="shared" ca="1" si="2"/>
        <v>2435.3155698890537</v>
      </c>
      <c r="E21" s="23">
        <f t="shared" ca="1" si="3"/>
        <v>22</v>
      </c>
      <c r="F21" s="26">
        <f ca="1">+E21/M21</f>
        <v>0.73333333333333328</v>
      </c>
      <c r="G21" s="22">
        <f t="shared" ca="1" si="4"/>
        <v>3.9333333333333331</v>
      </c>
      <c r="H21" s="22">
        <f t="shared" ca="1" si="5"/>
        <v>4.03376553208241</v>
      </c>
      <c r="I21" s="22">
        <f t="shared" ca="1" si="6"/>
        <v>0</v>
      </c>
      <c r="J21" s="26">
        <f t="shared" ca="1" si="11"/>
        <v>0</v>
      </c>
      <c r="K21" s="21">
        <f t="shared" ca="1" si="7"/>
        <v>3958.9379761904761</v>
      </c>
      <c r="L21" s="21">
        <f t="shared" ca="1" si="8"/>
        <v>2234.1508777454997</v>
      </c>
      <c r="M21" s="23">
        <f t="shared" ca="1" si="9"/>
        <v>30</v>
      </c>
      <c r="N21">
        <f t="shared" ca="1" si="12"/>
        <v>8</v>
      </c>
    </row>
    <row r="22" spans="1:14" x14ac:dyDescent="0.3">
      <c r="A22">
        <f t="shared" si="13"/>
        <v>20</v>
      </c>
      <c r="B22" t="str">
        <f t="shared" ca="1" si="14"/>
        <v>Fuerza y Libertad</v>
      </c>
      <c r="C22" s="21">
        <f t="shared" ca="1" si="1"/>
        <v>6745.8043452380953</v>
      </c>
      <c r="D22" s="21">
        <f t="shared" ca="1" si="2"/>
        <v>12148.142065017279</v>
      </c>
      <c r="E22" s="23">
        <f t="shared" ca="1" si="3"/>
        <v>8</v>
      </c>
      <c r="F22" s="26">
        <f t="shared" ca="1" si="10"/>
        <v>0.2857142857142857</v>
      </c>
      <c r="G22" s="22">
        <f t="shared" ca="1" si="4"/>
        <v>6.3571428571428568</v>
      </c>
      <c r="H22" s="22">
        <f t="shared" ca="1" si="5"/>
        <v>5.2367242072960476</v>
      </c>
      <c r="I22" s="22">
        <f t="shared" ca="1" si="6"/>
        <v>0</v>
      </c>
      <c r="J22" s="26">
        <f t="shared" ca="1" si="11"/>
        <v>0</v>
      </c>
      <c r="K22" s="21">
        <f t="shared" ca="1" si="7"/>
        <v>6684.7399561403508</v>
      </c>
      <c r="L22" s="21">
        <f t="shared" ca="1" si="8"/>
        <v>5683.9066392226923</v>
      </c>
      <c r="M22" s="23">
        <f t="shared" ca="1" si="9"/>
        <v>28</v>
      </c>
      <c r="N22">
        <f t="shared" ca="1" si="12"/>
        <v>20</v>
      </c>
    </row>
    <row r="23" spans="1:14" x14ac:dyDescent="0.3">
      <c r="A23">
        <f t="shared" si="13"/>
        <v>21</v>
      </c>
      <c r="B23" t="str">
        <f t="shared" ca="1" si="14"/>
        <v>APRA</v>
      </c>
      <c r="C23" s="21">
        <f t="shared" ca="1" si="1"/>
        <v>9421.012270114943</v>
      </c>
      <c r="D23" s="21">
        <f t="shared" ca="1" si="2"/>
        <v>12702.091483704875</v>
      </c>
      <c r="E23" s="23">
        <f t="shared" ca="1" si="3"/>
        <v>7</v>
      </c>
      <c r="F23" s="26">
        <f t="shared" ca="1" si="10"/>
        <v>0.2413793103448276</v>
      </c>
      <c r="G23" s="22">
        <f t="shared" ca="1" si="4"/>
        <v>7.2758620689655169</v>
      </c>
      <c r="H23" s="22">
        <f t="shared" ca="1" si="5"/>
        <v>4.1567204769087747</v>
      </c>
      <c r="I23" s="22">
        <f t="shared" ca="1" si="6"/>
        <v>0</v>
      </c>
      <c r="J23" s="26">
        <f t="shared" ca="1" si="11"/>
        <v>0</v>
      </c>
      <c r="K23" s="21">
        <f t="shared" ca="1" si="7"/>
        <v>10545.747103174603</v>
      </c>
      <c r="L23" s="21">
        <f t="shared" ca="1" si="8"/>
        <v>10193.437487627149</v>
      </c>
      <c r="M23" s="23">
        <f t="shared" ca="1" si="9"/>
        <v>29</v>
      </c>
      <c r="N23">
        <f t="shared" ca="1" si="12"/>
        <v>22</v>
      </c>
    </row>
    <row r="24" spans="1:14" x14ac:dyDescent="0.3">
      <c r="A24">
        <f t="shared" si="13"/>
        <v>22</v>
      </c>
      <c r="B24" t="str">
        <f t="shared" ca="1" si="14"/>
        <v>PTE</v>
      </c>
      <c r="C24" s="21">
        <f t="shared" ca="1" si="1"/>
        <v>5187.0457246376809</v>
      </c>
      <c r="D24" s="21">
        <f t="shared" ca="1" si="2"/>
        <v>6176.7890326958332</v>
      </c>
      <c r="E24" s="23">
        <f t="shared" ca="1" si="3"/>
        <v>2</v>
      </c>
      <c r="F24" s="26">
        <f t="shared" ca="1" si="10"/>
        <v>8.6956521739130432E-2</v>
      </c>
      <c r="G24" s="22">
        <f t="shared" ca="1" si="4"/>
        <v>4.3043478260869561</v>
      </c>
      <c r="H24" s="22">
        <f t="shared" ca="1" si="5"/>
        <v>2.3244702741347263</v>
      </c>
      <c r="I24" s="22">
        <f t="shared" ca="1" si="6"/>
        <v>0</v>
      </c>
      <c r="J24" s="26">
        <f t="shared" ca="1" si="11"/>
        <v>0</v>
      </c>
      <c r="K24" s="21">
        <f t="shared" ca="1" si="7"/>
        <v>4911.6059649122799</v>
      </c>
      <c r="L24" s="21">
        <f t="shared" ca="1" si="8"/>
        <v>4247.8175673085689</v>
      </c>
      <c r="M24" s="23">
        <f t="shared" ca="1" si="9"/>
        <v>23</v>
      </c>
      <c r="N24">
        <f t="shared" ca="1" si="12"/>
        <v>21</v>
      </c>
    </row>
    <row r="25" spans="1:14" x14ac:dyDescent="0.3">
      <c r="A25">
        <f t="shared" si="13"/>
        <v>23</v>
      </c>
      <c r="B25" t="str">
        <f t="shared" ca="1" si="14"/>
        <v>Verde</v>
      </c>
      <c r="C25" s="21">
        <f t="shared" ca="1" si="1"/>
        <v>2099.0719827586208</v>
      </c>
      <c r="D25" s="21">
        <f t="shared" ca="1" si="2"/>
        <v>3078.8422910222635</v>
      </c>
      <c r="E25" s="23">
        <f t="shared" ca="1" si="3"/>
        <v>8</v>
      </c>
      <c r="F25" s="26">
        <f t="shared" ca="1" si="10"/>
        <v>0.27586206896551724</v>
      </c>
      <c r="G25" s="22">
        <f t="shared" ca="1" si="4"/>
        <v>3.8275862068965516</v>
      </c>
      <c r="H25" s="22">
        <f t="shared" ca="1" si="5"/>
        <v>3.5362304942373854</v>
      </c>
      <c r="I25" s="22">
        <f t="shared" ca="1" si="6"/>
        <v>1</v>
      </c>
      <c r="J25" s="26">
        <f t="shared" ca="1" si="11"/>
        <v>3.4482758620689655E-2</v>
      </c>
      <c r="K25" s="21">
        <f t="shared" ca="1" si="7"/>
        <v>2283.5168750000003</v>
      </c>
      <c r="L25" s="21">
        <f t="shared" ca="1" si="8"/>
        <v>1743.9210874863356</v>
      </c>
      <c r="M25" s="23">
        <f t="shared" ca="1" si="9"/>
        <v>29</v>
      </c>
      <c r="N25">
        <f t="shared" ca="1" si="12"/>
        <v>21</v>
      </c>
    </row>
    <row r="26" spans="1:14" x14ac:dyDescent="0.3">
      <c r="A26">
        <f t="shared" si="13"/>
        <v>24</v>
      </c>
      <c r="B26" t="str">
        <f t="shared" ca="1" si="14"/>
        <v>Peru Federal</v>
      </c>
      <c r="C26" s="21">
        <f t="shared" ca="1" si="1"/>
        <v>6968.4734027777777</v>
      </c>
      <c r="D26" s="21">
        <f t="shared" ca="1" si="2"/>
        <v>12427.861468943123</v>
      </c>
      <c r="E26" s="23">
        <f t="shared" ca="1" si="3"/>
        <v>4</v>
      </c>
      <c r="F26" s="26">
        <f t="shared" ca="1" si="10"/>
        <v>0.16666666666666666</v>
      </c>
      <c r="G26" s="22">
        <f t="shared" ca="1" si="4"/>
        <v>6.166666666666667</v>
      </c>
      <c r="H26" s="22">
        <f t="shared" ca="1" si="5"/>
        <v>3.3449074422323632</v>
      </c>
      <c r="I26" s="22">
        <f t="shared" ca="1" si="6"/>
        <v>5</v>
      </c>
      <c r="J26" s="26">
        <f t="shared" ca="1" si="11"/>
        <v>0.20833333333333334</v>
      </c>
      <c r="K26" s="21">
        <f t="shared" ca="1" si="7"/>
        <v>5808.3085087719301</v>
      </c>
      <c r="L26" s="21">
        <f t="shared" ca="1" si="8"/>
        <v>6834.8304713003454</v>
      </c>
      <c r="M26" s="23">
        <f t="shared" ca="1" si="9"/>
        <v>24</v>
      </c>
      <c r="N26">
        <f t="shared" ca="1" si="12"/>
        <v>20</v>
      </c>
    </row>
    <row r="27" spans="1:14" x14ac:dyDescent="0.3">
      <c r="A27">
        <f t="shared" si="13"/>
        <v>25</v>
      </c>
      <c r="B27" t="str">
        <f t="shared" ca="1" si="14"/>
        <v>Somos Perú</v>
      </c>
      <c r="C27" s="39">
        <f t="shared" ca="1" si="1"/>
        <v>9184.3301488095258</v>
      </c>
      <c r="D27" s="39">
        <f t="shared" ca="1" si="2"/>
        <v>11278.689789166687</v>
      </c>
      <c r="E27" s="40">
        <f t="shared" ca="1" si="3"/>
        <v>3</v>
      </c>
      <c r="F27" s="41">
        <f t="shared" ca="1" si="10"/>
        <v>0.10714285714285714</v>
      </c>
      <c r="G27" s="42">
        <f t="shared" ca="1" si="4"/>
        <v>6.25</v>
      </c>
      <c r="H27" s="42">
        <f t="shared" ca="1" si="5"/>
        <v>3.8837267325770144</v>
      </c>
      <c r="I27" s="42">
        <f t="shared" ca="1" si="6"/>
        <v>2</v>
      </c>
      <c r="J27" s="41">
        <f t="shared" ca="1" si="11"/>
        <v>7.1428571428571425E-2</v>
      </c>
      <c r="K27" s="39">
        <f t="shared" ca="1" si="7"/>
        <v>9126.2532291666685</v>
      </c>
      <c r="L27" s="39">
        <f t="shared" ca="1" si="8"/>
        <v>10094.300404731206</v>
      </c>
      <c r="M27" s="40">
        <f t="shared" ca="1" si="9"/>
        <v>28</v>
      </c>
      <c r="N27" s="43">
        <f t="shared" ca="1" si="12"/>
        <v>25</v>
      </c>
    </row>
    <row r="28" spans="1:14" x14ac:dyDescent="0.3">
      <c r="A28">
        <f t="shared" si="13"/>
        <v>26</v>
      </c>
      <c r="B28" t="str">
        <f t="shared" ca="1" si="14"/>
        <v>Frente de la Esperanza</v>
      </c>
      <c r="C28" s="21">
        <f t="shared" ca="1" si="1"/>
        <v>5274.1465517241386</v>
      </c>
      <c r="D28" s="21">
        <f t="shared" ca="1" si="2"/>
        <v>5161.1086188841455</v>
      </c>
      <c r="E28" s="23">
        <f t="shared" ca="1" si="3"/>
        <v>6</v>
      </c>
      <c r="F28" s="26">
        <f t="shared" ca="1" si="10"/>
        <v>0.20689655172413793</v>
      </c>
      <c r="G28" s="22">
        <f t="shared" ca="1" si="4"/>
        <v>6.1379310344827589</v>
      </c>
      <c r="H28" s="22">
        <f t="shared" ca="1" si="5"/>
        <v>4.3402117947912773</v>
      </c>
      <c r="I28" s="22">
        <f t="shared" ca="1" si="6"/>
        <v>0</v>
      </c>
      <c r="J28" s="26">
        <f t="shared" ca="1" si="11"/>
        <v>0</v>
      </c>
      <c r="K28" s="21">
        <f t="shared" ca="1" si="7"/>
        <v>6193.193181818182</v>
      </c>
      <c r="L28" s="21">
        <f t="shared" ca="1" si="8"/>
        <v>4524.0368363389607</v>
      </c>
      <c r="M28" s="23">
        <f t="shared" ca="1" si="9"/>
        <v>29</v>
      </c>
      <c r="N28">
        <f t="shared" ca="1" si="12"/>
        <v>23</v>
      </c>
    </row>
    <row r="29" spans="1:14" x14ac:dyDescent="0.3">
      <c r="A29">
        <f t="shared" si="13"/>
        <v>27</v>
      </c>
      <c r="B29" t="str">
        <f t="shared" ca="1" si="14"/>
        <v>PPP</v>
      </c>
      <c r="C29" s="21">
        <f t="shared" ca="1" si="1"/>
        <v>3655.7755128205131</v>
      </c>
      <c r="D29" s="21">
        <f t="shared" ca="1" si="2"/>
        <v>4488.2364514916781</v>
      </c>
      <c r="E29" s="23">
        <f t="shared" ca="1" si="3"/>
        <v>2</v>
      </c>
      <c r="F29" s="26">
        <f t="shared" ca="1" si="10"/>
        <v>7.6923076923076927E-2</v>
      </c>
      <c r="G29" s="22">
        <f t="shared" ca="1" si="4"/>
        <v>5.115384615384615</v>
      </c>
      <c r="H29" s="22">
        <f t="shared" ca="1" si="5"/>
        <v>4.1407914516616078</v>
      </c>
      <c r="I29" s="22">
        <f t="shared" ca="1" si="6"/>
        <v>0</v>
      </c>
      <c r="J29" s="26">
        <f t="shared" ca="1" si="11"/>
        <v>0</v>
      </c>
      <c r="K29" s="21">
        <f t="shared" ca="1" si="7"/>
        <v>2747.6182608695658</v>
      </c>
      <c r="L29" s="21">
        <f t="shared" ca="1" si="8"/>
        <v>2178.6243797945576</v>
      </c>
      <c r="M29" s="23">
        <f t="shared" ca="1" si="9"/>
        <v>26</v>
      </c>
      <c r="N29">
        <f t="shared" ca="1" si="12"/>
        <v>24</v>
      </c>
    </row>
    <row r="30" spans="1:14" x14ac:dyDescent="0.3">
      <c r="A30">
        <f t="shared" si="13"/>
        <v>28</v>
      </c>
      <c r="B30" t="str">
        <f t="shared" ca="1" si="14"/>
        <v>Peru Acción</v>
      </c>
      <c r="C30" s="21">
        <f t="shared" ca="1" si="1"/>
        <v>2006.7844827586205</v>
      </c>
      <c r="D30" s="21">
        <f t="shared" ca="1" si="2"/>
        <v>3854.6396621935719</v>
      </c>
      <c r="E30" s="23">
        <f t="shared" ca="1" si="3"/>
        <v>15</v>
      </c>
      <c r="F30" s="26">
        <f t="shared" ca="1" si="10"/>
        <v>0.51724137931034486</v>
      </c>
      <c r="G30" s="22">
        <f t="shared" ca="1" si="4"/>
        <v>4.6551724137931032</v>
      </c>
      <c r="H30" s="22">
        <f t="shared" ca="1" si="5"/>
        <v>4.2365405535730405</v>
      </c>
      <c r="I30" s="22">
        <f t="shared" ca="1" si="6"/>
        <v>2</v>
      </c>
      <c r="J30" s="26">
        <f t="shared" ca="1" si="11"/>
        <v>6.8965517241379309E-2</v>
      </c>
      <c r="K30" s="21">
        <f t="shared" ca="1" si="7"/>
        <v>3201.0320512820513</v>
      </c>
      <c r="L30" s="21">
        <f t="shared" ca="1" si="8"/>
        <v>3222.4010690677187</v>
      </c>
      <c r="M30" s="23">
        <f t="shared" ca="1" si="9"/>
        <v>29</v>
      </c>
      <c r="N30">
        <f t="shared" ca="1" si="12"/>
        <v>14</v>
      </c>
    </row>
    <row r="31" spans="1:14" x14ac:dyDescent="0.3">
      <c r="A31">
        <f t="shared" si="13"/>
        <v>29</v>
      </c>
      <c r="B31" t="str">
        <f t="shared" ca="1" si="14"/>
        <v>PRIN</v>
      </c>
      <c r="C31" s="21">
        <f t="shared" ca="1" si="1"/>
        <v>4237.8200320512824</v>
      </c>
      <c r="D31" s="21">
        <f t="shared" ca="1" si="2"/>
        <v>7281.7562301858061</v>
      </c>
      <c r="E31" s="23">
        <f t="shared" ca="1" si="3"/>
        <v>6</v>
      </c>
      <c r="F31" s="26">
        <f t="shared" ca="1" si="10"/>
        <v>0.23076923076923078</v>
      </c>
      <c r="G31" s="22">
        <f t="shared" ca="1" si="4"/>
        <v>4.4230769230769234</v>
      </c>
      <c r="H31" s="22">
        <f t="shared" ca="1" si="5"/>
        <v>2.7301732827507772</v>
      </c>
      <c r="I31" s="22">
        <f t="shared" ca="1" si="6"/>
        <v>0</v>
      </c>
      <c r="J31" s="26">
        <f t="shared" ca="1" si="11"/>
        <v>0</v>
      </c>
      <c r="K31" s="21">
        <f t="shared" ca="1" si="7"/>
        <v>4132.4554824561401</v>
      </c>
      <c r="L31" s="21">
        <f t="shared" ca="1" si="8"/>
        <v>5084.2462205913107</v>
      </c>
      <c r="M31" s="23">
        <f t="shared" ca="1" si="9"/>
        <v>26</v>
      </c>
      <c r="N31">
        <f t="shared" ca="1" si="12"/>
        <v>20</v>
      </c>
    </row>
    <row r="32" spans="1:14" x14ac:dyDescent="0.3">
      <c r="A32">
        <f t="shared" si="13"/>
        <v>30</v>
      </c>
      <c r="B32" t="str">
        <f t="shared" ca="1" si="14"/>
        <v>Si Creo</v>
      </c>
      <c r="C32" s="21">
        <f t="shared" ca="1" si="1"/>
        <v>6754.4303571428545</v>
      </c>
      <c r="D32" s="21">
        <f t="shared" ca="1" si="2"/>
        <v>11672.216442303865</v>
      </c>
      <c r="E32" s="23">
        <f t="shared" ca="1" si="3"/>
        <v>4</v>
      </c>
      <c r="F32" s="26">
        <f t="shared" ca="1" si="10"/>
        <v>0.14285714285714285</v>
      </c>
      <c r="G32" s="22">
        <f t="shared" ca="1" si="4"/>
        <v>5.6428571428571432</v>
      </c>
      <c r="H32" s="22">
        <f t="shared" ca="1" si="5"/>
        <v>2.9840847683606282</v>
      </c>
      <c r="I32" s="22">
        <f t="shared" ca="1" si="6"/>
        <v>1</v>
      </c>
      <c r="J32" s="26">
        <f t="shared" ca="1" si="11"/>
        <v>3.5714285714285712E-2</v>
      </c>
      <c r="K32" s="21">
        <f t="shared" ca="1" si="7"/>
        <v>6318.5275362318844</v>
      </c>
      <c r="L32" s="21">
        <f t="shared" ca="1" si="8"/>
        <v>9815.150013433431</v>
      </c>
      <c r="M32" s="23">
        <f t="shared" ca="1" si="9"/>
        <v>28</v>
      </c>
      <c r="N32">
        <f t="shared" ca="1" si="12"/>
        <v>24</v>
      </c>
    </row>
    <row r="33" spans="1:14" x14ac:dyDescent="0.3">
      <c r="A33">
        <f t="shared" si="13"/>
        <v>31</v>
      </c>
      <c r="B33" t="str">
        <f t="shared" ca="1" si="14"/>
        <v>Podemos Perú</v>
      </c>
      <c r="C33" s="21">
        <f t="shared" ca="1" si="1"/>
        <v>39105.942701149419</v>
      </c>
      <c r="D33" s="21">
        <f t="shared" ca="1" si="2"/>
        <v>175592.72558756568</v>
      </c>
      <c r="E33" s="23">
        <f t="shared" ca="1" si="3"/>
        <v>9</v>
      </c>
      <c r="F33" s="26">
        <f t="shared" ca="1" si="10"/>
        <v>0.31034482758620691</v>
      </c>
      <c r="G33" s="22">
        <f t="shared" ca="1" si="4"/>
        <v>4.5517241379310347</v>
      </c>
      <c r="H33" s="22">
        <f t="shared" ca="1" si="5"/>
        <v>3.7281382456026391</v>
      </c>
      <c r="I33" s="22">
        <f t="shared" ca="1" si="6"/>
        <v>3</v>
      </c>
      <c r="J33" s="26">
        <f t="shared" ca="1" si="11"/>
        <v>0.10344827586206896</v>
      </c>
      <c r="K33" s="21">
        <f t="shared" ca="1" si="7"/>
        <v>9165.9559166666677</v>
      </c>
      <c r="L33" s="21">
        <f t="shared" ca="1" si="8"/>
        <v>10401.253476313128</v>
      </c>
      <c r="M33" s="23">
        <f t="shared" ca="1" si="9"/>
        <v>29</v>
      </c>
      <c r="N33">
        <f t="shared" ca="1" si="12"/>
        <v>20</v>
      </c>
    </row>
    <row r="34" spans="1:14" x14ac:dyDescent="0.3">
      <c r="A34">
        <f t="shared" si="13"/>
        <v>32</v>
      </c>
      <c r="B34" t="str">
        <f t="shared" ca="1" si="14"/>
        <v>Progresemos</v>
      </c>
      <c r="C34" s="21">
        <f t="shared" ca="1" si="1"/>
        <v>3332.6196551724142</v>
      </c>
      <c r="D34" s="21">
        <f t="shared" ca="1" si="2"/>
        <v>8810.5719791461979</v>
      </c>
      <c r="E34" s="23">
        <f t="shared" ca="1" si="3"/>
        <v>22</v>
      </c>
      <c r="F34" s="26">
        <f t="shared" ca="1" si="10"/>
        <v>0.75862068965517238</v>
      </c>
      <c r="G34" s="22">
        <f t="shared" ca="1" si="4"/>
        <v>3.4827586206896552</v>
      </c>
      <c r="H34" s="22">
        <f t="shared" ca="1" si="5"/>
        <v>3.6017921100392352</v>
      </c>
      <c r="I34" s="22">
        <f t="shared" ca="1" si="6"/>
        <v>2</v>
      </c>
      <c r="J34" s="26">
        <f t="shared" ca="1" si="11"/>
        <v>6.8965517241379309E-2</v>
      </c>
      <c r="K34" s="21">
        <f t="shared" ca="1" si="7"/>
        <v>10289.161666666667</v>
      </c>
      <c r="L34" s="21">
        <f t="shared" ca="1" si="8"/>
        <v>11328.179484722505</v>
      </c>
      <c r="M34" s="23">
        <f t="shared" ca="1" si="9"/>
        <v>29</v>
      </c>
      <c r="N34">
        <f t="shared" ca="1" si="12"/>
        <v>7</v>
      </c>
    </row>
    <row r="35" spans="1:14" x14ac:dyDescent="0.3">
      <c r="A35">
        <f t="shared" si="13"/>
        <v>33</v>
      </c>
      <c r="B35" t="str">
        <f t="shared" ca="1" si="14"/>
        <v>Un Camino Diferente</v>
      </c>
      <c r="C35" s="21">
        <f t="shared" ca="1" si="1"/>
        <v>301.32402777777776</v>
      </c>
      <c r="D35" s="21">
        <f t="shared" ca="1" si="2"/>
        <v>1162.1498604334397</v>
      </c>
      <c r="E35" s="23">
        <f t="shared" ca="1" si="3"/>
        <v>26</v>
      </c>
      <c r="F35" s="26">
        <f t="shared" ca="1" si="10"/>
        <v>0.8666666666666667</v>
      </c>
      <c r="G35" s="22">
        <f t="shared" ca="1" si="4"/>
        <v>3.2666666666666666</v>
      </c>
      <c r="H35" s="22">
        <f t="shared" ca="1" si="5"/>
        <v>2.7659672291340831</v>
      </c>
      <c r="I35" s="22">
        <f t="shared" ca="1" si="6"/>
        <v>0</v>
      </c>
      <c r="J35" s="26">
        <f t="shared" ca="1" si="11"/>
        <v>0</v>
      </c>
      <c r="K35" s="21">
        <f t="shared" ca="1" si="7"/>
        <v>1179.9069444444442</v>
      </c>
      <c r="L35" s="21">
        <f t="shared" ca="1" si="8"/>
        <v>1931.9058651886305</v>
      </c>
      <c r="M35" s="23">
        <f t="shared" ca="1" si="9"/>
        <v>30</v>
      </c>
      <c r="N35">
        <f t="shared" ca="1" si="12"/>
        <v>4</v>
      </c>
    </row>
    <row r="36" spans="1:14" x14ac:dyDescent="0.3">
      <c r="A36">
        <f t="shared" si="13"/>
        <v>34</v>
      </c>
      <c r="B36" t="str">
        <f t="shared" ca="1" si="14"/>
        <v>Unidad Nacional</v>
      </c>
      <c r="C36" s="21">
        <f t="shared" ca="1" si="1"/>
        <v>9451.9023888888896</v>
      </c>
      <c r="D36" s="21">
        <f t="shared" ca="1" si="2"/>
        <v>13072.385660374532</v>
      </c>
      <c r="E36" s="23">
        <f t="shared" ca="1" si="3"/>
        <v>5</v>
      </c>
      <c r="F36" s="26">
        <f t="shared" ca="1" si="10"/>
        <v>0.16666666666666666</v>
      </c>
      <c r="G36" s="22">
        <f t="shared" ca="1" si="4"/>
        <v>6.666666666666667</v>
      </c>
      <c r="H36" s="22">
        <f t="shared" ca="1" si="5"/>
        <v>4.5511145533990813</v>
      </c>
      <c r="I36" s="22">
        <f t="shared" ca="1" si="6"/>
        <v>1</v>
      </c>
      <c r="J36" s="26">
        <f t="shared" ca="1" si="11"/>
        <v>3.3333333333333333E-2</v>
      </c>
      <c r="K36" s="21">
        <f t="shared" ca="1" si="7"/>
        <v>9506.6952083333326</v>
      </c>
      <c r="L36" s="21">
        <f t="shared" ca="1" si="8"/>
        <v>10210.971838267498</v>
      </c>
      <c r="M36" s="23">
        <f t="shared" ca="1" si="9"/>
        <v>30</v>
      </c>
      <c r="N36">
        <f t="shared" ca="1" si="12"/>
        <v>25</v>
      </c>
    </row>
    <row r="37" spans="1:14" x14ac:dyDescent="0.3">
      <c r="A37">
        <f t="shared" si="13"/>
        <v>35</v>
      </c>
      <c r="B37" t="str">
        <f t="shared" ca="1" si="14"/>
        <v>Peru Libre</v>
      </c>
      <c r="C37" s="21">
        <f t="shared" ca="1" si="1"/>
        <v>12131.860972222221</v>
      </c>
      <c r="D37" s="21">
        <f t="shared" ca="1" si="2"/>
        <v>12582.361409083285</v>
      </c>
      <c r="E37" s="23">
        <f t="shared" ca="1" si="3"/>
        <v>1</v>
      </c>
      <c r="F37" s="26">
        <f t="shared" ca="1" si="10"/>
        <v>3.3333333333333333E-2</v>
      </c>
      <c r="G37" s="22">
        <f t="shared" ca="1" si="4"/>
        <v>6.4</v>
      </c>
      <c r="H37" s="22">
        <f t="shared" ca="1" si="5"/>
        <v>4.1322950123346134</v>
      </c>
      <c r="I37" s="22">
        <f t="shared" ca="1" si="6"/>
        <v>3</v>
      </c>
      <c r="J37" s="26">
        <f t="shared" ca="1" si="11"/>
        <v>0.1</v>
      </c>
      <c r="K37" s="21">
        <f t="shared" ca="1" si="7"/>
        <v>11726.846279761903</v>
      </c>
      <c r="L37" s="21">
        <f t="shared" ca="1" si="8"/>
        <v>12000.67295421742</v>
      </c>
      <c r="M37" s="23">
        <f t="shared" ca="1" si="9"/>
        <v>30</v>
      </c>
      <c r="N37">
        <f t="shared" ca="1" si="12"/>
        <v>29</v>
      </c>
    </row>
    <row r="38" spans="1:14" x14ac:dyDescent="0.3">
      <c r="A38">
        <f t="shared" si="13"/>
        <v>36</v>
      </c>
      <c r="B38" t="s">
        <v>500</v>
      </c>
      <c r="C38" s="21"/>
      <c r="D38" s="21"/>
      <c r="E38" s="23"/>
      <c r="F38" s="26"/>
      <c r="G38" s="22"/>
      <c r="H38" s="22"/>
      <c r="I38" s="22"/>
      <c r="J38" s="26"/>
      <c r="K38" s="21"/>
      <c r="L38" s="21"/>
      <c r="M38" s="23"/>
    </row>
    <row r="39" spans="1:14" x14ac:dyDescent="0.3">
      <c r="A39">
        <f t="shared" si="13"/>
        <v>37</v>
      </c>
      <c r="B39" t="s">
        <v>455</v>
      </c>
      <c r="C39" s="21"/>
      <c r="D39" s="21"/>
      <c r="E39" s="23"/>
      <c r="F39" s="26"/>
      <c r="G39" s="22"/>
      <c r="H39" s="22"/>
      <c r="I39" s="22"/>
      <c r="J39" s="26"/>
      <c r="K39" s="21"/>
      <c r="L39" s="21"/>
      <c r="M39" s="23"/>
    </row>
    <row r="40" spans="1:14" x14ac:dyDescent="0.3">
      <c r="A40">
        <f t="shared" si="13"/>
        <v>38</v>
      </c>
      <c r="B40" t="s">
        <v>445</v>
      </c>
      <c r="C40" s="21"/>
      <c r="D40" s="21"/>
      <c r="E40" s="23"/>
      <c r="F40" s="26"/>
      <c r="G40" s="22"/>
      <c r="H40" s="22"/>
      <c r="I40" s="22"/>
      <c r="J40" s="26"/>
      <c r="K40" s="21"/>
      <c r="L40" s="21"/>
      <c r="M40" s="23"/>
    </row>
  </sheetData>
  <mergeCells count="4">
    <mergeCell ref="C1:D1"/>
    <mergeCell ref="G1:H1"/>
    <mergeCell ref="I1:J1"/>
    <mergeCell ref="K1:L1"/>
  </mergeCells>
  <conditionalFormatting sqref="G3:G10 G12:G14 G16:G36 G38:G39">
    <cfRule type="cellIs" dxfId="33" priority="34" operator="lessThan">
      <formula>5</formula>
    </cfRule>
  </conditionalFormatting>
  <conditionalFormatting sqref="J3:J10 J12:J14 J16:J36 J38:J39">
    <cfRule type="cellIs" dxfId="32" priority="33" operator="greaterThanOrEqual">
      <formula>0.1</formula>
    </cfRule>
  </conditionalFormatting>
  <conditionalFormatting sqref="F3:F10 F12:F14 F16:F36 F38:F39">
    <cfRule type="cellIs" dxfId="31" priority="32" operator="greaterThanOrEqual">
      <formula>0.15</formula>
    </cfRule>
  </conditionalFormatting>
  <conditionalFormatting sqref="K3:K10 K12:K14 K16:K36 K38:K39">
    <cfRule type="cellIs" dxfId="30" priority="31" operator="lessThanOrEqual">
      <formula>$N$1</formula>
    </cfRule>
  </conditionalFormatting>
  <conditionalFormatting sqref="C3:C10 C12:C14 C16:C36 C38:C39">
    <cfRule type="cellIs" dxfId="29" priority="30" operator="lessThanOrEqual">
      <formula>$N$1</formula>
    </cfRule>
  </conditionalFormatting>
  <conditionalFormatting sqref="G11">
    <cfRule type="cellIs" dxfId="28" priority="29" operator="lessThan">
      <formula>5</formula>
    </cfRule>
  </conditionalFormatting>
  <conditionalFormatting sqref="J11">
    <cfRule type="cellIs" dxfId="27" priority="28" operator="greaterThanOrEqual">
      <formula>0.1</formula>
    </cfRule>
  </conditionalFormatting>
  <conditionalFormatting sqref="F11">
    <cfRule type="cellIs" dxfId="26" priority="27" operator="greaterThanOrEqual">
      <formula>0.15</formula>
    </cfRule>
  </conditionalFormatting>
  <conditionalFormatting sqref="K11">
    <cfRule type="cellIs" dxfId="25" priority="26" operator="lessThanOrEqual">
      <formula>$N$1</formula>
    </cfRule>
  </conditionalFormatting>
  <conditionalFormatting sqref="C11">
    <cfRule type="cellIs" dxfId="24" priority="25" operator="lessThanOrEqual">
      <formula>$N$1</formula>
    </cfRule>
  </conditionalFormatting>
  <conditionalFormatting sqref="G15">
    <cfRule type="cellIs" dxfId="23" priority="24" operator="lessThan">
      <formula>5</formula>
    </cfRule>
  </conditionalFormatting>
  <conditionalFormatting sqref="J15">
    <cfRule type="cellIs" dxfId="22" priority="23" operator="greaterThanOrEqual">
      <formula>0.1</formula>
    </cfRule>
  </conditionalFormatting>
  <conditionalFormatting sqref="F15">
    <cfRule type="cellIs" dxfId="21" priority="22" operator="greaterThanOrEqual">
      <formula>0.15</formula>
    </cfRule>
  </conditionalFormatting>
  <conditionalFormatting sqref="K15">
    <cfRule type="cellIs" dxfId="20" priority="21" operator="lessThanOrEqual">
      <formula>$N$1</formula>
    </cfRule>
  </conditionalFormatting>
  <conditionalFormatting sqref="C15">
    <cfRule type="cellIs" dxfId="19" priority="20" operator="lessThanOrEqual">
      <formula>$N$1</formula>
    </cfRule>
  </conditionalFormatting>
  <conditionalFormatting sqref="N3:N36 N38:N39">
    <cfRule type="cellIs" dxfId="18" priority="19" operator="lessThan">
      <formula>25</formula>
    </cfRule>
  </conditionalFormatting>
  <conditionalFormatting sqref="G40">
    <cfRule type="cellIs" dxfId="17" priority="18" operator="lessThan">
      <formula>5</formula>
    </cfRule>
  </conditionalFormatting>
  <conditionalFormatting sqref="J40">
    <cfRule type="cellIs" dxfId="16" priority="17" operator="greaterThanOrEqual">
      <formula>0.1</formula>
    </cfRule>
  </conditionalFormatting>
  <conditionalFormatting sqref="F40">
    <cfRule type="cellIs" dxfId="15" priority="16" operator="greaterThanOrEqual">
      <formula>0.15</formula>
    </cfRule>
  </conditionalFormatting>
  <conditionalFormatting sqref="K40">
    <cfRule type="cellIs" dxfId="14" priority="15" operator="lessThanOrEqual">
      <formula>$N$1</formula>
    </cfRule>
  </conditionalFormatting>
  <conditionalFormatting sqref="C40">
    <cfRule type="cellIs" dxfId="13" priority="14" operator="lessThanOrEqual">
      <formula>$N$1</formula>
    </cfRule>
  </conditionalFormatting>
  <conditionalFormatting sqref="N40">
    <cfRule type="cellIs" dxfId="12" priority="13" operator="lessThan">
      <formula>25</formula>
    </cfRule>
  </conditionalFormatting>
  <conditionalFormatting sqref="G39">
    <cfRule type="cellIs" dxfId="11" priority="12" operator="lessThan">
      <formula>5</formula>
    </cfRule>
  </conditionalFormatting>
  <conditionalFormatting sqref="J39">
    <cfRule type="cellIs" dxfId="10" priority="11" operator="greaterThanOrEqual">
      <formula>0.1</formula>
    </cfRule>
  </conditionalFormatting>
  <conditionalFormatting sqref="F39">
    <cfRule type="cellIs" dxfId="9" priority="10" operator="greaterThanOrEqual">
      <formula>0.15</formula>
    </cfRule>
  </conditionalFormatting>
  <conditionalFormatting sqref="K39">
    <cfRule type="cellIs" dxfId="8" priority="9" operator="lessThanOrEqual">
      <formula>$N$1</formula>
    </cfRule>
  </conditionalFormatting>
  <conditionalFormatting sqref="C39">
    <cfRule type="cellIs" dxfId="7" priority="8" operator="lessThanOrEqual">
      <formula>$N$1</formula>
    </cfRule>
  </conditionalFormatting>
  <conditionalFormatting sqref="N39">
    <cfRule type="cellIs" dxfId="6" priority="7" operator="lessThan">
      <formula>25</formula>
    </cfRule>
  </conditionalFormatting>
  <conditionalFormatting sqref="G37">
    <cfRule type="cellIs" dxfId="5" priority="6" operator="lessThan">
      <formula>5</formula>
    </cfRule>
  </conditionalFormatting>
  <conditionalFormatting sqref="J37">
    <cfRule type="cellIs" dxfId="4" priority="5" operator="greaterThanOrEqual">
      <formula>0.1</formula>
    </cfRule>
  </conditionalFormatting>
  <conditionalFormatting sqref="F37">
    <cfRule type="cellIs" dxfId="3" priority="4" operator="greaterThanOrEqual">
      <formula>0.15</formula>
    </cfRule>
  </conditionalFormatting>
  <conditionalFormatting sqref="K37">
    <cfRule type="cellIs" dxfId="2" priority="3" operator="lessThanOrEqual">
      <formula>$N$1</formula>
    </cfRule>
  </conditionalFormatting>
  <conditionalFormatting sqref="C37">
    <cfRule type="cellIs" dxfId="1" priority="2" operator="lessThanOrEqual">
      <formula>$N$1</formula>
    </cfRule>
  </conditionalFormatting>
  <conditionalFormatting sqref="N37">
    <cfRule type="cellIs" dxfId="0" priority="1" operator="lessThan">
      <formula>25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7FAB-3854-4A95-B0E1-7C68D967BAE4}">
  <dimension ref="A2:V418"/>
  <sheetViews>
    <sheetView topLeftCell="A360" zoomScale="90" zoomScaleNormal="90" workbookViewId="0">
      <pane xSplit="14532" ySplit="3972" topLeftCell="E399" activePane="bottomLeft"/>
      <selection activeCell="E360" sqref="E360"/>
      <selection pane="topRight" activeCell="E360" sqref="E360"/>
      <selection pane="bottomLeft" activeCell="B401" sqref="B401"/>
      <selection pane="bottomRight" activeCell="K408" sqref="K408"/>
    </sheetView>
  </sheetViews>
  <sheetFormatPr baseColWidth="10" defaultRowHeight="14.4" x14ac:dyDescent="0.3"/>
  <cols>
    <col min="2" max="2" width="20.5546875" bestFit="1" customWidth="1"/>
    <col min="3" max="8" width="13.77734375" customWidth="1"/>
    <col min="9" max="10" width="15.109375" bestFit="1" customWidth="1"/>
    <col min="11" max="12" width="13.77734375" customWidth="1"/>
    <col min="13" max="14" width="20.5546875" bestFit="1" customWidth="1"/>
  </cols>
  <sheetData>
    <row r="2" spans="1:15" x14ac:dyDescent="0.3">
      <c r="D2">
        <f ca="1">+C7/D7</f>
        <v>0.28999999999999998</v>
      </c>
      <c r="F2">
        <v>5</v>
      </c>
      <c r="G2">
        <f>1130*4</f>
        <v>4520</v>
      </c>
    </row>
    <row r="3" spans="1:15" x14ac:dyDescent="0.3">
      <c r="C3" s="67" t="s">
        <v>41</v>
      </c>
      <c r="D3" s="67"/>
      <c r="E3" s="67" t="s">
        <v>176</v>
      </c>
      <c r="F3" s="67"/>
      <c r="G3" s="67" t="s">
        <v>439</v>
      </c>
      <c r="H3" s="67"/>
      <c r="I3" s="67" t="s">
        <v>440</v>
      </c>
      <c r="J3" s="67"/>
    </row>
    <row r="4" spans="1:15" x14ac:dyDescent="0.3">
      <c r="C4" s="11" t="s">
        <v>257</v>
      </c>
      <c r="D4" s="11" t="s">
        <v>258</v>
      </c>
      <c r="E4" s="11" t="s">
        <v>174</v>
      </c>
      <c r="F4" s="11" t="s">
        <v>175</v>
      </c>
      <c r="G4" s="11" t="s">
        <v>174</v>
      </c>
      <c r="H4" s="11" t="s">
        <v>175</v>
      </c>
      <c r="I4" s="11" t="s">
        <v>174</v>
      </c>
      <c r="J4" s="11" t="s">
        <v>175</v>
      </c>
      <c r="K4" s="11" t="s">
        <v>173</v>
      </c>
      <c r="L4" s="11" t="s">
        <v>234</v>
      </c>
      <c r="M4" s="11" t="s">
        <v>234</v>
      </c>
      <c r="N4" s="11" t="s">
        <v>414</v>
      </c>
      <c r="O4" s="11" t="s">
        <v>904</v>
      </c>
    </row>
    <row r="5" spans="1:15" x14ac:dyDescent="0.3">
      <c r="B5" s="15" t="s">
        <v>32</v>
      </c>
      <c r="C5" s="15">
        <f>+F5+1</f>
        <v>7</v>
      </c>
      <c r="D5" s="15">
        <f>+C5+1</f>
        <v>8</v>
      </c>
      <c r="E5" s="15">
        <f>+L5+1</f>
        <v>5</v>
      </c>
      <c r="F5" s="15">
        <f>+E5+1</f>
        <v>6</v>
      </c>
      <c r="G5" s="15">
        <v>1</v>
      </c>
      <c r="H5" s="15">
        <f>+G5+1</f>
        <v>2</v>
      </c>
      <c r="I5" s="15">
        <f>+D5+1</f>
        <v>9</v>
      </c>
      <c r="J5" s="15">
        <f>+I5+1</f>
        <v>10</v>
      </c>
      <c r="K5" s="15">
        <f>+H5+1</f>
        <v>3</v>
      </c>
      <c r="L5" s="15">
        <f t="shared" ref="L5:O5" si="0">+K5+1</f>
        <v>4</v>
      </c>
      <c r="M5" s="15">
        <f>+J5+1</f>
        <v>11</v>
      </c>
      <c r="N5" s="15">
        <f t="shared" si="0"/>
        <v>12</v>
      </c>
      <c r="O5" s="15">
        <f t="shared" si="0"/>
        <v>13</v>
      </c>
    </row>
    <row r="6" spans="1:15" x14ac:dyDescent="0.3">
      <c r="A6">
        <v>1</v>
      </c>
      <c r="B6" t="s">
        <v>3</v>
      </c>
      <c r="C6" s="47">
        <f ca="1">+VLOOKUP($B6,Resumen2!$B:$N,'Op3'!C$5+1,FALSE)</f>
        <v>0</v>
      </c>
      <c r="D6" s="49">
        <f ca="1">+VLOOKUP($B6,Resumen2!$B:$N,'Op3'!D$5+1,FALSE)*100</f>
        <v>0</v>
      </c>
      <c r="E6" s="48">
        <f ca="1">+VLOOKUP($B6,Resumen2!$B:$N,'Op3'!E$5+1,FALSE)</f>
        <v>7.3928571428571432</v>
      </c>
      <c r="F6" s="48">
        <f ca="1">+VLOOKUP($B6,Resumen2!$B:$N,'Op3'!F$5+1,FALSE)</f>
        <v>4.7713596611315117</v>
      </c>
      <c r="G6" s="46">
        <f ca="1">+VLOOKUP($B6,Resumen2!$B:$N,'Op3'!G$5+1,FALSE)</f>
        <v>8509.7649107142861</v>
      </c>
      <c r="H6" s="46">
        <f ca="1">+VLOOKUP($B6,Resumen2!$B:$N,'Op3'!H$5+1,FALSE)</f>
        <v>8326.9528239522315</v>
      </c>
      <c r="I6" s="46">
        <f ca="1">+VLOOKUP($B6,Resumen2!$B:$N,'Op3'!I$5+1,FALSE)</f>
        <v>6872.4074382716044</v>
      </c>
      <c r="J6" s="46">
        <f ca="1">+VLOOKUP($B6,Resumen2!$B:$N,'Op3'!J$5+1,FALSE)</f>
        <v>5479.2326649434781</v>
      </c>
      <c r="K6" s="47">
        <f ca="1">+VLOOKUP($B6,Resumen2!$B:$N,'Op3'!K$5+1,FALSE)</f>
        <v>0</v>
      </c>
      <c r="L6" s="48">
        <f ca="1">+VLOOKUP($B6,Resumen2!$B:$N,'Op3'!L$5+1,FALSE)</f>
        <v>0</v>
      </c>
      <c r="M6" s="46">
        <f ca="1">+VLOOKUP($B6,Resumen2!$B:$N,'Op3'!M$5+1,FALSE)</f>
        <v>28</v>
      </c>
      <c r="N6" s="46">
        <f ca="1">+VLOOKUP($B6,Resumen2!$B:$N,'Op3'!N$5+1,FALSE)</f>
        <v>28</v>
      </c>
      <c r="O6" s="46">
        <f ca="1">+VLOOKUP($B6,Resumen!B:Q,16,FALSE)</f>
        <v>0.27777777777777779</v>
      </c>
    </row>
    <row r="7" spans="1:15" x14ac:dyDescent="0.3">
      <c r="A7">
        <f>+A6+1</f>
        <v>2</v>
      </c>
      <c r="B7" t="s">
        <v>107</v>
      </c>
      <c r="C7" s="47">
        <f ca="1">+VLOOKUP($B7,Resumen2!$B:$N,'Op3'!C$5+1,FALSE)</f>
        <v>7</v>
      </c>
      <c r="D7" s="49">
        <f ca="1">+VLOOKUP($B7,Resumen2!$B:$N,'Op3'!D$5+1,FALSE)*100</f>
        <v>24.137931034482758</v>
      </c>
      <c r="E7" s="48">
        <f ca="1">+VLOOKUP($B7,Resumen2!$B:$N,'Op3'!E$5+1,FALSE)</f>
        <v>8.4137931034482758</v>
      </c>
      <c r="F7" s="48">
        <f ca="1">+VLOOKUP($B7,Resumen2!$B:$N,'Op3'!F$5+1,FALSE)</f>
        <v>4.9245539419417055</v>
      </c>
      <c r="G7" s="46">
        <f ca="1">+VLOOKUP($B7,Resumen2!$B:$N,'Op3'!G$5+1,FALSE)</f>
        <v>42399.069827586209</v>
      </c>
      <c r="H7" s="46">
        <f ca="1">+VLOOKUP($B7,Resumen2!$B:$N,'Op3'!H$5+1,FALSE)</f>
        <v>150040.03445523279</v>
      </c>
      <c r="I7" s="46">
        <f ca="1">+VLOOKUP($B7,Resumen2!$B:$N,'Op3'!I$5+1,FALSE)</f>
        <v>16393.700999999997</v>
      </c>
      <c r="J7" s="46">
        <f ca="1">+VLOOKUP($B7,Resumen2!$B:$N,'Op3'!J$5+1,FALSE)</f>
        <v>12570.0676278916</v>
      </c>
      <c r="K7" s="47">
        <f ca="1">+VLOOKUP($B7,Resumen2!$B:$N,'Op3'!K$5+1,FALSE)</f>
        <v>3</v>
      </c>
      <c r="L7" s="48">
        <f ca="1">+VLOOKUP($B7,Resumen2!$B:$N,'Op3'!L$5+1,FALSE)</f>
        <v>0.10344827586206896</v>
      </c>
      <c r="M7" s="46">
        <f ca="1">+VLOOKUP($B7,Resumen2!$B:$N,'Op3'!M$5+1,FALSE)</f>
        <v>29</v>
      </c>
      <c r="N7" s="46">
        <f ca="1">+VLOOKUP($B7,Resumen2!$B:$N,'Op3'!N$5+1,FALSE)</f>
        <v>26</v>
      </c>
      <c r="O7" s="46">
        <f ca="1">+VLOOKUP($B7,Resumen!B:Q,16,FALSE)</f>
        <v>1</v>
      </c>
    </row>
    <row r="8" spans="1:15" x14ac:dyDescent="0.3">
      <c r="A8">
        <f>+A7+1</f>
        <v>3</v>
      </c>
      <c r="B8" t="s">
        <v>288</v>
      </c>
      <c r="C8" s="47">
        <f ca="1">+VLOOKUP($B8,Resumen2!$B:$N,'Op3'!C$5+1,FALSE)</f>
        <v>0</v>
      </c>
      <c r="D8" s="49">
        <f ca="1">+VLOOKUP($B8,Resumen2!$B:$N,'Op3'!D$5+1,FALSE)*100</f>
        <v>0</v>
      </c>
      <c r="E8" s="48">
        <f ca="1">+VLOOKUP($B8,Resumen2!$B:$N,'Op3'!E$5+1,FALSE)</f>
        <v>7.2758620689655169</v>
      </c>
      <c r="F8" s="48">
        <f ca="1">+VLOOKUP($B8,Resumen2!$B:$N,'Op3'!F$5+1,FALSE)</f>
        <v>4.1567204769087747</v>
      </c>
      <c r="G8" s="46">
        <f ca="1">+VLOOKUP($B8,Resumen2!$B:$N,'Op3'!G$5+1,FALSE)</f>
        <v>9421.012270114943</v>
      </c>
      <c r="H8" s="46">
        <f ca="1">+VLOOKUP($B8,Resumen2!$B:$N,'Op3'!H$5+1,FALSE)</f>
        <v>12702.091483704875</v>
      </c>
      <c r="I8" s="46">
        <f ca="1">+VLOOKUP($B8,Resumen2!$B:$N,'Op3'!I$5+1,FALSE)</f>
        <v>10545.747103174603</v>
      </c>
      <c r="J8" s="46">
        <f ca="1">+VLOOKUP($B8,Resumen2!$B:$N,'Op3'!J$5+1,FALSE)</f>
        <v>10193.437487627149</v>
      </c>
      <c r="K8" s="47">
        <f ca="1">+VLOOKUP($B8,Resumen2!$B:$N,'Op3'!K$5+1,FALSE)</f>
        <v>7</v>
      </c>
      <c r="L8" s="48">
        <f ca="1">+VLOOKUP($B8,Resumen2!$B:$N,'Op3'!L$5+1,FALSE)</f>
        <v>0.2413793103448276</v>
      </c>
      <c r="M8" s="46">
        <f ca="1">+VLOOKUP($B8,Resumen2!$B:$N,'Op3'!M$5+1,FALSE)</f>
        <v>29</v>
      </c>
      <c r="N8" s="46">
        <f ca="1">+VLOOKUP($B8,Resumen2!$B:$N,'Op3'!N$5+1,FALSE)</f>
        <v>22</v>
      </c>
      <c r="O8" s="46">
        <f ca="1">+VLOOKUP($B8,Resumen!B:Q,16,FALSE)</f>
        <v>1</v>
      </c>
    </row>
    <row r="9" spans="1:15" x14ac:dyDescent="0.3">
      <c r="A9">
        <f>+A8+1</f>
        <v>4</v>
      </c>
      <c r="B9" t="s">
        <v>442</v>
      </c>
      <c r="C9" s="47">
        <f ca="1">+VLOOKUP($B9,Resumen2!$B:$N,'Op3'!C$5+1,FALSE)</f>
        <v>0</v>
      </c>
      <c r="D9" s="49">
        <f ca="1">+VLOOKUP($B9,Resumen2!$B:$N,'Op3'!D$5+1,FALSE)*100</f>
        <v>0</v>
      </c>
      <c r="E9" s="48">
        <f ca="1">+VLOOKUP($B9,Resumen2!$B:$N,'Op3'!E$5+1,FALSE)</f>
        <v>6.56</v>
      </c>
      <c r="F9" s="48">
        <f ca="1">+VLOOKUP($B9,Resumen2!$B:$N,'Op3'!F$5+1,FALSE)</f>
        <v>4.5650848842053318</v>
      </c>
      <c r="G9" s="46">
        <f ca="1">+VLOOKUP($B9,Resumen2!$B:$N,'Op3'!G$5+1,FALSE)</f>
        <v>14076.754433333332</v>
      </c>
      <c r="H9" s="46">
        <f ca="1">+VLOOKUP($B9,Resumen2!$B:$N,'Op3'!H$5+1,FALSE)</f>
        <v>17844.180331972078</v>
      </c>
      <c r="I9" s="46">
        <f ca="1">+VLOOKUP($B9,Resumen2!$B:$N,'Op3'!I$5+1,FALSE)</f>
        <v>20119.150773809524</v>
      </c>
      <c r="J9" s="46">
        <f ca="1">+VLOOKUP($B9,Resumen2!$B:$N,'Op3'!J$5+1,FALSE)</f>
        <v>12384.043207336654</v>
      </c>
      <c r="K9" s="47">
        <f ca="1">+VLOOKUP($B9,Resumen2!$B:$N,'Op3'!K$5+1,FALSE)</f>
        <v>10</v>
      </c>
      <c r="L9" s="48">
        <f ca="1">+VLOOKUP($B9,Resumen2!$B:$N,'Op3'!L$5+1,FALSE)</f>
        <v>0.4</v>
      </c>
      <c r="M9" s="46">
        <f ca="1">+VLOOKUP($B9,Resumen2!$B:$N,'Op3'!M$5+1,FALSE)</f>
        <v>25</v>
      </c>
      <c r="N9" s="46">
        <f ca="1">+VLOOKUP($B9,Resumen2!$B:$N,'Op3'!N$5+1,FALSE)</f>
        <v>15</v>
      </c>
      <c r="O9" s="46">
        <f ca="1">+VLOOKUP($B9,Resumen!B:Q,16,FALSE)</f>
        <v>1</v>
      </c>
    </row>
    <row r="10" spans="1:15" x14ac:dyDescent="0.3">
      <c r="A10">
        <f>+A9+1</f>
        <v>5</v>
      </c>
      <c r="B10" t="s">
        <v>177</v>
      </c>
      <c r="C10" s="47">
        <f ca="1">+VLOOKUP($B10,Resumen2!$B:$N,'Op3'!C$5+1,FALSE)</f>
        <v>1</v>
      </c>
      <c r="D10" s="49">
        <f ca="1">+VLOOKUP($B10,Resumen2!$B:$N,'Op3'!D$5+1,FALSE)*100</f>
        <v>3.3333333333333335</v>
      </c>
      <c r="E10" s="48">
        <f ca="1">+VLOOKUP($B10,Resumen2!$B:$N,'Op3'!E$5+1,FALSE)</f>
        <v>6</v>
      </c>
      <c r="F10" s="48">
        <f ca="1">+VLOOKUP($B10,Resumen2!$B:$N,'Op3'!F$5+1,FALSE)</f>
        <v>3.2589399588167338</v>
      </c>
      <c r="G10" s="46">
        <f ca="1">+VLOOKUP($B10,Resumen2!$B:$N,'Op3'!G$5+1,FALSE)</f>
        <v>6373.2588888888868</v>
      </c>
      <c r="H10" s="46">
        <f ca="1">+VLOOKUP($B10,Resumen2!$B:$N,'Op3'!H$5+1,FALSE)</f>
        <v>8562.9171462189261</v>
      </c>
      <c r="I10" s="46">
        <f ca="1">+VLOOKUP($B10,Resumen2!$B:$N,'Op3'!I$5+1,FALSE)</f>
        <v>5266.1580246913582</v>
      </c>
      <c r="J10" s="46">
        <f ca="1">+VLOOKUP($B10,Resumen2!$B:$N,'Op3'!J$5+1,FALSE)</f>
        <v>5446.8125705588864</v>
      </c>
      <c r="K10" s="47">
        <f ca="1">+VLOOKUP($B10,Resumen2!$B:$N,'Op3'!K$5+1,FALSE)</f>
        <v>2</v>
      </c>
      <c r="L10" s="48">
        <f ca="1">+VLOOKUP($B10,Resumen2!$B:$N,'Op3'!L$5+1,FALSE)</f>
        <v>6.6666666666666666E-2</v>
      </c>
      <c r="M10" s="46">
        <f ca="1">+VLOOKUP($B10,Resumen2!$B:$N,'Op3'!M$5+1,FALSE)</f>
        <v>30</v>
      </c>
      <c r="N10" s="46">
        <f ca="1">+VLOOKUP($B10,Resumen2!$B:$N,'Op3'!N$5+1,FALSE)</f>
        <v>28</v>
      </c>
      <c r="O10" s="46">
        <f ca="1">+VLOOKUP($B10,Resumen!B:Q,16,FALSE)</f>
        <v>0.18333333333333332</v>
      </c>
    </row>
    <row r="11" spans="1:15" x14ac:dyDescent="0.3">
      <c r="A11">
        <f t="shared" ref="A11:A43" si="1">+A10+1</f>
        <v>6</v>
      </c>
      <c r="B11" t="s">
        <v>187</v>
      </c>
      <c r="C11" s="47">
        <f ca="1">+VLOOKUP($B11,Resumen2!$B:$N,'Op3'!C$5+1,FALSE)</f>
        <v>1</v>
      </c>
      <c r="D11" s="49">
        <f ca="1">+VLOOKUP($B11,Resumen2!$B:$N,'Op3'!D$5+1,FALSE)*100</f>
        <v>3.5714285714285712</v>
      </c>
      <c r="E11" s="48">
        <f ca="1">+VLOOKUP($B11,Resumen2!$B:$N,'Op3'!E$5+1,FALSE)</f>
        <v>3.4285714285714284</v>
      </c>
      <c r="F11" s="48">
        <f ca="1">+VLOOKUP($B11,Resumen2!$B:$N,'Op3'!F$5+1,FALSE)</f>
        <v>3.2366943748507482</v>
      </c>
      <c r="G11" s="46">
        <f ca="1">+VLOOKUP($B11,Resumen2!$B:$N,'Op3'!G$5+1,FALSE)</f>
        <v>3355.883928571428</v>
      </c>
      <c r="H11" s="46">
        <f ca="1">+VLOOKUP($B11,Resumen2!$B:$N,'Op3'!H$5+1,FALSE)</f>
        <v>6460.0595167974634</v>
      </c>
      <c r="I11" s="46">
        <f ca="1">+VLOOKUP($B11,Resumen2!$B:$N,'Op3'!I$5+1,FALSE)</f>
        <v>1885.5771604938273</v>
      </c>
      <c r="J11" s="46">
        <f ca="1">+VLOOKUP($B11,Resumen2!$B:$N,'Op3'!J$5+1,FALSE)</f>
        <v>1651.3348034160881</v>
      </c>
      <c r="K11" s="47">
        <f ca="1">+VLOOKUP($B11,Resumen2!$B:$N,'Op3'!K$5+1,FALSE)</f>
        <v>0</v>
      </c>
      <c r="L11" s="48">
        <f ca="1">+VLOOKUP($B11,Resumen2!$B:$N,'Op3'!L$5+1,FALSE)</f>
        <v>0</v>
      </c>
      <c r="M11" s="46">
        <f ca="1">+VLOOKUP($B11,Resumen2!$B:$N,'Op3'!M$5+1,FALSE)</f>
        <v>28</v>
      </c>
      <c r="N11" s="46">
        <f ca="1">+VLOOKUP($B11,Resumen2!$B:$N,'Op3'!N$5+1,FALSE)</f>
        <v>28</v>
      </c>
      <c r="O11" s="46">
        <f ca="1">+VLOOKUP($B11,Resumen!B:Q,16,FALSE)</f>
        <v>0.29090909090909089</v>
      </c>
    </row>
    <row r="12" spans="1:15" x14ac:dyDescent="0.3">
      <c r="A12">
        <f t="shared" si="1"/>
        <v>7</v>
      </c>
      <c r="B12" t="s">
        <v>445</v>
      </c>
      <c r="C12" s="47">
        <f ca="1">+VLOOKUP($B12,Resumen2!$B:$N,'Op3'!C$5+1,FALSE)</f>
        <v>0</v>
      </c>
      <c r="D12" s="49">
        <f ca="1">+VLOOKUP($B12,Resumen2!$B:$N,'Op3'!D$5+1,FALSE)*100</f>
        <v>0</v>
      </c>
      <c r="E12" s="48">
        <f ca="1">+VLOOKUP($B12,Resumen2!$B:$N,'Op3'!E$5+1,FALSE)</f>
        <v>0</v>
      </c>
      <c r="F12" s="48">
        <f ca="1">+VLOOKUP($B12,Resumen2!$B:$N,'Op3'!F$5+1,FALSE)</f>
        <v>0</v>
      </c>
      <c r="G12" s="46">
        <f ca="1">+VLOOKUP($B12,Resumen2!$B:$N,'Op3'!G$5+1,FALSE)</f>
        <v>0</v>
      </c>
      <c r="H12" s="46">
        <f ca="1">+VLOOKUP($B12,Resumen2!$B:$N,'Op3'!H$5+1,FALSE)</f>
        <v>0</v>
      </c>
      <c r="I12" s="46">
        <f ca="1">+VLOOKUP($B12,Resumen2!$B:$N,'Op3'!I$5+1,FALSE)</f>
        <v>0</v>
      </c>
      <c r="J12" s="46">
        <f ca="1">+VLOOKUP($B12,Resumen2!$B:$N,'Op3'!J$5+1,FALSE)</f>
        <v>0</v>
      </c>
      <c r="K12" s="47">
        <f ca="1">+VLOOKUP($B12,Resumen2!$B:$N,'Op3'!K$5+1,FALSE)</f>
        <v>0</v>
      </c>
      <c r="L12" s="48">
        <f ca="1">+VLOOKUP($B12,Resumen2!$B:$N,'Op3'!L$5+1,FALSE)</f>
        <v>0</v>
      </c>
      <c r="M12" s="46">
        <f ca="1">+VLOOKUP($B12,Resumen2!$B:$N,'Op3'!M$5+1,FALSE)</f>
        <v>0</v>
      </c>
      <c r="N12" s="46">
        <f ca="1">+VLOOKUP($B12,Resumen2!$B:$N,'Op3'!N$5+1,FALSE)</f>
        <v>0</v>
      </c>
      <c r="O12" s="46">
        <f ca="1">+VLOOKUP($B12,Resumen!B:Q,16,FALSE)</f>
        <v>0</v>
      </c>
    </row>
    <row r="13" spans="1:15" x14ac:dyDescent="0.3">
      <c r="A13">
        <f t="shared" si="1"/>
        <v>8</v>
      </c>
      <c r="B13" t="s">
        <v>441</v>
      </c>
      <c r="C13" s="47">
        <f ca="1">+VLOOKUP($B13,Resumen2!$B:$N,'Op3'!C$5+1,FALSE)</f>
        <v>0</v>
      </c>
      <c r="D13" s="49">
        <f ca="1">+VLOOKUP($B13,Resumen2!$B:$N,'Op3'!D$5+1,FALSE)*100</f>
        <v>0</v>
      </c>
      <c r="E13" s="48">
        <f ca="1">+VLOOKUP($B13,Resumen2!$B:$N,'Op3'!E$5+1,FALSE)</f>
        <v>4.9333333333333336</v>
      </c>
      <c r="F13" s="48">
        <f ca="1">+VLOOKUP($B13,Resumen2!$B:$N,'Op3'!F$5+1,FALSE)</f>
        <v>3.8999389494611081</v>
      </c>
      <c r="G13" s="46">
        <f ca="1">+VLOOKUP($B13,Resumen2!$B:$N,'Op3'!G$5+1,FALSE)</f>
        <v>4809.5549999999985</v>
      </c>
      <c r="H13" s="46">
        <f ca="1">+VLOOKUP($B13,Resumen2!$B:$N,'Op3'!H$5+1,FALSE)</f>
        <v>4477.7625215328317</v>
      </c>
      <c r="I13" s="46">
        <f ca="1">+VLOOKUP($B13,Resumen2!$B:$N,'Op3'!I$5+1,FALSE)</f>
        <v>4705.0479166666664</v>
      </c>
      <c r="J13" s="46">
        <f ca="1">+VLOOKUP($B13,Resumen2!$B:$N,'Op3'!J$5+1,FALSE)</f>
        <v>3248.5511724423136</v>
      </c>
      <c r="K13" s="47">
        <f ca="1">+VLOOKUP($B13,Resumen2!$B:$N,'Op3'!K$5+1,FALSE)</f>
        <v>2</v>
      </c>
      <c r="L13" s="48">
        <f ca="1">+VLOOKUP($B13,Resumen2!$B:$N,'Op3'!L$5+1,FALSE)</f>
        <v>0.1111111111111111</v>
      </c>
      <c r="M13" s="46">
        <f ca="1">+VLOOKUP($B13,Resumen2!$B:$N,'Op3'!M$5+1,FALSE)</f>
        <v>18</v>
      </c>
      <c r="N13" s="46">
        <f ca="1">+VLOOKUP($B13,Resumen2!$B:$N,'Op3'!N$5+1,FALSE)</f>
        <v>16</v>
      </c>
      <c r="O13" s="46">
        <f ca="1">+VLOOKUP($B13,Resumen!B:Q,16,FALSE)</f>
        <v>0.35714285714285715</v>
      </c>
    </row>
    <row r="14" spans="1:15" x14ac:dyDescent="0.3">
      <c r="A14">
        <f t="shared" si="1"/>
        <v>9</v>
      </c>
      <c r="B14" t="s">
        <v>450</v>
      </c>
      <c r="C14" s="47">
        <f ca="1">+VLOOKUP($B14,Resumen2!$B:$N,'Op3'!C$5+1,FALSE)</f>
        <v>0</v>
      </c>
      <c r="D14" s="49">
        <f ca="1">+VLOOKUP($B14,Resumen2!$B:$N,'Op3'!D$5+1,FALSE)*100</f>
        <v>0</v>
      </c>
      <c r="E14" s="48">
        <f ca="1">+VLOOKUP($B14,Resumen2!$B:$N,'Op3'!E$5+1,FALSE)</f>
        <v>6.1379310344827589</v>
      </c>
      <c r="F14" s="48">
        <f ca="1">+VLOOKUP($B14,Resumen2!$B:$N,'Op3'!F$5+1,FALSE)</f>
        <v>4.3402117947912773</v>
      </c>
      <c r="G14" s="46">
        <f ca="1">+VLOOKUP($B14,Resumen2!$B:$N,'Op3'!G$5+1,FALSE)</f>
        <v>5274.1465517241386</v>
      </c>
      <c r="H14" s="46">
        <f ca="1">+VLOOKUP($B14,Resumen2!$B:$N,'Op3'!H$5+1,FALSE)</f>
        <v>5161.1086188841455</v>
      </c>
      <c r="I14" s="46">
        <f ca="1">+VLOOKUP($B14,Resumen2!$B:$N,'Op3'!I$5+1,FALSE)</f>
        <v>6193.193181818182</v>
      </c>
      <c r="J14" s="46">
        <f ca="1">+VLOOKUP($B14,Resumen2!$B:$N,'Op3'!J$5+1,FALSE)</f>
        <v>4524.0368363389607</v>
      </c>
      <c r="K14" s="47">
        <f ca="1">+VLOOKUP($B14,Resumen2!$B:$N,'Op3'!K$5+1,FALSE)</f>
        <v>6</v>
      </c>
      <c r="L14" s="48">
        <f ca="1">+VLOOKUP($B14,Resumen2!$B:$N,'Op3'!L$5+1,FALSE)</f>
        <v>0.20689655172413793</v>
      </c>
      <c r="M14" s="46">
        <f ca="1">+VLOOKUP($B14,Resumen2!$B:$N,'Op3'!M$5+1,FALSE)</f>
        <v>29</v>
      </c>
      <c r="N14" s="46">
        <f ca="1">+VLOOKUP($B14,Resumen2!$B:$N,'Op3'!N$5+1,FALSE)</f>
        <v>23</v>
      </c>
      <c r="O14" s="46">
        <f ca="1">+VLOOKUP($B14,Resumen!B:Q,16,FALSE)</f>
        <v>0.31034482758620691</v>
      </c>
    </row>
    <row r="15" spans="1:15" x14ac:dyDescent="0.3">
      <c r="A15">
        <f t="shared" si="1"/>
        <v>10</v>
      </c>
      <c r="B15" t="s">
        <v>443</v>
      </c>
      <c r="C15" s="47">
        <f ca="1">+VLOOKUP($B15,Resumen2!$B:$N,'Op3'!C$5+1,FALSE)</f>
        <v>0</v>
      </c>
      <c r="D15" s="49">
        <f ca="1">+VLOOKUP($B15,Resumen2!$B:$N,'Op3'!D$5+1,FALSE)*100</f>
        <v>0</v>
      </c>
      <c r="E15" s="48">
        <f ca="1">+VLOOKUP($B15,Resumen2!$B:$N,'Op3'!E$5+1,FALSE)</f>
        <v>3.9333333333333331</v>
      </c>
      <c r="F15" s="48">
        <f ca="1">+VLOOKUP($B15,Resumen2!$B:$N,'Op3'!F$5+1,FALSE)</f>
        <v>4.03376553208241</v>
      </c>
      <c r="G15" s="46">
        <f ca="1">+VLOOKUP($B15,Resumen2!$B:$N,'Op3'!G$5+1,FALSE)</f>
        <v>1215.6089722222221</v>
      </c>
      <c r="H15" s="46">
        <f ca="1">+VLOOKUP($B15,Resumen2!$B:$N,'Op3'!H$5+1,FALSE)</f>
        <v>2435.3155698890537</v>
      </c>
      <c r="I15" s="46">
        <f ca="1">+VLOOKUP($B15,Resumen2!$B:$N,'Op3'!I$5+1,FALSE)</f>
        <v>3958.9379761904761</v>
      </c>
      <c r="J15" s="46">
        <f ca="1">+VLOOKUP($B15,Resumen2!$B:$N,'Op3'!J$5+1,FALSE)</f>
        <v>2234.1508777454997</v>
      </c>
      <c r="K15" s="47">
        <f ca="1">+VLOOKUP($B15,Resumen2!$B:$N,'Op3'!K$5+1,FALSE)</f>
        <v>22</v>
      </c>
      <c r="L15" s="48">
        <f ca="1">+VLOOKUP($B15,Resumen2!$B:$N,'Op3'!L$5+1,FALSE)</f>
        <v>0.73333333333333328</v>
      </c>
      <c r="M15" s="46">
        <f ca="1">+VLOOKUP($B15,Resumen2!$B:$N,'Op3'!M$5+1,FALSE)</f>
        <v>30</v>
      </c>
      <c r="N15" s="46">
        <f ca="1">+VLOOKUP($B15,Resumen2!$B:$N,'Op3'!N$5+1,FALSE)</f>
        <v>8</v>
      </c>
      <c r="O15" s="46">
        <f ca="1">+VLOOKUP($B15,Resumen!B:Q,16,FALSE)</f>
        <v>0</v>
      </c>
    </row>
    <row r="16" spans="1:15" x14ac:dyDescent="0.3">
      <c r="A16">
        <f t="shared" si="1"/>
        <v>11</v>
      </c>
      <c r="B16" t="s">
        <v>76</v>
      </c>
      <c r="C16" s="47">
        <f ca="1">+VLOOKUP($B16,Resumen2!$B:$N,'Op3'!C$5+1,FALSE)</f>
        <v>6</v>
      </c>
      <c r="D16" s="49">
        <f ca="1">+VLOOKUP($B16,Resumen2!$B:$N,'Op3'!D$5+1,FALSE)*100</f>
        <v>20</v>
      </c>
      <c r="E16" s="48">
        <f ca="1">+VLOOKUP($B16,Resumen2!$B:$N,'Op3'!E$5+1,FALSE)</f>
        <v>6.833333333333333</v>
      </c>
      <c r="F16" s="48">
        <f ca="1">+VLOOKUP($B16,Resumen2!$B:$N,'Op3'!F$5+1,FALSE)</f>
        <v>3.7608081792241865</v>
      </c>
      <c r="G16" s="46">
        <f ca="1">+VLOOKUP($B16,Resumen2!$B:$N,'Op3'!G$5+1,FALSE)</f>
        <v>16195.718083333331</v>
      </c>
      <c r="H16" s="46">
        <f ca="1">+VLOOKUP($B16,Resumen2!$B:$N,'Op3'!H$5+1,FALSE)</f>
        <v>14402.227228310208</v>
      </c>
      <c r="I16" s="46">
        <f ca="1">+VLOOKUP($B16,Resumen2!$B:$N,'Op3'!I$5+1,FALSE)</f>
        <v>15141.925555555556</v>
      </c>
      <c r="J16" s="46">
        <f ca="1">+VLOOKUP($B16,Resumen2!$B:$N,'Op3'!J$5+1,FALSE)</f>
        <v>10657.682886582295</v>
      </c>
      <c r="K16" s="47">
        <f ca="1">+VLOOKUP($B16,Resumen2!$B:$N,'Op3'!K$5+1,FALSE)</f>
        <v>1</v>
      </c>
      <c r="L16" s="48">
        <f ca="1">+VLOOKUP($B16,Resumen2!$B:$N,'Op3'!L$5+1,FALSE)</f>
        <v>3.3333333333333333E-2</v>
      </c>
      <c r="M16" s="46">
        <f ca="1">+VLOOKUP($B16,Resumen2!$B:$N,'Op3'!M$5+1,FALSE)</f>
        <v>30</v>
      </c>
      <c r="N16" s="46">
        <f ca="1">+VLOOKUP($B16,Resumen2!$B:$N,'Op3'!N$5+1,FALSE)</f>
        <v>29</v>
      </c>
      <c r="O16" s="46">
        <f ca="1">+VLOOKUP($B16,Resumen!B:Q,16,FALSE)</f>
        <v>1</v>
      </c>
    </row>
    <row r="17" spans="1:15" x14ac:dyDescent="0.3">
      <c r="A17">
        <f t="shared" si="1"/>
        <v>12</v>
      </c>
      <c r="B17" t="s">
        <v>444</v>
      </c>
      <c r="C17" s="47">
        <f ca="1">+VLOOKUP($B17,Resumen2!$B:$N,'Op3'!C$5+1,FALSE)</f>
        <v>0</v>
      </c>
      <c r="D17" s="49">
        <f ca="1">+VLOOKUP($B17,Resumen2!$B:$N,'Op3'!D$5+1,FALSE)*100</f>
        <v>0</v>
      </c>
      <c r="E17" s="48">
        <f ca="1">+VLOOKUP($B17,Resumen2!$B:$N,'Op3'!E$5+1,FALSE)</f>
        <v>6.3571428571428568</v>
      </c>
      <c r="F17" s="48">
        <f ca="1">+VLOOKUP($B17,Resumen2!$B:$N,'Op3'!F$5+1,FALSE)</f>
        <v>5.2367242072960476</v>
      </c>
      <c r="G17" s="46">
        <f ca="1">+VLOOKUP($B17,Resumen2!$B:$N,'Op3'!G$5+1,FALSE)</f>
        <v>6745.8043452380953</v>
      </c>
      <c r="H17" s="46">
        <f ca="1">+VLOOKUP($B17,Resumen2!$B:$N,'Op3'!H$5+1,FALSE)</f>
        <v>12148.142065017279</v>
      </c>
      <c r="I17" s="46">
        <f ca="1">+VLOOKUP($B17,Resumen2!$B:$N,'Op3'!I$5+1,FALSE)</f>
        <v>6684.7399561403508</v>
      </c>
      <c r="J17" s="46">
        <f ca="1">+VLOOKUP($B17,Resumen2!$B:$N,'Op3'!J$5+1,FALSE)</f>
        <v>5683.9066392226923</v>
      </c>
      <c r="K17" s="47">
        <f ca="1">+VLOOKUP($B17,Resumen2!$B:$N,'Op3'!K$5+1,FALSE)</f>
        <v>8</v>
      </c>
      <c r="L17" s="48">
        <f ca="1">+VLOOKUP($B17,Resumen2!$B:$N,'Op3'!L$5+1,FALSE)</f>
        <v>0.2857142857142857</v>
      </c>
      <c r="M17" s="46">
        <f ca="1">+VLOOKUP($B17,Resumen2!$B:$N,'Op3'!M$5+1,FALSE)</f>
        <v>28</v>
      </c>
      <c r="N17" s="46">
        <f ca="1">+VLOOKUP($B17,Resumen2!$B:$N,'Op3'!N$5+1,FALSE)</f>
        <v>20</v>
      </c>
      <c r="O17" s="46">
        <f ca="1">+VLOOKUP($B17,Resumen!B:Q,16,FALSE)</f>
        <v>0.18181818181818182</v>
      </c>
    </row>
    <row r="18" spans="1:15" x14ac:dyDescent="0.3">
      <c r="A18">
        <f t="shared" si="1"/>
        <v>13</v>
      </c>
      <c r="B18" t="s">
        <v>235</v>
      </c>
      <c r="C18" s="47">
        <f ca="1">+VLOOKUP($B18,Resumen2!$B:$N,'Op3'!C$5+1,FALSE)</f>
        <v>0</v>
      </c>
      <c r="D18" s="49">
        <f ca="1">+VLOOKUP($B18,Resumen2!$B:$N,'Op3'!D$5+1,FALSE)*100</f>
        <v>0</v>
      </c>
      <c r="E18" s="48">
        <f ca="1">+VLOOKUP($B18,Resumen2!$B:$N,'Op3'!E$5+1,FALSE)</f>
        <v>7.4333333333333336</v>
      </c>
      <c r="F18" s="48">
        <f ca="1">+VLOOKUP($B18,Resumen2!$B:$N,'Op3'!F$5+1,FALSE)</f>
        <v>4.9527653949557573</v>
      </c>
      <c r="G18" s="46">
        <f ca="1">+VLOOKUP($B18,Resumen2!$B:$N,'Op3'!G$5+1,FALSE)</f>
        <v>3869.7260277777777</v>
      </c>
      <c r="H18" s="46">
        <f ca="1">+VLOOKUP($B18,Resumen2!$B:$N,'Op3'!H$5+1,FALSE)</f>
        <v>5453.1101628896276</v>
      </c>
      <c r="I18" s="46">
        <f ca="1">+VLOOKUP($B18,Resumen2!$B:$N,'Op3'!I$5+1,FALSE)</f>
        <v>6195.9687222222228</v>
      </c>
      <c r="J18" s="46">
        <f ca="1">+VLOOKUP($B18,Resumen2!$B:$N,'Op3'!J$5+1,FALSE)</f>
        <v>3777.0186915426539</v>
      </c>
      <c r="K18" s="47">
        <f ca="1">+VLOOKUP($B18,Resumen2!$B:$N,'Op3'!K$5+1,FALSE)</f>
        <v>14</v>
      </c>
      <c r="L18" s="48">
        <f ca="1">+VLOOKUP($B18,Resumen2!$B:$N,'Op3'!L$5+1,FALSE)</f>
        <v>0.46666666666666667</v>
      </c>
      <c r="M18" s="46">
        <f ca="1">+VLOOKUP($B18,Resumen2!$B:$N,'Op3'!M$5+1,FALSE)</f>
        <v>30</v>
      </c>
      <c r="N18" s="46">
        <f ca="1">+VLOOKUP($B18,Resumen2!$B:$N,'Op3'!N$5+1,FALSE)</f>
        <v>16</v>
      </c>
      <c r="O18" s="46">
        <f ca="1">+VLOOKUP($B18,Resumen!B:Q,16,FALSE)</f>
        <v>0.11666666666666667</v>
      </c>
    </row>
    <row r="19" spans="1:15" x14ac:dyDescent="0.3">
      <c r="A19">
        <f t="shared" si="1"/>
        <v>14</v>
      </c>
      <c r="B19" t="s">
        <v>138</v>
      </c>
      <c r="C19" s="47">
        <f ca="1">+VLOOKUP($B19,Resumen2!$B:$N,'Op3'!C$5+1,FALSE)</f>
        <v>2</v>
      </c>
      <c r="D19" s="49">
        <f ca="1">+VLOOKUP($B19,Resumen2!$B:$N,'Op3'!D$5+1,FALSE)*100</f>
        <v>6.666666666666667</v>
      </c>
      <c r="E19" s="48">
        <f ca="1">+VLOOKUP($B19,Resumen2!$B:$N,'Op3'!E$5+1,FALSE)</f>
        <v>5</v>
      </c>
      <c r="F19" s="48">
        <f ca="1">+VLOOKUP($B19,Resumen2!$B:$N,'Op3'!F$5+1,FALSE)</f>
        <v>3.850660489694794</v>
      </c>
      <c r="G19" s="46">
        <f ca="1">+VLOOKUP($B19,Resumen2!$B:$N,'Op3'!G$5+1,FALSE)</f>
        <v>8226.7181111111113</v>
      </c>
      <c r="H19" s="46">
        <f ca="1">+VLOOKUP($B19,Resumen2!$B:$N,'Op3'!H$5+1,FALSE)</f>
        <v>16506.917090772229</v>
      </c>
      <c r="I19" s="46">
        <f ca="1">+VLOOKUP($B19,Resumen2!$B:$N,'Op3'!I$5+1,FALSE)</f>
        <v>7985.3433333333342</v>
      </c>
      <c r="J19" s="46">
        <f ca="1">+VLOOKUP($B19,Resumen2!$B:$N,'Op3'!J$5+1,FALSE)</f>
        <v>10804.793561604609</v>
      </c>
      <c r="K19" s="47">
        <f ca="1">+VLOOKUP($B19,Resumen2!$B:$N,'Op3'!K$5+1,FALSE)</f>
        <v>8</v>
      </c>
      <c r="L19" s="48">
        <f ca="1">+VLOOKUP($B19,Resumen2!$B:$N,'Op3'!L$5+1,FALSE)</f>
        <v>0.26666666666666666</v>
      </c>
      <c r="M19" s="46">
        <f ca="1">+VLOOKUP($B19,Resumen2!$B:$N,'Op3'!M$5+1,FALSE)</f>
        <v>30</v>
      </c>
      <c r="N19" s="46">
        <f ca="1">+VLOOKUP($B19,Resumen2!$B:$N,'Op3'!N$5+1,FALSE)</f>
        <v>22</v>
      </c>
      <c r="O19" s="46">
        <f ca="1">+VLOOKUP($B19,Resumen!B:Q,16,FALSE)</f>
        <v>1</v>
      </c>
    </row>
    <row r="20" spans="1:15" x14ac:dyDescent="0.3">
      <c r="A20">
        <f t="shared" si="1"/>
        <v>15</v>
      </c>
      <c r="B20" t="s">
        <v>333</v>
      </c>
      <c r="C20" s="47">
        <f ca="1">+VLOOKUP($B20,Resumen2!$B:$N,'Op3'!C$5+1,FALSE)</f>
        <v>0</v>
      </c>
      <c r="D20" s="49">
        <f ca="1">+VLOOKUP($B20,Resumen2!$B:$N,'Op3'!D$5+1,FALSE)*100</f>
        <v>0</v>
      </c>
      <c r="E20" s="48">
        <f ca="1">+VLOOKUP($B20,Resumen2!$B:$N,'Op3'!E$5+1,FALSE)</f>
        <v>7.5185185185185182</v>
      </c>
      <c r="F20" s="48">
        <f ca="1">+VLOOKUP($B20,Resumen2!$B:$N,'Op3'!F$5+1,FALSE)</f>
        <v>5.4938453001823939</v>
      </c>
      <c r="G20" s="46">
        <f ca="1">+VLOOKUP($B20,Resumen2!$B:$N,'Op3'!G$5+1,FALSE)</f>
        <v>9145.1447839506181</v>
      </c>
      <c r="H20" s="46">
        <f ca="1">+VLOOKUP($B20,Resumen2!$B:$N,'Op3'!H$5+1,FALSE)</f>
        <v>10920.547831238981</v>
      </c>
      <c r="I20" s="46">
        <f ca="1">+VLOOKUP($B20,Resumen2!$B:$N,'Op3'!I$5+1,FALSE)</f>
        <v>9840.3712152777789</v>
      </c>
      <c r="J20" s="46">
        <f ca="1">+VLOOKUP($B20,Resumen2!$B:$N,'Op3'!J$5+1,FALSE)</f>
        <v>11266.098485222665</v>
      </c>
      <c r="K20" s="47">
        <f ca="1">+VLOOKUP($B20,Resumen2!$B:$N,'Op3'!K$5+1,FALSE)</f>
        <v>2</v>
      </c>
      <c r="L20" s="48">
        <f ca="1">+VLOOKUP($B20,Resumen2!$B:$N,'Op3'!L$5+1,FALSE)</f>
        <v>7.407407407407407E-2</v>
      </c>
      <c r="M20" s="46">
        <f ca="1">+VLOOKUP($B20,Resumen2!$B:$N,'Op3'!M$5+1,FALSE)</f>
        <v>27</v>
      </c>
      <c r="N20" s="46">
        <f ca="1">+VLOOKUP($B20,Resumen2!$B:$N,'Op3'!N$5+1,FALSE)</f>
        <v>25</v>
      </c>
      <c r="O20" s="46">
        <f ca="1">+VLOOKUP($B20,Resumen!B:Q,16,FALSE)</f>
        <v>0.14035087719298245</v>
      </c>
    </row>
    <row r="21" spans="1:15" x14ac:dyDescent="0.3">
      <c r="A21">
        <f t="shared" si="1"/>
        <v>16</v>
      </c>
      <c r="B21" t="s">
        <v>210</v>
      </c>
      <c r="C21" s="47">
        <f ca="1">+VLOOKUP($B21,Resumen2!$B:$N,'Op3'!C$5+1,FALSE)</f>
        <v>2</v>
      </c>
      <c r="D21" s="49">
        <f ca="1">+VLOOKUP($B21,Resumen2!$B:$N,'Op3'!D$5+1,FALSE)*100</f>
        <v>6.666666666666667</v>
      </c>
      <c r="E21" s="48">
        <f ca="1">+VLOOKUP($B21,Resumen2!$B:$N,'Op3'!E$5+1,FALSE)</f>
        <v>3.7</v>
      </c>
      <c r="F21" s="48">
        <f ca="1">+VLOOKUP($B21,Resumen2!$B:$N,'Op3'!F$5+1,FALSE)</f>
        <v>2.2916640543349791</v>
      </c>
      <c r="G21" s="46">
        <f ca="1">+VLOOKUP($B21,Resumen2!$B:$N,'Op3'!G$5+1,FALSE)</f>
        <v>2769.8313611111107</v>
      </c>
      <c r="H21" s="46">
        <f ca="1">+VLOOKUP($B21,Resumen2!$B:$N,'Op3'!H$5+1,FALSE)</f>
        <v>5039.9981360640923</v>
      </c>
      <c r="I21" s="46">
        <f ca="1">+VLOOKUP($B21,Resumen2!$B:$N,'Op3'!I$5+1,FALSE)</f>
        <v>3308.4868421052633</v>
      </c>
      <c r="J21" s="46">
        <f ca="1">+VLOOKUP($B21,Resumen2!$B:$N,'Op3'!J$5+1,FALSE)</f>
        <v>4320.5012131959584</v>
      </c>
      <c r="K21" s="47">
        <f ca="1">+VLOOKUP($B21,Resumen2!$B:$N,'Op3'!K$5+1,FALSE)</f>
        <v>9</v>
      </c>
      <c r="L21" s="48">
        <f ca="1">+VLOOKUP($B21,Resumen2!$B:$N,'Op3'!L$5+1,FALSE)</f>
        <v>0.3</v>
      </c>
      <c r="M21" s="46">
        <f ca="1">+VLOOKUP($B21,Resumen2!$B:$N,'Op3'!M$5+1,FALSE)</f>
        <v>30</v>
      </c>
      <c r="N21" s="46">
        <f ca="1">+VLOOKUP($B21,Resumen2!$B:$N,'Op3'!N$5+1,FALSE)</f>
        <v>21</v>
      </c>
      <c r="O21" s="46">
        <f ca="1">+VLOOKUP($B21,Resumen!B:Q,16,FALSE)</f>
        <v>0.18333333333333332</v>
      </c>
    </row>
    <row r="22" spans="1:15" x14ac:dyDescent="0.3">
      <c r="A22">
        <f t="shared" si="1"/>
        <v>17</v>
      </c>
      <c r="B22" t="s">
        <v>318</v>
      </c>
      <c r="C22" s="47">
        <f ca="1">+VLOOKUP($B22,Resumen2!$B:$N,'Op3'!C$5+1,FALSE)</f>
        <v>1</v>
      </c>
      <c r="D22" s="49">
        <f ca="1">+VLOOKUP($B22,Resumen2!$B:$N,'Op3'!D$5+1,FALSE)*100</f>
        <v>4.1666666666666661</v>
      </c>
      <c r="E22" s="48">
        <f ca="1">+VLOOKUP($B22,Resumen2!$B:$N,'Op3'!E$5+1,FALSE)</f>
        <v>7.958333333333333</v>
      </c>
      <c r="F22" s="48">
        <f ca="1">+VLOOKUP($B22,Resumen2!$B:$N,'Op3'!F$5+1,FALSE)</f>
        <v>5.7519687870794494</v>
      </c>
      <c r="G22" s="46">
        <f ca="1">+VLOOKUP($B22,Resumen2!$B:$N,'Op3'!G$5+1,FALSE)</f>
        <v>7261.4848611111111</v>
      </c>
      <c r="H22" s="46">
        <f ca="1">+VLOOKUP($B22,Resumen2!$B:$N,'Op3'!H$5+1,FALSE)</f>
        <v>10930.684274431864</v>
      </c>
      <c r="I22" s="46">
        <f ca="1">+VLOOKUP($B22,Resumen2!$B:$N,'Op3'!I$5+1,FALSE)</f>
        <v>7635.3224074074078</v>
      </c>
      <c r="J22" s="46">
        <f ca="1">+VLOOKUP($B22,Resumen2!$B:$N,'Op3'!J$5+1,FALSE)</f>
        <v>7237.4903543068503</v>
      </c>
      <c r="K22" s="47">
        <f ca="1">+VLOOKUP($B22,Resumen2!$B:$N,'Op3'!K$5+1,FALSE)</f>
        <v>5</v>
      </c>
      <c r="L22" s="48">
        <f ca="1">+VLOOKUP($B22,Resumen2!$B:$N,'Op3'!L$5+1,FALSE)</f>
        <v>0.20833333333333334</v>
      </c>
      <c r="M22" s="46">
        <f ca="1">+VLOOKUP($B22,Resumen2!$B:$N,'Op3'!M$5+1,FALSE)</f>
        <v>24</v>
      </c>
      <c r="N22" s="46">
        <f ca="1">+VLOOKUP($B22,Resumen2!$B:$N,'Op3'!N$5+1,FALSE)</f>
        <v>19</v>
      </c>
      <c r="O22" s="46">
        <f ca="1">+VLOOKUP($B22,Resumen!B:Q,16,FALSE)</f>
        <v>0.28846153846153844</v>
      </c>
    </row>
    <row r="23" spans="1:15" x14ac:dyDescent="0.3">
      <c r="A23">
        <f t="shared" si="1"/>
        <v>18</v>
      </c>
      <c r="B23" t="s">
        <v>250</v>
      </c>
      <c r="C23" s="47">
        <f ca="1">+VLOOKUP($B23,Resumen2!$B:$N,'Op3'!C$5+1,FALSE)</f>
        <v>2</v>
      </c>
      <c r="D23" s="49">
        <f ca="1">+VLOOKUP($B23,Resumen2!$B:$N,'Op3'!D$5+1,FALSE)*100</f>
        <v>7.1428571428571423</v>
      </c>
      <c r="E23" s="48">
        <f ca="1">+VLOOKUP($B23,Resumen2!$B:$N,'Op3'!E$5+1,FALSE)</f>
        <v>6.3571428571428568</v>
      </c>
      <c r="F23" s="48">
        <f ca="1">+VLOOKUP($B23,Resumen2!$B:$N,'Op3'!F$5+1,FALSE)</f>
        <v>3.0455101830616611</v>
      </c>
      <c r="G23" s="46">
        <f ca="1">+VLOOKUP($B23,Resumen2!$B:$N,'Op3'!G$5+1,FALSE)</f>
        <v>8654.14857142857</v>
      </c>
      <c r="H23" s="46">
        <f ca="1">+VLOOKUP($B23,Resumen2!$B:$N,'Op3'!H$5+1,FALSE)</f>
        <v>10863.373378260436</v>
      </c>
      <c r="I23" s="46">
        <f ca="1">+VLOOKUP($B23,Resumen2!$B:$N,'Op3'!I$5+1,FALSE)</f>
        <v>6928.5958974358964</v>
      </c>
      <c r="J23" s="46">
        <f ca="1">+VLOOKUP($B23,Resumen2!$B:$N,'Op3'!J$5+1,FALSE)</f>
        <v>7778.2237003948585</v>
      </c>
      <c r="K23" s="47">
        <f ca="1">+VLOOKUP($B23,Resumen2!$B:$N,'Op3'!K$5+1,FALSE)</f>
        <v>1</v>
      </c>
      <c r="L23" s="48">
        <f ca="1">+VLOOKUP($B23,Resumen2!$B:$N,'Op3'!L$5+1,FALSE)</f>
        <v>3.5714285714285712E-2</v>
      </c>
      <c r="M23" s="46">
        <f ca="1">+VLOOKUP($B23,Resumen2!$B:$N,'Op3'!M$5+1,FALSE)</f>
        <v>28</v>
      </c>
      <c r="N23" s="46">
        <f ca="1">+VLOOKUP($B23,Resumen2!$B:$N,'Op3'!N$5+1,FALSE)</f>
        <v>27</v>
      </c>
      <c r="O23" s="46">
        <f ca="1">+VLOOKUP($B23,Resumen!B:Q,16,FALSE)</f>
        <v>1</v>
      </c>
    </row>
    <row r="24" spans="1:15" x14ac:dyDescent="0.3">
      <c r="A24">
        <f t="shared" si="1"/>
        <v>19</v>
      </c>
      <c r="B24" t="s">
        <v>452</v>
      </c>
      <c r="C24" s="47">
        <f ca="1">+VLOOKUP($B24,Resumen2!$B:$N,'Op3'!C$5+1,FALSE)</f>
        <v>2</v>
      </c>
      <c r="D24" s="49">
        <f ca="1">+VLOOKUP($B24,Resumen2!$B:$N,'Op3'!D$5+1,FALSE)*100</f>
        <v>6.8965517241379306</v>
      </c>
      <c r="E24" s="48">
        <f ca="1">+VLOOKUP($B24,Resumen2!$B:$N,'Op3'!E$5+1,FALSE)</f>
        <v>4.6551724137931032</v>
      </c>
      <c r="F24" s="48">
        <f ca="1">+VLOOKUP($B24,Resumen2!$B:$N,'Op3'!F$5+1,FALSE)</f>
        <v>4.2365405535730405</v>
      </c>
      <c r="G24" s="46">
        <f ca="1">+VLOOKUP($B24,Resumen2!$B:$N,'Op3'!G$5+1,FALSE)</f>
        <v>2006.7844827586205</v>
      </c>
      <c r="H24" s="46">
        <f ca="1">+VLOOKUP($B24,Resumen2!$B:$N,'Op3'!H$5+1,FALSE)</f>
        <v>3854.6396621935719</v>
      </c>
      <c r="I24" s="46">
        <f ca="1">+VLOOKUP($B24,Resumen2!$B:$N,'Op3'!I$5+1,FALSE)</f>
        <v>3201.0320512820513</v>
      </c>
      <c r="J24" s="46">
        <f ca="1">+VLOOKUP($B24,Resumen2!$B:$N,'Op3'!J$5+1,FALSE)</f>
        <v>3222.4010690677187</v>
      </c>
      <c r="K24" s="47">
        <f ca="1">+VLOOKUP($B24,Resumen2!$B:$N,'Op3'!K$5+1,FALSE)</f>
        <v>15</v>
      </c>
      <c r="L24" s="48">
        <f ca="1">+VLOOKUP($B24,Resumen2!$B:$N,'Op3'!L$5+1,FALSE)</f>
        <v>0.51724137931034486</v>
      </c>
      <c r="M24" s="46">
        <f ca="1">+VLOOKUP($B24,Resumen2!$B:$N,'Op3'!M$5+1,FALSE)</f>
        <v>29</v>
      </c>
      <c r="N24" s="46">
        <f ca="1">+VLOOKUP($B24,Resumen2!$B:$N,'Op3'!N$5+1,FALSE)</f>
        <v>14</v>
      </c>
      <c r="O24" s="46">
        <f ca="1">+VLOOKUP($B24,Resumen!B:Q,16,FALSE)</f>
        <v>0.17241379310344829</v>
      </c>
    </row>
    <row r="25" spans="1:15" x14ac:dyDescent="0.3">
      <c r="A25">
        <f t="shared" si="1"/>
        <v>20</v>
      </c>
      <c r="B25" t="s">
        <v>448</v>
      </c>
      <c r="C25" s="47">
        <f ca="1">+VLOOKUP($B25,Resumen2!$B:$N,'Op3'!C$5+1,FALSE)</f>
        <v>5</v>
      </c>
      <c r="D25" s="49">
        <f ca="1">+VLOOKUP($B25,Resumen2!$B:$N,'Op3'!D$5+1,FALSE)*100</f>
        <v>20.833333333333336</v>
      </c>
      <c r="E25" s="48">
        <f ca="1">+VLOOKUP($B25,Resumen2!$B:$N,'Op3'!E$5+1,FALSE)</f>
        <v>6.166666666666667</v>
      </c>
      <c r="F25" s="48">
        <f ca="1">+VLOOKUP($B25,Resumen2!$B:$N,'Op3'!F$5+1,FALSE)</f>
        <v>3.3449074422323632</v>
      </c>
      <c r="G25" s="46">
        <f ca="1">+VLOOKUP($B25,Resumen2!$B:$N,'Op3'!G$5+1,FALSE)</f>
        <v>6968.4734027777777</v>
      </c>
      <c r="H25" s="46">
        <f ca="1">+VLOOKUP($B25,Resumen2!$B:$N,'Op3'!H$5+1,FALSE)</f>
        <v>12427.861468943123</v>
      </c>
      <c r="I25" s="46">
        <f ca="1">+VLOOKUP($B25,Resumen2!$B:$N,'Op3'!I$5+1,FALSE)</f>
        <v>5808.3085087719301</v>
      </c>
      <c r="J25" s="46">
        <f ca="1">+VLOOKUP($B25,Resumen2!$B:$N,'Op3'!J$5+1,FALSE)</f>
        <v>6834.8304713003454</v>
      </c>
      <c r="K25" s="47">
        <f ca="1">+VLOOKUP($B25,Resumen2!$B:$N,'Op3'!K$5+1,FALSE)</f>
        <v>4</v>
      </c>
      <c r="L25" s="48">
        <f ca="1">+VLOOKUP($B25,Resumen2!$B:$N,'Op3'!L$5+1,FALSE)</f>
        <v>0.16666666666666666</v>
      </c>
      <c r="M25" s="46">
        <f ca="1">+VLOOKUP($B25,Resumen2!$B:$N,'Op3'!M$5+1,FALSE)</f>
        <v>24</v>
      </c>
      <c r="N25" s="46">
        <f ca="1">+VLOOKUP($B25,Resumen2!$B:$N,'Op3'!N$5+1,FALSE)</f>
        <v>20</v>
      </c>
      <c r="O25" s="46">
        <f ca="1">+VLOOKUP($B25,Resumen!B:Q,16,FALSE)</f>
        <v>0.48</v>
      </c>
    </row>
    <row r="26" spans="1:15" x14ac:dyDescent="0.3">
      <c r="A26">
        <f t="shared" si="1"/>
        <v>21</v>
      </c>
      <c r="B26" t="s">
        <v>140</v>
      </c>
      <c r="C26" s="47">
        <f ca="1">+VLOOKUP($B26,Resumen2!$B:$N,'Op3'!C$5+1,FALSE)</f>
        <v>3</v>
      </c>
      <c r="D26" s="49">
        <f ca="1">+VLOOKUP($B26,Resumen2!$B:$N,'Op3'!D$5+1,FALSE)*100</f>
        <v>10</v>
      </c>
      <c r="E26" s="48">
        <f ca="1">+VLOOKUP($B26,Resumen2!$B:$N,'Op3'!E$5+1,FALSE)</f>
        <v>6.4</v>
      </c>
      <c r="F26" s="48">
        <f ca="1">+VLOOKUP($B26,Resumen2!$B:$N,'Op3'!F$5+1,FALSE)</f>
        <v>4.1322950123346134</v>
      </c>
      <c r="G26" s="46">
        <f ca="1">+VLOOKUP($B26,Resumen2!$B:$N,'Op3'!G$5+1,FALSE)</f>
        <v>12131.860972222221</v>
      </c>
      <c r="H26" s="46">
        <f ca="1">+VLOOKUP($B26,Resumen2!$B:$N,'Op3'!H$5+1,FALSE)</f>
        <v>12582.361409083285</v>
      </c>
      <c r="I26" s="46">
        <f ca="1">+VLOOKUP($B26,Resumen2!$B:$N,'Op3'!I$5+1,FALSE)</f>
        <v>11726.846279761903</v>
      </c>
      <c r="J26" s="46">
        <f ca="1">+VLOOKUP($B26,Resumen2!$B:$N,'Op3'!J$5+1,FALSE)</f>
        <v>12000.67295421742</v>
      </c>
      <c r="K26" s="47">
        <f ca="1">+VLOOKUP($B26,Resumen2!$B:$N,'Op3'!K$5+1,FALSE)</f>
        <v>1</v>
      </c>
      <c r="L26" s="48">
        <f ca="1">+VLOOKUP($B26,Resumen2!$B:$N,'Op3'!L$5+1,FALSE)</f>
        <v>3.3333333333333333E-2</v>
      </c>
      <c r="M26" s="46">
        <f ca="1">+VLOOKUP($B26,Resumen2!$B:$N,'Op3'!M$5+1,FALSE)</f>
        <v>30</v>
      </c>
      <c r="N26" s="46">
        <f ca="1">+VLOOKUP($B26,Resumen2!$B:$N,'Op3'!N$5+1,FALSE)</f>
        <v>29</v>
      </c>
      <c r="O26" s="46">
        <f ca="1">+VLOOKUP($B26,Resumen!B:Q,16,FALSE)</f>
        <v>1</v>
      </c>
    </row>
    <row r="27" spans="1:15" x14ac:dyDescent="0.3">
      <c r="A27">
        <f t="shared" si="1"/>
        <v>22</v>
      </c>
      <c r="B27" t="s">
        <v>455</v>
      </c>
      <c r="C27" s="47">
        <f ca="1">+VLOOKUP($B27,Resumen2!$B:$N,'Op3'!C$5+1,FALSE)</f>
        <v>0</v>
      </c>
      <c r="D27" s="49">
        <f ca="1">+VLOOKUP($B27,Resumen2!$B:$N,'Op3'!D$5+1,FALSE)*100</f>
        <v>0</v>
      </c>
      <c r="E27" s="48">
        <f ca="1">+VLOOKUP($B27,Resumen2!$B:$N,'Op3'!E$5+1,FALSE)</f>
        <v>0</v>
      </c>
      <c r="F27" s="48">
        <f ca="1">+VLOOKUP($B27,Resumen2!$B:$N,'Op3'!F$5+1,FALSE)</f>
        <v>0</v>
      </c>
      <c r="G27" s="46">
        <f ca="1">+VLOOKUP($B27,Resumen2!$B:$N,'Op3'!G$5+1,FALSE)</f>
        <v>0</v>
      </c>
      <c r="H27" s="46">
        <f ca="1">+VLOOKUP($B27,Resumen2!$B:$N,'Op3'!H$5+1,FALSE)</f>
        <v>0</v>
      </c>
      <c r="I27" s="46">
        <f ca="1">+VLOOKUP($B27,Resumen2!$B:$N,'Op3'!I$5+1,FALSE)</f>
        <v>0</v>
      </c>
      <c r="J27" s="46">
        <f ca="1">+VLOOKUP($B27,Resumen2!$B:$N,'Op3'!J$5+1,FALSE)</f>
        <v>0</v>
      </c>
      <c r="K27" s="47">
        <f ca="1">+VLOOKUP($B27,Resumen2!$B:$N,'Op3'!K$5+1,FALSE)</f>
        <v>0</v>
      </c>
      <c r="L27" s="48">
        <f ca="1">+VLOOKUP($B27,Resumen2!$B:$N,'Op3'!L$5+1,FALSE)</f>
        <v>0</v>
      </c>
      <c r="M27" s="46">
        <f ca="1">+VLOOKUP($B27,Resumen2!$B:$N,'Op3'!M$5+1,FALSE)</f>
        <v>0</v>
      </c>
      <c r="N27" s="46">
        <f ca="1">+VLOOKUP($B27,Resumen2!$B:$N,'Op3'!N$5+1,FALSE)</f>
        <v>0</v>
      </c>
      <c r="O27" s="46">
        <f ca="1">+VLOOKUP($B27,Resumen!B:Q,16,FALSE)</f>
        <v>0</v>
      </c>
    </row>
    <row r="28" spans="1:15" x14ac:dyDescent="0.3">
      <c r="A28">
        <f t="shared" si="1"/>
        <v>23</v>
      </c>
      <c r="B28" t="s">
        <v>385</v>
      </c>
      <c r="C28" s="47">
        <f ca="1">+VLOOKUP($B28,Resumen2!$B:$N,'Op3'!C$5+1,FALSE)</f>
        <v>3</v>
      </c>
      <c r="D28" s="49">
        <f ca="1">+VLOOKUP($B28,Resumen2!$B:$N,'Op3'!D$5+1,FALSE)*100</f>
        <v>10.714285714285714</v>
      </c>
      <c r="E28" s="48">
        <f ca="1">+VLOOKUP($B28,Resumen2!$B:$N,'Op3'!E$5+1,FALSE)</f>
        <v>7.9285714285714288</v>
      </c>
      <c r="F28" s="48">
        <f ca="1">+VLOOKUP($B28,Resumen2!$B:$N,'Op3'!F$5+1,FALSE)</f>
        <v>3.8866206537067787</v>
      </c>
      <c r="G28" s="46">
        <f ca="1">+VLOOKUP($B28,Resumen2!$B:$N,'Op3'!G$5+1,FALSE)</f>
        <v>8740.4684523809519</v>
      </c>
      <c r="H28" s="46">
        <f ca="1">+VLOOKUP($B28,Resumen2!$B:$N,'Op3'!H$5+1,FALSE)</f>
        <v>9730.7655569014078</v>
      </c>
      <c r="I28" s="46">
        <f ca="1">+VLOOKUP($B28,Resumen2!$B:$N,'Op3'!I$5+1,FALSE)</f>
        <v>8821.5954861111113</v>
      </c>
      <c r="J28" s="46">
        <f ca="1">+VLOOKUP($B28,Resumen2!$B:$N,'Op3'!J$5+1,FALSE)</f>
        <v>8228.2428243725226</v>
      </c>
      <c r="K28" s="47">
        <f ca="1">+VLOOKUP($B28,Resumen2!$B:$N,'Op3'!K$5+1,FALSE)</f>
        <v>3</v>
      </c>
      <c r="L28" s="48">
        <f ca="1">+VLOOKUP($B28,Resumen2!$B:$N,'Op3'!L$5+1,FALSE)</f>
        <v>0.10714285714285714</v>
      </c>
      <c r="M28" s="46">
        <f ca="1">+VLOOKUP($B28,Resumen2!$B:$N,'Op3'!M$5+1,FALSE)</f>
        <v>28</v>
      </c>
      <c r="N28" s="46">
        <f ca="1">+VLOOKUP($B28,Resumen2!$B:$N,'Op3'!N$5+1,FALSE)</f>
        <v>25</v>
      </c>
      <c r="O28" s="46">
        <f ca="1">+VLOOKUP($B28,Resumen!B:Q,16,FALSE)</f>
        <v>0.45614035087719296</v>
      </c>
    </row>
    <row r="29" spans="1:15" x14ac:dyDescent="0.3">
      <c r="A29">
        <f t="shared" si="1"/>
        <v>24</v>
      </c>
      <c r="B29" t="s">
        <v>456</v>
      </c>
      <c r="C29" s="47">
        <f ca="1">+VLOOKUP($B29,Resumen2!$B:$N,'Op3'!C$5+1,FALSE)</f>
        <v>3</v>
      </c>
      <c r="D29" s="49">
        <f ca="1">+VLOOKUP($B29,Resumen2!$B:$N,'Op3'!D$5+1,FALSE)*100</f>
        <v>10.344827586206897</v>
      </c>
      <c r="E29" s="48">
        <f ca="1">+VLOOKUP($B29,Resumen2!$B:$N,'Op3'!E$5+1,FALSE)</f>
        <v>4.5517241379310347</v>
      </c>
      <c r="F29" s="48">
        <f ca="1">+VLOOKUP($B29,Resumen2!$B:$N,'Op3'!F$5+1,FALSE)</f>
        <v>3.7281382456026391</v>
      </c>
      <c r="G29" s="46">
        <f ca="1">+VLOOKUP($B29,Resumen2!$B:$N,'Op3'!G$5+1,FALSE)</f>
        <v>39105.942701149419</v>
      </c>
      <c r="H29" s="46">
        <f ca="1">+VLOOKUP($B29,Resumen2!$B:$N,'Op3'!H$5+1,FALSE)</f>
        <v>175592.72558756568</v>
      </c>
      <c r="I29" s="46">
        <f ca="1">+VLOOKUP($B29,Resumen2!$B:$N,'Op3'!I$5+1,FALSE)</f>
        <v>9165.9559166666677</v>
      </c>
      <c r="J29" s="46">
        <f ca="1">+VLOOKUP($B29,Resumen2!$B:$N,'Op3'!J$5+1,FALSE)</f>
        <v>10401.253476313128</v>
      </c>
      <c r="K29" s="47">
        <f ca="1">+VLOOKUP($B29,Resumen2!$B:$N,'Op3'!K$5+1,FALSE)</f>
        <v>9</v>
      </c>
      <c r="L29" s="48">
        <f ca="1">+VLOOKUP($B29,Resumen2!$B:$N,'Op3'!L$5+1,FALSE)</f>
        <v>0.31034482758620691</v>
      </c>
      <c r="M29" s="46">
        <f ca="1">+VLOOKUP($B29,Resumen2!$B:$N,'Op3'!M$5+1,FALSE)</f>
        <v>29</v>
      </c>
      <c r="N29" s="46">
        <f ca="1">+VLOOKUP($B29,Resumen2!$B:$N,'Op3'!N$5+1,FALSE)</f>
        <v>20</v>
      </c>
      <c r="O29" s="46">
        <f ca="1">+VLOOKUP($B29,Resumen!B:Q,16,FALSE)</f>
        <v>1</v>
      </c>
    </row>
    <row r="30" spans="1:15" x14ac:dyDescent="0.3">
      <c r="A30">
        <f t="shared" si="1"/>
        <v>25</v>
      </c>
      <c r="B30" t="s">
        <v>451</v>
      </c>
      <c r="C30" s="47">
        <f ca="1">+VLOOKUP($B30,Resumen2!$B:$N,'Op3'!C$5+1,FALSE)</f>
        <v>0</v>
      </c>
      <c r="D30" s="49">
        <f ca="1">+VLOOKUP($B30,Resumen2!$B:$N,'Op3'!D$5+1,FALSE)*100</f>
        <v>0</v>
      </c>
      <c r="E30" s="48">
        <f ca="1">+VLOOKUP($B30,Resumen2!$B:$N,'Op3'!E$5+1,FALSE)</f>
        <v>5.115384615384615</v>
      </c>
      <c r="F30" s="48">
        <f ca="1">+VLOOKUP($B30,Resumen2!$B:$N,'Op3'!F$5+1,FALSE)</f>
        <v>4.1407914516616078</v>
      </c>
      <c r="G30" s="46">
        <f ca="1">+VLOOKUP($B30,Resumen2!$B:$N,'Op3'!G$5+1,FALSE)</f>
        <v>3655.7755128205131</v>
      </c>
      <c r="H30" s="46">
        <f ca="1">+VLOOKUP($B30,Resumen2!$B:$N,'Op3'!H$5+1,FALSE)</f>
        <v>4488.2364514916781</v>
      </c>
      <c r="I30" s="46">
        <f ca="1">+VLOOKUP($B30,Resumen2!$B:$N,'Op3'!I$5+1,FALSE)</f>
        <v>2747.6182608695658</v>
      </c>
      <c r="J30" s="46">
        <f ca="1">+VLOOKUP($B30,Resumen2!$B:$N,'Op3'!J$5+1,FALSE)</f>
        <v>2178.6243797945576</v>
      </c>
      <c r="K30" s="47">
        <f ca="1">+VLOOKUP($B30,Resumen2!$B:$N,'Op3'!K$5+1,FALSE)</f>
        <v>2</v>
      </c>
      <c r="L30" s="48">
        <f ca="1">+VLOOKUP($B30,Resumen2!$B:$N,'Op3'!L$5+1,FALSE)</f>
        <v>7.6923076923076927E-2</v>
      </c>
      <c r="M30" s="46">
        <f ca="1">+VLOOKUP($B30,Resumen2!$B:$N,'Op3'!M$5+1,FALSE)</f>
        <v>26</v>
      </c>
      <c r="N30" s="46">
        <f ca="1">+VLOOKUP($B30,Resumen2!$B:$N,'Op3'!N$5+1,FALSE)</f>
        <v>24</v>
      </c>
      <c r="O30" s="46">
        <f ca="1">+VLOOKUP($B30,Resumen!B:Q,16,FALSE)</f>
        <v>0.13207547169811321</v>
      </c>
    </row>
    <row r="31" spans="1:15" x14ac:dyDescent="0.3">
      <c r="A31">
        <f t="shared" si="1"/>
        <v>26</v>
      </c>
      <c r="B31" t="s">
        <v>415</v>
      </c>
      <c r="C31" s="47">
        <f ca="1">+VLOOKUP($B31,Resumen2!$B:$N,'Op3'!C$5+1,FALSE)</f>
        <v>4</v>
      </c>
      <c r="D31" s="49">
        <f ca="1">+VLOOKUP($B31,Resumen2!$B:$N,'Op3'!D$5+1,FALSE)*100</f>
        <v>14.814814814814813</v>
      </c>
      <c r="E31" s="48">
        <f ca="1">+VLOOKUP($B31,Resumen2!$B:$N,'Op3'!E$5+1,FALSE)</f>
        <v>6.5555555555555554</v>
      </c>
      <c r="F31" s="48">
        <f ca="1">+VLOOKUP($B31,Resumen2!$B:$N,'Op3'!F$5+1,FALSE)</f>
        <v>3.1784530990033666</v>
      </c>
      <c r="G31" s="46">
        <f ca="1">+VLOOKUP($B31,Resumen2!$B:$N,'Op3'!G$5+1,FALSE)</f>
        <v>21686.197561728393</v>
      </c>
      <c r="H31" s="46">
        <f ca="1">+VLOOKUP($B31,Resumen2!$B:$N,'Op3'!H$5+1,FALSE)</f>
        <v>71085.079207753559</v>
      </c>
      <c r="I31" s="46">
        <f ca="1">+VLOOKUP($B31,Resumen2!$B:$N,'Op3'!I$5+1,FALSE)</f>
        <v>9599.9621590909082</v>
      </c>
      <c r="J31" s="46">
        <f ca="1">+VLOOKUP($B31,Resumen2!$B:$N,'Op3'!J$5+1,FALSE)</f>
        <v>8256.9106321265954</v>
      </c>
      <c r="K31" s="47">
        <f ca="1">+VLOOKUP($B31,Resumen2!$B:$N,'Op3'!K$5+1,FALSE)</f>
        <v>4</v>
      </c>
      <c r="L31" s="48">
        <f ca="1">+VLOOKUP($B31,Resumen2!$B:$N,'Op3'!L$5+1,FALSE)</f>
        <v>0.14814814814814814</v>
      </c>
      <c r="M31" s="46">
        <f ca="1">+VLOOKUP($B31,Resumen2!$B:$N,'Op3'!M$5+1,FALSE)</f>
        <v>27</v>
      </c>
      <c r="N31" s="46">
        <f ca="1">+VLOOKUP($B31,Resumen2!$B:$N,'Op3'!N$5+1,FALSE)</f>
        <v>23</v>
      </c>
      <c r="O31" s="46">
        <f ca="1">+VLOOKUP($B31,Resumen!B:Q,16,FALSE)</f>
        <v>0.2857142857142857</v>
      </c>
    </row>
    <row r="32" spans="1:15" x14ac:dyDescent="0.3">
      <c r="A32">
        <f t="shared" si="1"/>
        <v>27</v>
      </c>
      <c r="B32" t="s">
        <v>453</v>
      </c>
      <c r="C32" s="47">
        <f ca="1">+VLOOKUP($B32,Resumen2!$B:$N,'Op3'!C$5+1,FALSE)</f>
        <v>0</v>
      </c>
      <c r="D32" s="49">
        <f ca="1">+VLOOKUP($B32,Resumen2!$B:$N,'Op3'!D$5+1,FALSE)*100</f>
        <v>0</v>
      </c>
      <c r="E32" s="48">
        <f ca="1">+VLOOKUP($B32,Resumen2!$B:$N,'Op3'!E$5+1,FALSE)</f>
        <v>4.4230769230769234</v>
      </c>
      <c r="F32" s="48">
        <f ca="1">+VLOOKUP($B32,Resumen2!$B:$N,'Op3'!F$5+1,FALSE)</f>
        <v>2.7301732827507772</v>
      </c>
      <c r="G32" s="46">
        <f ca="1">+VLOOKUP($B32,Resumen2!$B:$N,'Op3'!G$5+1,FALSE)</f>
        <v>4237.8200320512824</v>
      </c>
      <c r="H32" s="46">
        <f ca="1">+VLOOKUP($B32,Resumen2!$B:$N,'Op3'!H$5+1,FALSE)</f>
        <v>7281.7562301858061</v>
      </c>
      <c r="I32" s="46">
        <f ca="1">+VLOOKUP($B32,Resumen2!$B:$N,'Op3'!I$5+1,FALSE)</f>
        <v>4132.4554824561401</v>
      </c>
      <c r="J32" s="46">
        <f ca="1">+VLOOKUP($B32,Resumen2!$B:$N,'Op3'!J$5+1,FALSE)</f>
        <v>5084.2462205913107</v>
      </c>
      <c r="K32" s="47">
        <f ca="1">+VLOOKUP($B32,Resumen2!$B:$N,'Op3'!K$5+1,FALSE)</f>
        <v>6</v>
      </c>
      <c r="L32" s="48">
        <f ca="1">+VLOOKUP($B32,Resumen2!$B:$N,'Op3'!L$5+1,FALSE)</f>
        <v>0.23076923076923078</v>
      </c>
      <c r="M32" s="46">
        <f ca="1">+VLOOKUP($B32,Resumen2!$B:$N,'Op3'!M$5+1,FALSE)</f>
        <v>26</v>
      </c>
      <c r="N32" s="46">
        <f ca="1">+VLOOKUP($B32,Resumen2!$B:$N,'Op3'!N$5+1,FALSE)</f>
        <v>20</v>
      </c>
      <c r="O32" s="46">
        <f ca="1">+VLOOKUP($B32,Resumen!B:Q,16,FALSE)</f>
        <v>0.2</v>
      </c>
    </row>
    <row r="33" spans="1:15" x14ac:dyDescent="0.3">
      <c r="A33">
        <f t="shared" si="1"/>
        <v>28</v>
      </c>
      <c r="B33" t="s">
        <v>457</v>
      </c>
      <c r="C33" s="47">
        <f ca="1">+VLOOKUP($B33,Resumen2!$B:$N,'Op3'!C$5+1,FALSE)</f>
        <v>2</v>
      </c>
      <c r="D33" s="49">
        <f ca="1">+VLOOKUP($B33,Resumen2!$B:$N,'Op3'!D$5+1,FALSE)*100</f>
        <v>6.8965517241379306</v>
      </c>
      <c r="E33" s="48">
        <f ca="1">+VLOOKUP($B33,Resumen2!$B:$N,'Op3'!E$5+1,FALSE)</f>
        <v>3.4827586206896552</v>
      </c>
      <c r="F33" s="48">
        <f ca="1">+VLOOKUP($B33,Resumen2!$B:$N,'Op3'!F$5+1,FALSE)</f>
        <v>3.6017921100392352</v>
      </c>
      <c r="G33" s="46">
        <f ca="1">+VLOOKUP($B33,Resumen2!$B:$N,'Op3'!G$5+1,FALSE)</f>
        <v>3332.6196551724142</v>
      </c>
      <c r="H33" s="46">
        <f ca="1">+VLOOKUP($B33,Resumen2!$B:$N,'Op3'!H$5+1,FALSE)</f>
        <v>8810.5719791461979</v>
      </c>
      <c r="I33" s="46">
        <f ca="1">+VLOOKUP($B33,Resumen2!$B:$N,'Op3'!I$5+1,FALSE)</f>
        <v>10289.161666666667</v>
      </c>
      <c r="J33" s="46">
        <f ca="1">+VLOOKUP($B33,Resumen2!$B:$N,'Op3'!J$5+1,FALSE)</f>
        <v>11328.179484722505</v>
      </c>
      <c r="K33" s="47">
        <f ca="1">+VLOOKUP($B33,Resumen2!$B:$N,'Op3'!K$5+1,FALSE)</f>
        <v>22</v>
      </c>
      <c r="L33" s="48">
        <f ca="1">+VLOOKUP($B33,Resumen2!$B:$N,'Op3'!L$5+1,FALSE)</f>
        <v>0.75862068965517238</v>
      </c>
      <c r="M33" s="46">
        <f ca="1">+VLOOKUP($B33,Resumen2!$B:$N,'Op3'!M$5+1,FALSE)</f>
        <v>29</v>
      </c>
      <c r="N33" s="46">
        <f ca="1">+VLOOKUP($B33,Resumen2!$B:$N,'Op3'!N$5+1,FALSE)</f>
        <v>7</v>
      </c>
      <c r="O33" s="46">
        <f ca="1">+VLOOKUP($B33,Resumen!B:Q,16,FALSE)</f>
        <v>0.12280701754385964</v>
      </c>
    </row>
    <row r="34" spans="1:15" x14ac:dyDescent="0.3">
      <c r="A34">
        <f t="shared" si="1"/>
        <v>29</v>
      </c>
      <c r="B34" t="s">
        <v>446</v>
      </c>
      <c r="C34" s="47">
        <f ca="1">+VLOOKUP($B34,Resumen2!$B:$N,'Op3'!C$5+1,FALSE)</f>
        <v>0</v>
      </c>
      <c r="D34" s="49">
        <f ca="1">+VLOOKUP($B34,Resumen2!$B:$N,'Op3'!D$5+1,FALSE)*100</f>
        <v>0</v>
      </c>
      <c r="E34" s="48">
        <f ca="1">+VLOOKUP($B34,Resumen2!$B:$N,'Op3'!E$5+1,FALSE)</f>
        <v>4.3043478260869561</v>
      </c>
      <c r="F34" s="48">
        <f ca="1">+VLOOKUP($B34,Resumen2!$B:$N,'Op3'!F$5+1,FALSE)</f>
        <v>2.3244702741347263</v>
      </c>
      <c r="G34" s="46">
        <f ca="1">+VLOOKUP($B34,Resumen2!$B:$N,'Op3'!G$5+1,FALSE)</f>
        <v>5187.0457246376809</v>
      </c>
      <c r="H34" s="46">
        <f ca="1">+VLOOKUP($B34,Resumen2!$B:$N,'Op3'!H$5+1,FALSE)</f>
        <v>6176.7890326958332</v>
      </c>
      <c r="I34" s="46">
        <f ca="1">+VLOOKUP($B34,Resumen2!$B:$N,'Op3'!I$5+1,FALSE)</f>
        <v>4911.6059649122799</v>
      </c>
      <c r="J34" s="46">
        <f ca="1">+VLOOKUP($B34,Resumen2!$B:$N,'Op3'!J$5+1,FALSE)</f>
        <v>4247.8175673085689</v>
      </c>
      <c r="K34" s="47">
        <f ca="1">+VLOOKUP($B34,Resumen2!$B:$N,'Op3'!K$5+1,FALSE)</f>
        <v>2</v>
      </c>
      <c r="L34" s="48">
        <f ca="1">+VLOOKUP($B34,Resumen2!$B:$N,'Op3'!L$5+1,FALSE)</f>
        <v>8.6956521739130432E-2</v>
      </c>
      <c r="M34" s="46">
        <f ca="1">+VLOOKUP($B34,Resumen2!$B:$N,'Op3'!M$5+1,FALSE)</f>
        <v>23</v>
      </c>
      <c r="N34" s="46">
        <f ca="1">+VLOOKUP($B34,Resumen2!$B:$N,'Op3'!N$5+1,FALSE)</f>
        <v>21</v>
      </c>
      <c r="O34" s="46">
        <f ca="1">+VLOOKUP($B34,Resumen!B:Q,16,FALSE)</f>
        <v>0.21276595744680851</v>
      </c>
    </row>
    <row r="35" spans="1:15" x14ac:dyDescent="0.3">
      <c r="A35">
        <f t="shared" si="1"/>
        <v>30</v>
      </c>
      <c r="B35" t="s">
        <v>45</v>
      </c>
      <c r="C35" s="47">
        <f ca="1">+VLOOKUP($B35,Resumen2!$B:$N,'Op3'!C$5+1,FALSE)</f>
        <v>5</v>
      </c>
      <c r="D35" s="49">
        <f ca="1">+VLOOKUP($B35,Resumen2!$B:$N,'Op3'!D$5+1,FALSE)*100</f>
        <v>17.241379310344829</v>
      </c>
      <c r="E35" s="48">
        <f ca="1">+VLOOKUP($B35,Resumen2!$B:$N,'Op3'!E$5+1,FALSE)</f>
        <v>5.8275862068965516</v>
      </c>
      <c r="F35" s="48">
        <f ca="1">+VLOOKUP($B35,Resumen2!$B:$N,'Op3'!F$5+1,FALSE)</f>
        <v>3.6942906289613338</v>
      </c>
      <c r="G35" s="46">
        <f ca="1">+VLOOKUP($B35,Resumen2!$B:$N,'Op3'!G$5+1,FALSE)</f>
        <v>15310.844109195406</v>
      </c>
      <c r="H35" s="46">
        <f ca="1">+VLOOKUP($B35,Resumen2!$B:$N,'Op3'!H$5+1,FALSE)</f>
        <v>29497.025197436116</v>
      </c>
      <c r="I35" s="46">
        <f ca="1">+VLOOKUP($B35,Resumen2!$B:$N,'Op3'!I$5+1,FALSE)</f>
        <v>13614.284722222223</v>
      </c>
      <c r="J35" s="46">
        <f ca="1">+VLOOKUP($B35,Resumen2!$B:$N,'Op3'!J$5+1,FALSE)</f>
        <v>10648.482328466114</v>
      </c>
      <c r="K35" s="47">
        <f ca="1">+VLOOKUP($B35,Resumen2!$B:$N,'Op3'!K$5+1,FALSE)</f>
        <v>7</v>
      </c>
      <c r="L35" s="48">
        <f ca="1">+VLOOKUP($B35,Resumen2!$B:$N,'Op3'!L$5+1,FALSE)</f>
        <v>0.2413793103448276</v>
      </c>
      <c r="M35" s="46">
        <f ca="1">+VLOOKUP($B35,Resumen2!$B:$N,'Op3'!M$5+1,FALSE)</f>
        <v>29</v>
      </c>
      <c r="N35" s="46">
        <f ca="1">+VLOOKUP($B35,Resumen2!$B:$N,'Op3'!N$5+1,FALSE)</f>
        <v>22</v>
      </c>
      <c r="O35" s="46">
        <f ca="1">+VLOOKUP($B35,Resumen!B:Q,16,FALSE)</f>
        <v>1</v>
      </c>
    </row>
    <row r="36" spans="1:15" x14ac:dyDescent="0.3">
      <c r="A36">
        <f t="shared" si="1"/>
        <v>31</v>
      </c>
      <c r="B36" t="s">
        <v>500</v>
      </c>
      <c r="C36" s="47">
        <f ca="1">+VLOOKUP($B36,Resumen2!$B:$N,'Op3'!C$5+1,FALSE)</f>
        <v>0</v>
      </c>
      <c r="D36" s="49">
        <f ca="1">+VLOOKUP($B36,Resumen2!$B:$N,'Op3'!D$5+1,FALSE)*100</f>
        <v>0</v>
      </c>
      <c r="E36" s="48">
        <f ca="1">+VLOOKUP($B36,Resumen2!$B:$N,'Op3'!E$5+1,FALSE)</f>
        <v>0</v>
      </c>
      <c r="F36" s="48">
        <f ca="1">+VLOOKUP($B36,Resumen2!$B:$N,'Op3'!F$5+1,FALSE)</f>
        <v>0</v>
      </c>
      <c r="G36" s="46">
        <f ca="1">+VLOOKUP($B36,Resumen2!$B:$N,'Op3'!G$5+1,FALSE)</f>
        <v>0</v>
      </c>
      <c r="H36" s="46">
        <f ca="1">+VLOOKUP($B36,Resumen2!$B:$N,'Op3'!H$5+1,FALSE)</f>
        <v>0</v>
      </c>
      <c r="I36" s="46">
        <f ca="1">+VLOOKUP($B36,Resumen2!$B:$N,'Op3'!I$5+1,FALSE)</f>
        <v>0</v>
      </c>
      <c r="J36" s="46">
        <f ca="1">+VLOOKUP($B36,Resumen2!$B:$N,'Op3'!J$5+1,FALSE)</f>
        <v>0</v>
      </c>
      <c r="K36" s="47">
        <f ca="1">+VLOOKUP($B36,Resumen2!$B:$N,'Op3'!K$5+1,FALSE)</f>
        <v>0</v>
      </c>
      <c r="L36" s="48">
        <f ca="1">+VLOOKUP($B36,Resumen2!$B:$N,'Op3'!L$5+1,FALSE)</f>
        <v>0</v>
      </c>
      <c r="M36" s="46">
        <f ca="1">+VLOOKUP($B36,Resumen2!$B:$N,'Op3'!M$5+1,FALSE)</f>
        <v>0</v>
      </c>
      <c r="N36" s="46">
        <f ca="1">+VLOOKUP($B36,Resumen2!$B:$N,'Op3'!N$5+1,FALSE)</f>
        <v>0</v>
      </c>
      <c r="O36" s="46">
        <f ca="1">+VLOOKUP($B36,Resumen!B:Q,16,FALSE)</f>
        <v>0</v>
      </c>
    </row>
    <row r="37" spans="1:15" x14ac:dyDescent="0.3">
      <c r="A37">
        <f t="shared" si="1"/>
        <v>32</v>
      </c>
      <c r="B37" t="s">
        <v>454</v>
      </c>
      <c r="C37" s="47">
        <f ca="1">+VLOOKUP($B37,Resumen2!$B:$N,'Op3'!C$5+1,FALSE)</f>
        <v>1</v>
      </c>
      <c r="D37" s="49">
        <f ca="1">+VLOOKUP($B37,Resumen2!$B:$N,'Op3'!D$5+1,FALSE)*100</f>
        <v>3.5714285714285712</v>
      </c>
      <c r="E37" s="48">
        <f ca="1">+VLOOKUP($B37,Resumen2!$B:$N,'Op3'!E$5+1,FALSE)</f>
        <v>5.6428571428571432</v>
      </c>
      <c r="F37" s="48">
        <f ca="1">+VLOOKUP($B37,Resumen2!$B:$N,'Op3'!F$5+1,FALSE)</f>
        <v>2.9840847683606282</v>
      </c>
      <c r="G37" s="46">
        <f ca="1">+VLOOKUP($B37,Resumen2!$B:$N,'Op3'!G$5+1,FALSE)</f>
        <v>6754.4303571428545</v>
      </c>
      <c r="H37" s="46">
        <f ca="1">+VLOOKUP($B37,Resumen2!$B:$N,'Op3'!H$5+1,FALSE)</f>
        <v>11672.216442303865</v>
      </c>
      <c r="I37" s="46">
        <f ca="1">+VLOOKUP($B37,Resumen2!$B:$N,'Op3'!I$5+1,FALSE)</f>
        <v>6318.5275362318844</v>
      </c>
      <c r="J37" s="46">
        <f ca="1">+VLOOKUP($B37,Resumen2!$B:$N,'Op3'!J$5+1,FALSE)</f>
        <v>9815.150013433431</v>
      </c>
      <c r="K37" s="47">
        <f ca="1">+VLOOKUP($B37,Resumen2!$B:$N,'Op3'!K$5+1,FALSE)</f>
        <v>4</v>
      </c>
      <c r="L37" s="48">
        <f ca="1">+VLOOKUP($B37,Resumen2!$B:$N,'Op3'!L$5+1,FALSE)</f>
        <v>0.14285714285714285</v>
      </c>
      <c r="M37" s="46">
        <f ca="1">+VLOOKUP($B37,Resumen2!$B:$N,'Op3'!M$5+1,FALSE)</f>
        <v>28</v>
      </c>
      <c r="N37" s="46">
        <f ca="1">+VLOOKUP($B37,Resumen2!$B:$N,'Op3'!N$5+1,FALSE)</f>
        <v>24</v>
      </c>
      <c r="O37" s="46">
        <f ca="1">+VLOOKUP($B37,Resumen!B:Q,16,FALSE)</f>
        <v>0.21428571428571427</v>
      </c>
    </row>
    <row r="38" spans="1:15" x14ac:dyDescent="0.3">
      <c r="A38">
        <f t="shared" si="1"/>
        <v>33</v>
      </c>
      <c r="B38" t="s">
        <v>449</v>
      </c>
      <c r="C38" s="47">
        <f ca="1">+VLOOKUP($B38,Resumen2!$B:$N,'Op3'!C$5+1,FALSE)</f>
        <v>2</v>
      </c>
      <c r="D38" s="49">
        <f ca="1">+VLOOKUP($B38,Resumen2!$B:$N,'Op3'!D$5+1,FALSE)*100</f>
        <v>7.1428571428571423</v>
      </c>
      <c r="E38" s="48">
        <f ca="1">+VLOOKUP($B38,Resumen2!$B:$N,'Op3'!E$5+1,FALSE)</f>
        <v>6.25</v>
      </c>
      <c r="F38" s="48">
        <f ca="1">+VLOOKUP($B38,Resumen2!$B:$N,'Op3'!F$5+1,FALSE)</f>
        <v>3.8837267325770144</v>
      </c>
      <c r="G38" s="46">
        <f ca="1">+VLOOKUP($B38,Resumen2!$B:$N,'Op3'!G$5+1,FALSE)</f>
        <v>9184.3301488095258</v>
      </c>
      <c r="H38" s="46">
        <f ca="1">+VLOOKUP($B38,Resumen2!$B:$N,'Op3'!H$5+1,FALSE)</f>
        <v>11278.689789166687</v>
      </c>
      <c r="I38" s="46">
        <f ca="1">+VLOOKUP($B38,Resumen2!$B:$N,'Op3'!I$5+1,FALSE)</f>
        <v>9126.2532291666685</v>
      </c>
      <c r="J38" s="46">
        <f ca="1">+VLOOKUP($B38,Resumen2!$B:$N,'Op3'!J$5+1,FALSE)</f>
        <v>10094.300404731206</v>
      </c>
      <c r="K38" s="47">
        <f ca="1">+VLOOKUP($B38,Resumen2!$B:$N,'Op3'!K$5+1,FALSE)</f>
        <v>3</v>
      </c>
      <c r="L38" s="48">
        <f ca="1">+VLOOKUP($B38,Resumen2!$B:$N,'Op3'!L$5+1,FALSE)</f>
        <v>0.10714285714285714</v>
      </c>
      <c r="M38" s="46">
        <f ca="1">+VLOOKUP($B38,Resumen2!$B:$N,'Op3'!M$5+1,FALSE)</f>
        <v>28</v>
      </c>
      <c r="N38" s="46">
        <f ca="1">+VLOOKUP($B38,Resumen2!$B:$N,'Op3'!N$5+1,FALSE)</f>
        <v>25</v>
      </c>
      <c r="O38" s="46">
        <f ca="1">+VLOOKUP($B38,Resumen!B:Q,16,FALSE)</f>
        <v>1</v>
      </c>
    </row>
    <row r="39" spans="1:15" x14ac:dyDescent="0.3">
      <c r="A39">
        <f t="shared" si="1"/>
        <v>34</v>
      </c>
      <c r="B39" t="s">
        <v>458</v>
      </c>
      <c r="C39" s="47">
        <f ca="1">+VLOOKUP($B39,Resumen2!$B:$N,'Op3'!C$5+1,FALSE)</f>
        <v>0</v>
      </c>
      <c r="D39" s="49">
        <f ca="1">+VLOOKUP($B39,Resumen2!$B:$N,'Op3'!D$5+1,FALSE)*100</f>
        <v>0</v>
      </c>
      <c r="E39" s="48">
        <f ca="1">+VLOOKUP($B39,Resumen2!$B:$N,'Op3'!E$5+1,FALSE)</f>
        <v>3.2666666666666666</v>
      </c>
      <c r="F39" s="48">
        <f ca="1">+VLOOKUP($B39,Resumen2!$B:$N,'Op3'!F$5+1,FALSE)</f>
        <v>2.7659672291340831</v>
      </c>
      <c r="G39" s="46">
        <f ca="1">+VLOOKUP($B39,Resumen2!$B:$N,'Op3'!G$5+1,FALSE)</f>
        <v>301.32402777777776</v>
      </c>
      <c r="H39" s="46">
        <f ca="1">+VLOOKUP($B39,Resumen2!$B:$N,'Op3'!H$5+1,FALSE)</f>
        <v>1162.1498604334397</v>
      </c>
      <c r="I39" s="46">
        <f ca="1">+VLOOKUP($B39,Resumen2!$B:$N,'Op3'!I$5+1,FALSE)</f>
        <v>1179.9069444444442</v>
      </c>
      <c r="J39" s="46">
        <f ca="1">+VLOOKUP($B39,Resumen2!$B:$N,'Op3'!J$5+1,FALSE)</f>
        <v>1931.9058651886305</v>
      </c>
      <c r="K39" s="47">
        <f ca="1">+VLOOKUP($B39,Resumen2!$B:$N,'Op3'!K$5+1,FALSE)</f>
        <v>26</v>
      </c>
      <c r="L39" s="48">
        <f ca="1">+VLOOKUP($B39,Resumen2!$B:$N,'Op3'!L$5+1,FALSE)</f>
        <v>0.8666666666666667</v>
      </c>
      <c r="M39" s="46">
        <f ca="1">+VLOOKUP($B39,Resumen2!$B:$N,'Op3'!M$5+1,FALSE)</f>
        <v>30</v>
      </c>
      <c r="N39" s="46">
        <f ca="1">+VLOOKUP($B39,Resumen2!$B:$N,'Op3'!N$5+1,FALSE)</f>
        <v>4</v>
      </c>
      <c r="O39" s="46">
        <f ca="1">+VLOOKUP($B39,Resumen!B:Q,16,FALSE)</f>
        <v>0.25</v>
      </c>
    </row>
    <row r="40" spans="1:15" x14ac:dyDescent="0.3">
      <c r="A40">
        <f t="shared" si="1"/>
        <v>35</v>
      </c>
      <c r="B40" t="s">
        <v>459</v>
      </c>
      <c r="C40" s="47">
        <f ca="1">+VLOOKUP($B40,Resumen2!$B:$N,'Op3'!C$5+1,FALSE)</f>
        <v>1</v>
      </c>
      <c r="D40" s="49">
        <f ca="1">+VLOOKUP($B40,Resumen2!$B:$N,'Op3'!D$5+1,FALSE)*100</f>
        <v>3.3333333333333335</v>
      </c>
      <c r="E40" s="48">
        <f ca="1">+VLOOKUP($B40,Resumen2!$B:$N,'Op3'!E$5+1,FALSE)</f>
        <v>6.666666666666667</v>
      </c>
      <c r="F40" s="48">
        <f ca="1">+VLOOKUP($B40,Resumen2!$B:$N,'Op3'!F$5+1,FALSE)</f>
        <v>4.5511145533990813</v>
      </c>
      <c r="G40" s="46">
        <f ca="1">+VLOOKUP($B40,Resumen2!$B:$N,'Op3'!G$5+1,FALSE)</f>
        <v>9451.9023888888896</v>
      </c>
      <c r="H40" s="46">
        <f ca="1">+VLOOKUP($B40,Resumen2!$B:$N,'Op3'!H$5+1,FALSE)</f>
        <v>13072.385660374532</v>
      </c>
      <c r="I40" s="46">
        <f ca="1">+VLOOKUP($B40,Resumen2!$B:$N,'Op3'!I$5+1,FALSE)</f>
        <v>9506.6952083333326</v>
      </c>
      <c r="J40" s="46">
        <f ca="1">+VLOOKUP($B40,Resumen2!$B:$N,'Op3'!J$5+1,FALSE)</f>
        <v>10210.971838267498</v>
      </c>
      <c r="K40" s="47">
        <f ca="1">+VLOOKUP($B40,Resumen2!$B:$N,'Op3'!K$5+1,FALSE)</f>
        <v>5</v>
      </c>
      <c r="L40" s="48">
        <f ca="1">+VLOOKUP($B40,Resumen2!$B:$N,'Op3'!L$5+1,FALSE)</f>
        <v>0.16666666666666666</v>
      </c>
      <c r="M40" s="46">
        <f ca="1">+VLOOKUP($B40,Resumen2!$B:$N,'Op3'!M$5+1,FALSE)</f>
        <v>30</v>
      </c>
      <c r="N40" s="46">
        <f ca="1">+VLOOKUP($B40,Resumen2!$B:$N,'Op3'!N$5+1,FALSE)</f>
        <v>25</v>
      </c>
      <c r="O40" s="46">
        <f ca="1">+VLOOKUP($B40,Resumen!B:Q,16,FALSE)</f>
        <v>0.33333333333333331</v>
      </c>
    </row>
    <row r="41" spans="1:15" x14ac:dyDescent="0.3">
      <c r="A41">
        <f t="shared" si="1"/>
        <v>36</v>
      </c>
      <c r="B41" t="s">
        <v>304</v>
      </c>
      <c r="C41" s="47">
        <f ca="1">+VLOOKUP($B41,Resumen2!$B:$N,'Op3'!C$5+1,FALSE)</f>
        <v>2</v>
      </c>
      <c r="D41" s="49">
        <f ca="1">+VLOOKUP($B41,Resumen2!$B:$N,'Op3'!D$5+1,FALSE)*100</f>
        <v>11.111111111111111</v>
      </c>
      <c r="E41" s="48">
        <f ca="1">+VLOOKUP($B41,Resumen2!$B:$N,'Op3'!E$5+1,FALSE)</f>
        <v>7.9444444444444446</v>
      </c>
      <c r="F41" s="48">
        <f ca="1">+VLOOKUP($B41,Resumen2!$B:$N,'Op3'!F$5+1,FALSE)</f>
        <v>5.3848613748307192</v>
      </c>
      <c r="G41" s="46">
        <f ca="1">+VLOOKUP($B41,Resumen2!$B:$N,'Op3'!G$5+1,FALSE)</f>
        <v>4439.0219907407409</v>
      </c>
      <c r="H41" s="46">
        <f ca="1">+VLOOKUP($B41,Resumen2!$B:$N,'Op3'!H$5+1,FALSE)</f>
        <v>3820.4286069941568</v>
      </c>
      <c r="I41" s="46">
        <f ca="1">+VLOOKUP($B41,Resumen2!$B:$N,'Op3'!I$5+1,FALSE)</f>
        <v>4105.0597222222223</v>
      </c>
      <c r="J41" s="46">
        <f ca="1">+VLOOKUP($B41,Resumen2!$B:$N,'Op3'!J$5+1,FALSE)</f>
        <v>2638.2567393916775</v>
      </c>
      <c r="K41" s="47">
        <f ca="1">+VLOOKUP($B41,Resumen2!$B:$N,'Op3'!K$5+1,FALSE)</f>
        <v>2</v>
      </c>
      <c r="L41" s="48">
        <f ca="1">+VLOOKUP($B41,Resumen2!$B:$N,'Op3'!L$5+1,FALSE)</f>
        <v>0.1111111111111111</v>
      </c>
      <c r="M41" s="46">
        <f ca="1">+VLOOKUP($B41,Resumen2!$B:$N,'Op3'!M$5+1,FALSE)</f>
        <v>18</v>
      </c>
      <c r="N41" s="46">
        <f ca="1">+VLOOKUP($B41,Resumen2!$B:$N,'Op3'!N$5+1,FALSE)</f>
        <v>16</v>
      </c>
      <c r="O41" s="46">
        <f ca="1">+VLOOKUP($B41,Resumen!B:Q,16,FALSE)</f>
        <v>0.35714285714285715</v>
      </c>
    </row>
    <row r="42" spans="1:15" x14ac:dyDescent="0.3">
      <c r="A42">
        <f t="shared" si="1"/>
        <v>37</v>
      </c>
      <c r="B42" t="s">
        <v>353</v>
      </c>
      <c r="C42" s="47">
        <f ca="1">+VLOOKUP($B42,Resumen2!$B:$N,'Op3'!C$5+1,FALSE)</f>
        <v>0</v>
      </c>
      <c r="D42" s="49">
        <f ca="1">+VLOOKUP($B42,Resumen2!$B:$N,'Op3'!D$5+1,FALSE)*100</f>
        <v>0</v>
      </c>
      <c r="E42" s="48">
        <f ca="1">+VLOOKUP($B42,Resumen2!$B:$N,'Op3'!E$5+1,FALSE)</f>
        <v>5.7142857142857144</v>
      </c>
      <c r="F42" s="48">
        <f ca="1">+VLOOKUP($B42,Resumen2!$B:$N,'Op3'!F$5+1,FALSE)</f>
        <v>3.8089285249183273</v>
      </c>
      <c r="G42" s="46">
        <f ca="1">+VLOOKUP($B42,Resumen2!$B:$N,'Op3'!G$5+1,FALSE)</f>
        <v>7024.084404761903</v>
      </c>
      <c r="H42" s="46">
        <f ca="1">+VLOOKUP($B42,Resumen2!$B:$N,'Op3'!H$5+1,FALSE)</f>
        <v>13559.35564730359</v>
      </c>
      <c r="I42" s="46">
        <f ca="1">+VLOOKUP($B42,Resumen2!$B:$N,'Op3'!I$5+1,FALSE)</f>
        <v>6629.4893750000001</v>
      </c>
      <c r="J42" s="46">
        <f ca="1">+VLOOKUP($B42,Resumen2!$B:$N,'Op3'!J$5+1,FALSE)</f>
        <v>8459.6169861501839</v>
      </c>
      <c r="K42" s="47">
        <f ca="1">+VLOOKUP($B42,Resumen2!$B:$N,'Op3'!K$5+1,FALSE)</f>
        <v>7</v>
      </c>
      <c r="L42" s="48">
        <f ca="1">+VLOOKUP($B42,Resumen2!$B:$N,'Op3'!L$5+1,FALSE)</f>
        <v>0.25</v>
      </c>
      <c r="M42" s="46">
        <f ca="1">+VLOOKUP($B42,Resumen2!$B:$N,'Op3'!M$5+1,FALSE)</f>
        <v>28</v>
      </c>
      <c r="N42" s="46">
        <f ca="1">+VLOOKUP($B42,Resumen2!$B:$N,'Op3'!N$5+1,FALSE)</f>
        <v>21</v>
      </c>
      <c r="O42" s="46">
        <f ca="1">+VLOOKUP($B42,Resumen!B:Q,16,FALSE)</f>
        <v>1</v>
      </c>
    </row>
    <row r="43" spans="1:15" x14ac:dyDescent="0.3">
      <c r="A43">
        <f t="shared" si="1"/>
        <v>38</v>
      </c>
      <c r="B43" t="s">
        <v>447</v>
      </c>
      <c r="C43" s="47">
        <f ca="1">+VLOOKUP($B43,Resumen2!$B:$N,'Op3'!C$5+1,FALSE)</f>
        <v>1</v>
      </c>
      <c r="D43" s="49">
        <f ca="1">+VLOOKUP($B43,Resumen2!$B:$N,'Op3'!D$5+1,FALSE)*100</f>
        <v>3.4482758620689653</v>
      </c>
      <c r="E43" s="48">
        <f ca="1">+VLOOKUP($B43,Resumen2!$B:$N,'Op3'!E$5+1,FALSE)</f>
        <v>3.8275862068965516</v>
      </c>
      <c r="F43" s="48">
        <f ca="1">+VLOOKUP($B43,Resumen2!$B:$N,'Op3'!F$5+1,FALSE)</f>
        <v>3.5362304942373854</v>
      </c>
      <c r="G43" s="46">
        <f ca="1">+VLOOKUP($B43,Resumen2!$B:$N,'Op3'!G$5+1,FALSE)</f>
        <v>2099.0719827586208</v>
      </c>
      <c r="H43" s="46">
        <f ca="1">+VLOOKUP($B43,Resumen2!$B:$N,'Op3'!H$5+1,FALSE)</f>
        <v>3078.8422910222635</v>
      </c>
      <c r="I43" s="46">
        <f ca="1">+VLOOKUP($B43,Resumen2!$B:$N,'Op3'!I$5+1,FALSE)</f>
        <v>2283.5168750000003</v>
      </c>
      <c r="J43" s="46">
        <f ca="1">+VLOOKUP($B43,Resumen2!$B:$N,'Op3'!J$5+1,FALSE)</f>
        <v>1743.9210874863356</v>
      </c>
      <c r="K43" s="47">
        <f ca="1">+VLOOKUP($B43,Resumen2!$B:$N,'Op3'!K$5+1,FALSE)</f>
        <v>8</v>
      </c>
      <c r="L43" s="48">
        <f ca="1">+VLOOKUP($B43,Resumen2!$B:$N,'Op3'!L$5+1,FALSE)</f>
        <v>0.27586206896551724</v>
      </c>
      <c r="M43" s="46">
        <f ca="1">+VLOOKUP($B43,Resumen2!$B:$N,'Op3'!M$5+1,FALSE)</f>
        <v>29</v>
      </c>
      <c r="N43" s="46">
        <f ca="1">+VLOOKUP($B43,Resumen2!$B:$N,'Op3'!N$5+1,FALSE)</f>
        <v>21</v>
      </c>
      <c r="O43" s="46">
        <f ca="1">+VLOOKUP($B43,Resumen!B:Q,16,FALSE)</f>
        <v>0.42</v>
      </c>
    </row>
    <row r="44" spans="1:15" x14ac:dyDescent="0.3">
      <c r="F44" s="52"/>
      <c r="G44" s="52"/>
      <c r="H44" s="52"/>
      <c r="I44" s="52"/>
      <c r="J44" s="52"/>
      <c r="K44" s="52"/>
      <c r="L44" s="52"/>
      <c r="M44" s="52"/>
    </row>
    <row r="45" spans="1:15" x14ac:dyDescent="0.3">
      <c r="A45">
        <v>1</v>
      </c>
      <c r="B45" t="s">
        <v>3</v>
      </c>
      <c r="C45" s="47">
        <v>0</v>
      </c>
      <c r="D45" s="49">
        <v>0</v>
      </c>
      <c r="E45" s="43">
        <f>36-A45</f>
        <v>35</v>
      </c>
      <c r="F45" s="52"/>
      <c r="G45" s="52"/>
      <c r="H45" s="52"/>
      <c r="I45" s="52"/>
      <c r="J45" s="52"/>
      <c r="K45" s="52"/>
      <c r="L45" s="52"/>
      <c r="M45" s="52"/>
    </row>
    <row r="46" spans="1:15" x14ac:dyDescent="0.3">
      <c r="A46">
        <v>1</v>
      </c>
      <c r="B46" t="s">
        <v>288</v>
      </c>
      <c r="C46" s="47">
        <v>0</v>
      </c>
      <c r="D46" s="49">
        <v>0</v>
      </c>
      <c r="E46" s="43">
        <f t="shared" ref="E46:E79" si="2">36-A46</f>
        <v>35</v>
      </c>
      <c r="F46" s="52"/>
      <c r="G46" s="52"/>
      <c r="H46" s="52"/>
      <c r="I46" s="52"/>
      <c r="J46" s="52"/>
      <c r="K46" s="52"/>
      <c r="L46" s="52"/>
      <c r="M46" s="52"/>
    </row>
    <row r="47" spans="1:15" x14ac:dyDescent="0.3">
      <c r="A47">
        <v>1</v>
      </c>
      <c r="B47" t="s">
        <v>442</v>
      </c>
      <c r="C47" s="47">
        <v>0</v>
      </c>
      <c r="D47" s="49">
        <v>0</v>
      </c>
      <c r="E47" s="43">
        <f t="shared" si="2"/>
        <v>35</v>
      </c>
      <c r="F47" s="52"/>
      <c r="G47" s="52"/>
      <c r="H47" s="52"/>
      <c r="I47" s="52"/>
      <c r="J47" s="52"/>
      <c r="K47" s="52"/>
      <c r="L47" s="52"/>
      <c r="M47" s="52"/>
    </row>
    <row r="48" spans="1:15" x14ac:dyDescent="0.3">
      <c r="A48">
        <v>1</v>
      </c>
      <c r="B48" t="s">
        <v>441</v>
      </c>
      <c r="C48" s="47">
        <v>0</v>
      </c>
      <c r="D48" s="49">
        <v>0</v>
      </c>
      <c r="E48" s="43">
        <f t="shared" si="2"/>
        <v>35</v>
      </c>
      <c r="F48" s="52"/>
      <c r="G48" s="52"/>
      <c r="H48" s="52"/>
      <c r="I48" s="52"/>
      <c r="J48" s="52"/>
      <c r="K48" s="52"/>
      <c r="L48" s="52"/>
      <c r="M48" s="52"/>
    </row>
    <row r="49" spans="1:13" x14ac:dyDescent="0.3">
      <c r="A49">
        <v>1</v>
      </c>
      <c r="B49" t="s">
        <v>450</v>
      </c>
      <c r="C49" s="47">
        <v>0</v>
      </c>
      <c r="D49" s="49">
        <v>0</v>
      </c>
      <c r="E49" s="43">
        <f t="shared" si="2"/>
        <v>35</v>
      </c>
      <c r="F49" s="52"/>
      <c r="G49" s="52"/>
      <c r="H49" s="52"/>
      <c r="I49" s="52"/>
      <c r="J49" s="52"/>
      <c r="K49" s="52"/>
      <c r="L49" s="52"/>
      <c r="M49" s="52"/>
    </row>
    <row r="50" spans="1:13" x14ac:dyDescent="0.3">
      <c r="A50">
        <v>1</v>
      </c>
      <c r="B50" t="s">
        <v>443</v>
      </c>
      <c r="C50" s="47">
        <v>0</v>
      </c>
      <c r="D50" s="49">
        <v>0</v>
      </c>
      <c r="E50" s="43">
        <f t="shared" si="2"/>
        <v>35</v>
      </c>
      <c r="F50" s="52"/>
      <c r="G50" s="52"/>
      <c r="H50" s="52"/>
      <c r="I50" s="52"/>
      <c r="J50" s="52"/>
      <c r="K50" s="52"/>
      <c r="L50" s="52"/>
      <c r="M50" s="52"/>
    </row>
    <row r="51" spans="1:13" x14ac:dyDescent="0.3">
      <c r="A51">
        <v>1</v>
      </c>
      <c r="B51" t="s">
        <v>444</v>
      </c>
      <c r="C51" s="47">
        <v>0</v>
      </c>
      <c r="D51" s="49">
        <v>0</v>
      </c>
      <c r="E51" s="43">
        <f t="shared" si="2"/>
        <v>35</v>
      </c>
      <c r="F51" s="52"/>
      <c r="G51" s="52"/>
      <c r="H51" s="52"/>
      <c r="I51" s="52"/>
      <c r="J51" s="52"/>
      <c r="K51" s="52"/>
      <c r="L51" s="52"/>
      <c r="M51" s="52"/>
    </row>
    <row r="52" spans="1:13" x14ac:dyDescent="0.3">
      <c r="A52">
        <v>1</v>
      </c>
      <c r="B52" t="s">
        <v>235</v>
      </c>
      <c r="C52" s="47">
        <v>0</v>
      </c>
      <c r="D52" s="49">
        <v>0</v>
      </c>
      <c r="E52" s="43">
        <f t="shared" si="2"/>
        <v>35</v>
      </c>
      <c r="F52" s="52"/>
      <c r="G52" s="52"/>
      <c r="H52" s="52"/>
      <c r="I52" s="52"/>
      <c r="J52" s="52"/>
      <c r="K52" s="52"/>
      <c r="L52" s="52"/>
      <c r="M52" s="52"/>
    </row>
    <row r="53" spans="1:13" x14ac:dyDescent="0.3">
      <c r="A53">
        <v>1</v>
      </c>
      <c r="B53" t="s">
        <v>333</v>
      </c>
      <c r="C53" s="47">
        <v>0</v>
      </c>
      <c r="D53" s="49">
        <v>0</v>
      </c>
      <c r="E53" s="43">
        <f t="shared" si="2"/>
        <v>35</v>
      </c>
      <c r="F53" s="52"/>
      <c r="G53" s="52"/>
      <c r="H53" s="52"/>
      <c r="I53" s="52"/>
      <c r="J53" s="52"/>
      <c r="K53" s="52"/>
      <c r="L53" s="52"/>
      <c r="M53" s="52"/>
    </row>
    <row r="54" spans="1:13" x14ac:dyDescent="0.3">
      <c r="A54">
        <v>1</v>
      </c>
      <c r="B54" t="s">
        <v>451</v>
      </c>
      <c r="C54" s="47">
        <v>0</v>
      </c>
      <c r="D54" s="49">
        <v>0</v>
      </c>
      <c r="E54" s="43">
        <f t="shared" si="2"/>
        <v>35</v>
      </c>
      <c r="F54" s="52"/>
      <c r="G54" s="52"/>
      <c r="H54" s="52"/>
      <c r="I54" s="52"/>
      <c r="J54" s="52"/>
      <c r="K54" s="52"/>
      <c r="L54" s="52"/>
      <c r="M54" s="52"/>
    </row>
    <row r="55" spans="1:13" x14ac:dyDescent="0.3">
      <c r="A55">
        <v>1</v>
      </c>
      <c r="B55" t="s">
        <v>453</v>
      </c>
      <c r="C55" s="47">
        <v>0</v>
      </c>
      <c r="D55" s="49">
        <v>0</v>
      </c>
      <c r="E55" s="43">
        <f t="shared" si="2"/>
        <v>35</v>
      </c>
      <c r="F55" s="52"/>
      <c r="G55" s="52"/>
      <c r="H55" s="52"/>
      <c r="I55" s="52"/>
      <c r="J55" s="52"/>
      <c r="K55" s="52"/>
      <c r="L55" s="52"/>
      <c r="M55" s="52"/>
    </row>
    <row r="56" spans="1:13" x14ac:dyDescent="0.3">
      <c r="A56">
        <v>1</v>
      </c>
      <c r="B56" t="s">
        <v>446</v>
      </c>
      <c r="C56" s="47">
        <v>0</v>
      </c>
      <c r="D56" s="49">
        <v>0</v>
      </c>
      <c r="E56" s="43">
        <f t="shared" si="2"/>
        <v>35</v>
      </c>
      <c r="F56" s="52"/>
      <c r="G56" s="52"/>
      <c r="H56" s="52"/>
      <c r="I56" s="52"/>
      <c r="J56" s="52"/>
      <c r="K56" s="52"/>
      <c r="L56" s="52"/>
      <c r="M56" s="52"/>
    </row>
    <row r="57" spans="1:13" x14ac:dyDescent="0.3">
      <c r="A57">
        <v>1</v>
      </c>
      <c r="B57" t="s">
        <v>458</v>
      </c>
      <c r="C57" s="47">
        <v>0</v>
      </c>
      <c r="D57" s="49">
        <v>0</v>
      </c>
      <c r="E57" s="43">
        <f t="shared" si="2"/>
        <v>35</v>
      </c>
      <c r="F57" s="52"/>
      <c r="G57" s="52"/>
      <c r="H57" s="52"/>
      <c r="I57" s="52"/>
      <c r="J57" s="52"/>
      <c r="K57" s="52"/>
      <c r="L57" s="52"/>
      <c r="M57" s="52"/>
    </row>
    <row r="58" spans="1:13" x14ac:dyDescent="0.3">
      <c r="A58">
        <v>1</v>
      </c>
      <c r="B58" t="s">
        <v>353</v>
      </c>
      <c r="C58" s="47">
        <v>0</v>
      </c>
      <c r="D58" s="49">
        <v>0</v>
      </c>
      <c r="E58" s="43">
        <f t="shared" si="2"/>
        <v>35</v>
      </c>
      <c r="F58" s="52"/>
      <c r="G58" s="52"/>
      <c r="H58" s="52"/>
      <c r="I58" s="52"/>
      <c r="J58" s="52"/>
      <c r="K58" s="52"/>
      <c r="L58" s="52"/>
      <c r="M58" s="52"/>
    </row>
    <row r="59" spans="1:13" x14ac:dyDescent="0.3">
      <c r="A59">
        <v>17</v>
      </c>
      <c r="B59" t="s">
        <v>177</v>
      </c>
      <c r="C59" s="47">
        <v>1</v>
      </c>
      <c r="D59" s="49">
        <v>3.3333333333333335</v>
      </c>
      <c r="E59" s="43">
        <f t="shared" si="2"/>
        <v>19</v>
      </c>
      <c r="F59" s="52"/>
      <c r="G59" s="52"/>
      <c r="H59" s="52"/>
      <c r="I59" s="52"/>
      <c r="J59" s="52"/>
      <c r="K59" s="52"/>
      <c r="L59" s="52"/>
      <c r="M59" s="52"/>
    </row>
    <row r="60" spans="1:13" x14ac:dyDescent="0.3">
      <c r="A60">
        <v>17</v>
      </c>
      <c r="B60" t="s">
        <v>459</v>
      </c>
      <c r="C60" s="47">
        <v>1</v>
      </c>
      <c r="D60" s="49">
        <v>3.3333333333333335</v>
      </c>
      <c r="E60" s="43">
        <f t="shared" si="2"/>
        <v>19</v>
      </c>
      <c r="F60" s="52"/>
      <c r="G60" s="52"/>
      <c r="H60" s="52"/>
      <c r="I60" s="52"/>
      <c r="J60" s="52"/>
      <c r="K60" s="52"/>
      <c r="L60" s="52"/>
      <c r="M60" s="52"/>
    </row>
    <row r="61" spans="1:13" x14ac:dyDescent="0.3">
      <c r="A61">
        <v>17</v>
      </c>
      <c r="B61" t="s">
        <v>447</v>
      </c>
      <c r="C61" s="47">
        <v>1</v>
      </c>
      <c r="D61" s="49">
        <v>3.4482758620689653</v>
      </c>
      <c r="E61" s="43">
        <f t="shared" si="2"/>
        <v>19</v>
      </c>
      <c r="F61" s="52"/>
      <c r="G61" s="52"/>
      <c r="H61" s="52"/>
      <c r="I61" s="52"/>
      <c r="J61" s="52"/>
      <c r="K61" s="52"/>
      <c r="L61" s="52"/>
      <c r="M61" s="52"/>
    </row>
    <row r="62" spans="1:13" x14ac:dyDescent="0.3">
      <c r="A62">
        <v>20</v>
      </c>
      <c r="B62" t="s">
        <v>187</v>
      </c>
      <c r="C62" s="47">
        <v>1</v>
      </c>
      <c r="D62" s="49">
        <v>3.5714285714285712</v>
      </c>
      <c r="E62" s="43">
        <f t="shared" si="2"/>
        <v>16</v>
      </c>
      <c r="F62" s="52"/>
      <c r="G62" s="52"/>
      <c r="H62" s="52"/>
      <c r="I62" s="52"/>
      <c r="J62" s="52"/>
      <c r="K62" s="52"/>
      <c r="L62" s="52"/>
      <c r="M62" s="52"/>
    </row>
    <row r="63" spans="1:13" x14ac:dyDescent="0.3">
      <c r="A63">
        <v>20</v>
      </c>
      <c r="B63" t="s">
        <v>454</v>
      </c>
      <c r="C63" s="47">
        <v>1</v>
      </c>
      <c r="D63" s="49">
        <v>3.5714285714285712</v>
      </c>
      <c r="E63" s="43">
        <f t="shared" si="2"/>
        <v>16</v>
      </c>
      <c r="F63" s="52"/>
      <c r="G63" s="52"/>
      <c r="H63" s="52"/>
      <c r="I63" s="52"/>
      <c r="J63" s="52"/>
      <c r="K63" s="52"/>
      <c r="L63" s="52"/>
      <c r="M63" s="52"/>
    </row>
    <row r="64" spans="1:13" x14ac:dyDescent="0.3">
      <c r="A64">
        <v>20</v>
      </c>
      <c r="B64" t="s">
        <v>318</v>
      </c>
      <c r="C64" s="47">
        <v>1</v>
      </c>
      <c r="D64" s="49">
        <v>4.1666666666666661</v>
      </c>
      <c r="E64" s="43">
        <f t="shared" si="2"/>
        <v>16</v>
      </c>
      <c r="F64" s="52"/>
      <c r="G64" s="52"/>
      <c r="H64" s="52"/>
      <c r="I64" s="52"/>
      <c r="J64" s="52"/>
      <c r="K64" s="52"/>
      <c r="L64" s="52"/>
      <c r="M64" s="52"/>
    </row>
    <row r="65" spans="1:13" x14ac:dyDescent="0.3">
      <c r="A65">
        <v>26</v>
      </c>
      <c r="B65" t="s">
        <v>138</v>
      </c>
      <c r="C65" s="47">
        <v>2</v>
      </c>
      <c r="D65" s="49">
        <v>6.666666666666667</v>
      </c>
      <c r="E65" s="43">
        <f t="shared" si="2"/>
        <v>10</v>
      </c>
      <c r="F65" s="52"/>
      <c r="G65" s="52"/>
      <c r="H65" s="52"/>
      <c r="I65" s="52"/>
      <c r="J65" s="52"/>
      <c r="K65" s="52"/>
      <c r="L65" s="52"/>
      <c r="M65" s="52"/>
    </row>
    <row r="66" spans="1:13" x14ac:dyDescent="0.3">
      <c r="A66">
        <v>26</v>
      </c>
      <c r="B66" t="s">
        <v>210</v>
      </c>
      <c r="C66" s="47">
        <v>2</v>
      </c>
      <c r="D66" s="49">
        <v>6.666666666666667</v>
      </c>
      <c r="E66" s="43">
        <f t="shared" si="2"/>
        <v>10</v>
      </c>
      <c r="F66" s="52"/>
      <c r="G66" s="52"/>
      <c r="H66" s="52"/>
      <c r="I66" s="52"/>
      <c r="J66" s="52"/>
      <c r="K66" s="52"/>
      <c r="L66" s="52"/>
      <c r="M66" s="52"/>
    </row>
    <row r="67" spans="1:13" x14ac:dyDescent="0.3">
      <c r="A67">
        <v>26</v>
      </c>
      <c r="B67" t="s">
        <v>452</v>
      </c>
      <c r="C67" s="47">
        <v>2</v>
      </c>
      <c r="D67" s="49">
        <v>6.8965517241379306</v>
      </c>
      <c r="E67" s="43">
        <f t="shared" si="2"/>
        <v>10</v>
      </c>
      <c r="F67" s="52"/>
      <c r="G67" s="52"/>
      <c r="H67" s="52"/>
      <c r="I67" s="52"/>
      <c r="J67" s="52"/>
      <c r="K67" s="52"/>
      <c r="L67" s="52"/>
      <c r="M67" s="52"/>
    </row>
    <row r="68" spans="1:13" x14ac:dyDescent="0.3">
      <c r="A68">
        <v>26</v>
      </c>
      <c r="B68" t="s">
        <v>457</v>
      </c>
      <c r="C68" s="47">
        <v>2</v>
      </c>
      <c r="D68" s="49">
        <v>6.8965517241379306</v>
      </c>
      <c r="E68" s="43">
        <f t="shared" si="2"/>
        <v>10</v>
      </c>
      <c r="F68" s="52"/>
      <c r="G68" s="52"/>
      <c r="H68" s="52"/>
      <c r="I68" s="52"/>
      <c r="J68" s="52"/>
      <c r="K68" s="52"/>
      <c r="L68" s="52"/>
      <c r="M68" s="52"/>
    </row>
    <row r="69" spans="1:13" x14ac:dyDescent="0.3">
      <c r="A69">
        <v>26</v>
      </c>
      <c r="B69" t="s">
        <v>250</v>
      </c>
      <c r="C69" s="47">
        <v>2</v>
      </c>
      <c r="D69" s="49">
        <v>7.1428571428571423</v>
      </c>
      <c r="E69" s="43">
        <f t="shared" si="2"/>
        <v>10</v>
      </c>
      <c r="F69" s="52"/>
      <c r="G69" s="52"/>
      <c r="H69" s="52"/>
      <c r="I69" s="52"/>
      <c r="J69" s="52"/>
      <c r="K69" s="52"/>
      <c r="L69" s="52"/>
      <c r="M69" s="52"/>
    </row>
    <row r="70" spans="1:13" x14ac:dyDescent="0.3">
      <c r="A70">
        <v>26</v>
      </c>
      <c r="B70" t="s">
        <v>449</v>
      </c>
      <c r="C70" s="47">
        <v>2</v>
      </c>
      <c r="D70" s="49">
        <v>7.1428571428571423</v>
      </c>
      <c r="E70" s="43">
        <f t="shared" si="2"/>
        <v>10</v>
      </c>
      <c r="F70" s="52"/>
      <c r="G70" s="52"/>
      <c r="H70" s="52"/>
      <c r="I70" s="52"/>
      <c r="J70" s="52"/>
      <c r="K70" s="52"/>
      <c r="L70" s="52"/>
      <c r="M70" s="52"/>
    </row>
    <row r="71" spans="1:13" x14ac:dyDescent="0.3">
      <c r="A71">
        <v>28</v>
      </c>
      <c r="B71" t="s">
        <v>140</v>
      </c>
      <c r="C71" s="47">
        <v>3</v>
      </c>
      <c r="D71" s="49">
        <v>10</v>
      </c>
      <c r="E71" s="43">
        <f t="shared" si="2"/>
        <v>8</v>
      </c>
      <c r="F71" s="52"/>
      <c r="G71" s="52"/>
      <c r="H71" s="52"/>
      <c r="I71" s="52"/>
      <c r="J71" s="52"/>
      <c r="K71" s="52"/>
      <c r="L71" s="52"/>
      <c r="M71" s="52"/>
    </row>
    <row r="72" spans="1:13" x14ac:dyDescent="0.3">
      <c r="A72">
        <v>28</v>
      </c>
      <c r="B72" t="s">
        <v>456</v>
      </c>
      <c r="C72" s="47">
        <v>3</v>
      </c>
      <c r="D72" s="49">
        <v>10.344827586206897</v>
      </c>
      <c r="E72" s="43">
        <f t="shared" si="2"/>
        <v>8</v>
      </c>
      <c r="F72" s="52"/>
      <c r="G72" s="52"/>
      <c r="H72" s="52"/>
      <c r="I72" s="52"/>
      <c r="J72" s="52"/>
      <c r="K72" s="52"/>
      <c r="L72" s="52"/>
      <c r="M72" s="52"/>
    </row>
    <row r="73" spans="1:13" x14ac:dyDescent="0.3">
      <c r="A73">
        <v>30</v>
      </c>
      <c r="B73" t="s">
        <v>385</v>
      </c>
      <c r="C73" s="47">
        <v>3</v>
      </c>
      <c r="D73" s="49">
        <v>10.714285714285714</v>
      </c>
      <c r="E73" s="43">
        <f t="shared" si="2"/>
        <v>6</v>
      </c>
      <c r="F73" s="52"/>
      <c r="G73" s="52"/>
      <c r="H73" s="52"/>
      <c r="I73" s="52"/>
      <c r="J73" s="52"/>
      <c r="K73" s="52"/>
      <c r="L73" s="52"/>
      <c r="M73" s="52"/>
    </row>
    <row r="74" spans="1:13" x14ac:dyDescent="0.3">
      <c r="A74">
        <v>30</v>
      </c>
      <c r="B74" t="s">
        <v>304</v>
      </c>
      <c r="C74" s="47">
        <v>2</v>
      </c>
      <c r="D74" s="49">
        <v>11.111111111111111</v>
      </c>
      <c r="E74" s="43">
        <f t="shared" si="2"/>
        <v>6</v>
      </c>
      <c r="F74" s="52"/>
      <c r="G74" s="52"/>
      <c r="H74" s="52"/>
      <c r="I74" s="52"/>
      <c r="J74" s="52"/>
      <c r="K74" s="52"/>
      <c r="L74" s="52"/>
      <c r="M74" s="52"/>
    </row>
    <row r="75" spans="1:13" x14ac:dyDescent="0.3">
      <c r="A75">
        <v>31</v>
      </c>
      <c r="B75" t="s">
        <v>415</v>
      </c>
      <c r="C75" s="47">
        <v>4</v>
      </c>
      <c r="D75" s="49">
        <v>14.814814814814813</v>
      </c>
      <c r="E75" s="43">
        <f t="shared" si="2"/>
        <v>5</v>
      </c>
      <c r="F75" s="52"/>
      <c r="G75" s="52"/>
      <c r="H75" s="52"/>
      <c r="I75" s="52"/>
      <c r="J75" s="52"/>
      <c r="K75" s="52"/>
      <c r="L75" s="52"/>
      <c r="M75" s="52"/>
    </row>
    <row r="76" spans="1:13" x14ac:dyDescent="0.3">
      <c r="A76">
        <v>32</v>
      </c>
      <c r="B76" t="s">
        <v>45</v>
      </c>
      <c r="C76" s="47">
        <v>5</v>
      </c>
      <c r="D76" s="49">
        <v>17.241379310344829</v>
      </c>
      <c r="E76" s="43">
        <f t="shared" si="2"/>
        <v>4</v>
      </c>
      <c r="F76" s="52"/>
      <c r="G76" s="52"/>
      <c r="H76" s="52"/>
      <c r="I76" s="52"/>
      <c r="J76" s="52"/>
      <c r="K76" s="52"/>
      <c r="L76" s="52"/>
      <c r="M76" s="52"/>
    </row>
    <row r="77" spans="1:13" x14ac:dyDescent="0.3">
      <c r="A77">
        <v>33</v>
      </c>
      <c r="B77" t="s">
        <v>76</v>
      </c>
      <c r="C77" s="47">
        <v>6</v>
      </c>
      <c r="D77" s="49">
        <v>20</v>
      </c>
      <c r="E77" s="43">
        <f t="shared" si="2"/>
        <v>3</v>
      </c>
      <c r="F77" s="52"/>
      <c r="G77" s="52"/>
      <c r="H77" s="52"/>
      <c r="I77" s="52"/>
      <c r="J77" s="52"/>
      <c r="K77" s="52"/>
      <c r="L77" s="52"/>
      <c r="M77" s="52"/>
    </row>
    <row r="78" spans="1:13" x14ac:dyDescent="0.3">
      <c r="A78">
        <v>34</v>
      </c>
      <c r="B78" t="s">
        <v>448</v>
      </c>
      <c r="C78" s="47">
        <v>5</v>
      </c>
      <c r="D78" s="49">
        <v>20.833333333333336</v>
      </c>
      <c r="E78" s="43">
        <f t="shared" si="2"/>
        <v>2</v>
      </c>
      <c r="F78" s="52"/>
      <c r="G78" s="52"/>
      <c r="H78" s="52"/>
      <c r="I78" s="52"/>
      <c r="J78" s="52"/>
      <c r="K78" s="52"/>
      <c r="L78" s="52"/>
      <c r="M78" s="52"/>
    </row>
    <row r="79" spans="1:13" x14ac:dyDescent="0.3">
      <c r="A79">
        <v>35</v>
      </c>
      <c r="B79" t="s">
        <v>107</v>
      </c>
      <c r="C79" s="47">
        <v>7</v>
      </c>
      <c r="D79" s="49">
        <v>24.137931034482758</v>
      </c>
      <c r="E79" s="43">
        <f t="shared" si="2"/>
        <v>1</v>
      </c>
      <c r="F79" s="52"/>
      <c r="G79" s="52"/>
      <c r="H79" s="52"/>
      <c r="I79" s="52"/>
      <c r="J79" s="52"/>
      <c r="K79" s="52"/>
      <c r="L79" s="52"/>
      <c r="M79" s="52"/>
    </row>
    <row r="80" spans="1:13" x14ac:dyDescent="0.3">
      <c r="C80" s="47"/>
      <c r="D80" s="49"/>
    </row>
    <row r="81" spans="1:13" x14ac:dyDescent="0.3">
      <c r="C81" s="47"/>
      <c r="D81" s="49"/>
    </row>
    <row r="82" spans="1:13" x14ac:dyDescent="0.3">
      <c r="C82" s="47"/>
      <c r="D82" s="49"/>
    </row>
    <row r="84" spans="1:13" x14ac:dyDescent="0.3">
      <c r="A84" s="49">
        <v>1</v>
      </c>
      <c r="B84" t="s">
        <v>107</v>
      </c>
      <c r="C84" s="48">
        <v>8.4137931034482758</v>
      </c>
      <c r="D84" t="b">
        <f>+C84=C85</f>
        <v>0</v>
      </c>
      <c r="E84" s="61">
        <f>36-A84</f>
        <v>35</v>
      </c>
      <c r="F84" s="52"/>
      <c r="G84" s="52"/>
      <c r="H84" s="52"/>
      <c r="I84" s="52"/>
      <c r="J84" s="52"/>
      <c r="K84" s="52"/>
      <c r="L84" s="52"/>
      <c r="M84" s="52"/>
    </row>
    <row r="85" spans="1:13" x14ac:dyDescent="0.3">
      <c r="A85" s="49">
        <v>2</v>
      </c>
      <c r="B85" t="s">
        <v>318</v>
      </c>
      <c r="C85" s="48">
        <v>7.958333333333333</v>
      </c>
      <c r="D85" t="b">
        <f t="shared" ref="D85:D118" si="3">+C85=C86</f>
        <v>0</v>
      </c>
      <c r="E85" s="61">
        <f t="shared" ref="E85:E118" si="4">36-A85</f>
        <v>34</v>
      </c>
      <c r="F85" s="52"/>
      <c r="G85" s="52"/>
      <c r="H85" s="52"/>
      <c r="I85" s="52"/>
      <c r="J85" s="52"/>
      <c r="K85" s="52"/>
      <c r="L85" s="52"/>
      <c r="M85" s="52"/>
    </row>
    <row r="86" spans="1:13" x14ac:dyDescent="0.3">
      <c r="A86" s="49">
        <v>3</v>
      </c>
      <c r="B86" t="s">
        <v>304</v>
      </c>
      <c r="C86" s="48">
        <v>7.9444444444444446</v>
      </c>
      <c r="D86" t="b">
        <f t="shared" si="3"/>
        <v>0</v>
      </c>
      <c r="E86" s="61">
        <f t="shared" si="4"/>
        <v>33</v>
      </c>
      <c r="F86" s="52"/>
      <c r="G86" s="52"/>
      <c r="H86" s="52"/>
      <c r="I86" s="52"/>
      <c r="J86" s="52"/>
      <c r="K86" s="52"/>
      <c r="L86" s="52"/>
      <c r="M86" s="52"/>
    </row>
    <row r="87" spans="1:13" x14ac:dyDescent="0.3">
      <c r="A87" s="49">
        <v>4</v>
      </c>
      <c r="B87" t="s">
        <v>385</v>
      </c>
      <c r="C87" s="48">
        <v>7.9285714285714288</v>
      </c>
      <c r="D87" t="b">
        <f t="shared" si="3"/>
        <v>0</v>
      </c>
      <c r="E87" s="61">
        <f t="shared" si="4"/>
        <v>32</v>
      </c>
      <c r="F87" s="52"/>
      <c r="G87" s="52"/>
      <c r="H87" s="52"/>
      <c r="I87" s="52"/>
      <c r="J87" s="52"/>
      <c r="K87" s="52"/>
      <c r="L87" s="52"/>
      <c r="M87" s="52"/>
    </row>
    <row r="88" spans="1:13" x14ac:dyDescent="0.3">
      <c r="A88" s="49">
        <v>5</v>
      </c>
      <c r="B88" t="s">
        <v>333</v>
      </c>
      <c r="C88" s="48">
        <v>7.5185185185185182</v>
      </c>
      <c r="D88" t="b">
        <f t="shared" si="3"/>
        <v>0</v>
      </c>
      <c r="E88" s="61">
        <f t="shared" si="4"/>
        <v>31</v>
      </c>
      <c r="F88" s="52"/>
      <c r="G88" s="52"/>
      <c r="H88" s="52"/>
      <c r="I88" s="52"/>
      <c r="J88" s="52"/>
      <c r="K88" s="52"/>
      <c r="L88" s="52"/>
      <c r="M88" s="52"/>
    </row>
    <row r="89" spans="1:13" x14ac:dyDescent="0.3">
      <c r="A89" s="49">
        <v>6</v>
      </c>
      <c r="B89" t="s">
        <v>235</v>
      </c>
      <c r="C89" s="48">
        <v>7.4333333333333336</v>
      </c>
      <c r="D89" t="b">
        <f t="shared" si="3"/>
        <v>0</v>
      </c>
      <c r="E89" s="61">
        <f t="shared" si="4"/>
        <v>30</v>
      </c>
      <c r="F89" s="52"/>
      <c r="G89" s="52"/>
      <c r="H89" s="52"/>
      <c r="I89" s="52"/>
      <c r="J89" s="52"/>
      <c r="K89" s="52"/>
      <c r="L89" s="52"/>
      <c r="M89" s="52"/>
    </row>
    <row r="90" spans="1:13" x14ac:dyDescent="0.3">
      <c r="A90" s="49">
        <v>7</v>
      </c>
      <c r="B90" t="s">
        <v>3</v>
      </c>
      <c r="C90" s="48">
        <v>7.3928571428571432</v>
      </c>
      <c r="D90" t="b">
        <f t="shared" si="3"/>
        <v>0</v>
      </c>
      <c r="E90" s="61">
        <f t="shared" si="4"/>
        <v>29</v>
      </c>
      <c r="F90" s="52"/>
      <c r="G90" s="52"/>
      <c r="H90" s="52"/>
      <c r="I90" s="52"/>
      <c r="J90" s="52"/>
      <c r="K90" s="52"/>
      <c r="L90" s="52"/>
      <c r="M90" s="52"/>
    </row>
    <row r="91" spans="1:13" x14ac:dyDescent="0.3">
      <c r="A91" s="49">
        <v>8</v>
      </c>
      <c r="B91" t="s">
        <v>288</v>
      </c>
      <c r="C91" s="48">
        <v>7.2758620689655169</v>
      </c>
      <c r="D91" t="b">
        <f t="shared" si="3"/>
        <v>0</v>
      </c>
      <c r="E91" s="61">
        <f t="shared" si="4"/>
        <v>28</v>
      </c>
      <c r="F91" s="52"/>
      <c r="G91" s="52"/>
      <c r="H91" s="52"/>
      <c r="I91" s="52"/>
      <c r="J91" s="52"/>
      <c r="K91" s="52"/>
      <c r="L91" s="52"/>
      <c r="M91" s="52"/>
    </row>
    <row r="92" spans="1:13" x14ac:dyDescent="0.3">
      <c r="A92" s="49">
        <v>9</v>
      </c>
      <c r="B92" t="s">
        <v>76</v>
      </c>
      <c r="C92" s="48">
        <v>6.833333333333333</v>
      </c>
      <c r="D92" t="b">
        <f t="shared" si="3"/>
        <v>0</v>
      </c>
      <c r="E92" s="61">
        <f t="shared" si="4"/>
        <v>27</v>
      </c>
      <c r="F92" s="52"/>
      <c r="G92" s="52"/>
      <c r="H92" s="52"/>
      <c r="I92" s="52"/>
      <c r="J92" s="52"/>
      <c r="K92" s="52"/>
      <c r="L92" s="52"/>
      <c r="M92" s="52"/>
    </row>
    <row r="93" spans="1:13" x14ac:dyDescent="0.3">
      <c r="A93" s="49">
        <v>10</v>
      </c>
      <c r="B93" t="s">
        <v>459</v>
      </c>
      <c r="C93" s="48">
        <v>6.666666666666667</v>
      </c>
      <c r="D93" t="b">
        <f t="shared" si="3"/>
        <v>0</v>
      </c>
      <c r="E93" s="61">
        <f t="shared" si="4"/>
        <v>26</v>
      </c>
      <c r="F93" s="52"/>
      <c r="G93" s="52"/>
      <c r="H93" s="52"/>
      <c r="I93" s="52"/>
      <c r="J93" s="52"/>
      <c r="K93" s="52"/>
      <c r="L93" s="52"/>
      <c r="M93" s="52"/>
    </row>
    <row r="94" spans="1:13" x14ac:dyDescent="0.3">
      <c r="A94" s="49">
        <v>11</v>
      </c>
      <c r="B94" t="s">
        <v>442</v>
      </c>
      <c r="C94" s="48">
        <v>6.56</v>
      </c>
      <c r="D94" t="b">
        <f t="shared" si="3"/>
        <v>0</v>
      </c>
      <c r="E94" s="61">
        <f t="shared" si="4"/>
        <v>25</v>
      </c>
      <c r="F94" s="52"/>
      <c r="G94" s="52"/>
      <c r="H94" s="52"/>
      <c r="I94" s="52"/>
      <c r="J94" s="52"/>
      <c r="K94" s="52"/>
      <c r="L94" s="52"/>
      <c r="M94" s="52"/>
    </row>
    <row r="95" spans="1:13" x14ac:dyDescent="0.3">
      <c r="A95" s="49">
        <v>12</v>
      </c>
      <c r="B95" t="s">
        <v>415</v>
      </c>
      <c r="C95" s="48">
        <v>6.5555555555555554</v>
      </c>
      <c r="D95" t="b">
        <f t="shared" si="3"/>
        <v>0</v>
      </c>
      <c r="E95" s="61">
        <f t="shared" si="4"/>
        <v>24</v>
      </c>
      <c r="F95" s="52"/>
      <c r="G95" s="52"/>
      <c r="H95" s="52"/>
      <c r="I95" s="52"/>
      <c r="J95" s="52"/>
      <c r="K95" s="52"/>
      <c r="L95" s="52"/>
      <c r="M95" s="52"/>
    </row>
    <row r="96" spans="1:13" x14ac:dyDescent="0.3">
      <c r="A96" s="49">
        <v>13</v>
      </c>
      <c r="B96" t="s">
        <v>140</v>
      </c>
      <c r="C96" s="48">
        <v>6.4</v>
      </c>
      <c r="D96" t="b">
        <f t="shared" si="3"/>
        <v>0</v>
      </c>
      <c r="E96" s="61">
        <f t="shared" si="4"/>
        <v>23</v>
      </c>
      <c r="F96" s="52"/>
      <c r="G96" s="52"/>
      <c r="H96" s="52"/>
      <c r="I96" s="52"/>
      <c r="J96" s="52"/>
      <c r="K96" s="52"/>
      <c r="L96" s="52"/>
      <c r="M96" s="52"/>
    </row>
    <row r="97" spans="1:13" x14ac:dyDescent="0.3">
      <c r="A97" s="49">
        <v>15</v>
      </c>
      <c r="B97" t="s">
        <v>444</v>
      </c>
      <c r="C97" s="48">
        <v>6.3571428571428568</v>
      </c>
      <c r="D97" t="b">
        <f t="shared" si="3"/>
        <v>1</v>
      </c>
      <c r="E97" s="61">
        <f t="shared" si="4"/>
        <v>21</v>
      </c>
      <c r="F97" s="52"/>
      <c r="G97" s="52"/>
      <c r="H97" s="52"/>
      <c r="I97" s="52"/>
      <c r="J97" s="52"/>
      <c r="K97" s="52"/>
      <c r="L97" s="52"/>
      <c r="M97" s="52"/>
    </row>
    <row r="98" spans="1:13" x14ac:dyDescent="0.3">
      <c r="A98" s="49">
        <v>15</v>
      </c>
      <c r="B98" t="s">
        <v>250</v>
      </c>
      <c r="C98" s="48">
        <v>6.3571428571428568</v>
      </c>
      <c r="D98" t="b">
        <f t="shared" si="3"/>
        <v>0</v>
      </c>
      <c r="E98" s="61">
        <f t="shared" si="4"/>
        <v>21</v>
      </c>
      <c r="F98" s="52"/>
      <c r="G98" s="52"/>
      <c r="H98" s="52"/>
      <c r="I98" s="52"/>
      <c r="J98" s="52"/>
      <c r="K98" s="52"/>
      <c r="L98" s="52"/>
      <c r="M98" s="52"/>
    </row>
    <row r="99" spans="1:13" x14ac:dyDescent="0.3">
      <c r="A99" s="49">
        <v>16</v>
      </c>
      <c r="B99" t="s">
        <v>449</v>
      </c>
      <c r="C99" s="48">
        <v>6.25</v>
      </c>
      <c r="D99" t="b">
        <f t="shared" si="3"/>
        <v>0</v>
      </c>
      <c r="E99" s="61">
        <f t="shared" si="4"/>
        <v>20</v>
      </c>
      <c r="F99" s="52"/>
      <c r="G99" s="52"/>
      <c r="H99" s="52"/>
      <c r="I99" s="52"/>
      <c r="J99" s="52"/>
      <c r="K99" s="52"/>
      <c r="L99" s="52"/>
      <c r="M99" s="52"/>
    </row>
    <row r="100" spans="1:13" x14ac:dyDescent="0.3">
      <c r="A100" s="49">
        <v>17</v>
      </c>
      <c r="B100" t="s">
        <v>448</v>
      </c>
      <c r="C100" s="48">
        <v>6.166666666666667</v>
      </c>
      <c r="D100" t="b">
        <f t="shared" si="3"/>
        <v>0</v>
      </c>
      <c r="E100" s="61">
        <f t="shared" si="4"/>
        <v>19</v>
      </c>
      <c r="F100" s="52"/>
      <c r="G100" s="52"/>
      <c r="H100" s="52"/>
      <c r="I100" s="52"/>
      <c r="J100" s="52"/>
      <c r="K100" s="52"/>
      <c r="L100" s="52"/>
      <c r="M100" s="52"/>
    </row>
    <row r="101" spans="1:13" x14ac:dyDescent="0.3">
      <c r="A101" s="49">
        <v>18</v>
      </c>
      <c r="B101" t="s">
        <v>450</v>
      </c>
      <c r="C101" s="48">
        <v>6.1379310344827589</v>
      </c>
      <c r="D101" t="b">
        <f t="shared" si="3"/>
        <v>0</v>
      </c>
      <c r="E101" s="61">
        <f t="shared" si="4"/>
        <v>18</v>
      </c>
      <c r="F101" s="52"/>
      <c r="G101" s="52"/>
      <c r="H101" s="52"/>
      <c r="I101" s="52"/>
      <c r="J101" s="52"/>
      <c r="K101" s="52"/>
      <c r="L101" s="52"/>
      <c r="M101" s="52"/>
    </row>
    <row r="102" spans="1:13" x14ac:dyDescent="0.3">
      <c r="A102" s="49">
        <v>19</v>
      </c>
      <c r="B102" t="s">
        <v>177</v>
      </c>
      <c r="C102" s="48">
        <v>6</v>
      </c>
      <c r="D102" t="b">
        <f t="shared" si="3"/>
        <v>0</v>
      </c>
      <c r="E102" s="61">
        <f t="shared" si="4"/>
        <v>17</v>
      </c>
      <c r="F102" s="52"/>
      <c r="G102" s="52"/>
      <c r="H102" s="52"/>
      <c r="I102" s="52"/>
      <c r="J102" s="52"/>
      <c r="K102" s="52"/>
      <c r="L102" s="52"/>
      <c r="M102" s="52"/>
    </row>
    <row r="103" spans="1:13" x14ac:dyDescent="0.3">
      <c r="A103" s="49">
        <v>20</v>
      </c>
      <c r="B103" t="s">
        <v>45</v>
      </c>
      <c r="C103" s="48">
        <v>5.8275862068965516</v>
      </c>
      <c r="D103" t="b">
        <f t="shared" si="3"/>
        <v>0</v>
      </c>
      <c r="E103" s="61">
        <f t="shared" si="4"/>
        <v>16</v>
      </c>
      <c r="F103" s="52"/>
      <c r="G103" s="52"/>
      <c r="H103" s="52"/>
      <c r="I103" s="52"/>
      <c r="J103" s="52"/>
      <c r="K103" s="52"/>
      <c r="L103" s="52"/>
      <c r="M103" s="52"/>
    </row>
    <row r="104" spans="1:13" x14ac:dyDescent="0.3">
      <c r="A104" s="49">
        <v>21</v>
      </c>
      <c r="B104" t="s">
        <v>353</v>
      </c>
      <c r="C104" s="48">
        <v>5.7142857142857144</v>
      </c>
      <c r="D104" t="b">
        <f t="shared" si="3"/>
        <v>0</v>
      </c>
      <c r="E104" s="61">
        <f t="shared" si="4"/>
        <v>15</v>
      </c>
      <c r="F104" s="52"/>
      <c r="G104" s="52"/>
      <c r="H104" s="52"/>
      <c r="I104" s="52"/>
      <c r="J104" s="52"/>
      <c r="K104" s="52"/>
      <c r="L104" s="52"/>
      <c r="M104" s="52"/>
    </row>
    <row r="105" spans="1:13" x14ac:dyDescent="0.3">
      <c r="A105" s="49">
        <v>22</v>
      </c>
      <c r="B105" t="s">
        <v>454</v>
      </c>
      <c r="C105" s="48">
        <v>5.6428571428571432</v>
      </c>
      <c r="D105" t="b">
        <f t="shared" si="3"/>
        <v>0</v>
      </c>
      <c r="E105" s="61">
        <f t="shared" si="4"/>
        <v>14</v>
      </c>
      <c r="F105" s="52"/>
      <c r="G105" s="52"/>
      <c r="H105" s="52"/>
      <c r="I105" s="52"/>
      <c r="J105" s="52"/>
      <c r="K105" s="52"/>
      <c r="L105" s="52"/>
      <c r="M105" s="52"/>
    </row>
    <row r="106" spans="1:13" x14ac:dyDescent="0.3">
      <c r="A106" s="49">
        <v>23</v>
      </c>
      <c r="B106" t="s">
        <v>451</v>
      </c>
      <c r="C106" s="48">
        <v>5.115384615384615</v>
      </c>
      <c r="D106" t="b">
        <f t="shared" si="3"/>
        <v>0</v>
      </c>
      <c r="E106" s="61">
        <f t="shared" si="4"/>
        <v>13</v>
      </c>
      <c r="F106" s="52"/>
      <c r="G106" s="52"/>
      <c r="H106" s="52"/>
      <c r="I106" s="52"/>
      <c r="J106" s="52"/>
      <c r="K106" s="52"/>
      <c r="L106" s="52"/>
      <c r="M106" s="52"/>
    </row>
    <row r="107" spans="1:13" x14ac:dyDescent="0.3">
      <c r="A107" s="49">
        <v>24</v>
      </c>
      <c r="B107" t="s">
        <v>138</v>
      </c>
      <c r="C107" s="48">
        <v>5</v>
      </c>
      <c r="D107" t="b">
        <f t="shared" si="3"/>
        <v>0</v>
      </c>
      <c r="E107" s="61">
        <f t="shared" si="4"/>
        <v>12</v>
      </c>
      <c r="F107" s="52"/>
      <c r="G107" s="52"/>
      <c r="H107" s="52"/>
      <c r="I107" s="52"/>
      <c r="J107" s="52"/>
      <c r="K107" s="52"/>
      <c r="L107" s="52"/>
      <c r="M107" s="52"/>
    </row>
    <row r="108" spans="1:13" x14ac:dyDescent="0.3">
      <c r="A108" s="49">
        <v>25</v>
      </c>
      <c r="B108" t="s">
        <v>441</v>
      </c>
      <c r="C108" s="48">
        <v>4.9333333333333336</v>
      </c>
      <c r="D108" t="b">
        <f t="shared" si="3"/>
        <v>0</v>
      </c>
      <c r="E108" s="61">
        <f t="shared" si="4"/>
        <v>11</v>
      </c>
      <c r="F108" s="52"/>
      <c r="G108" s="52"/>
      <c r="H108" s="52"/>
      <c r="I108" s="52"/>
      <c r="J108" s="52"/>
      <c r="K108" s="52"/>
      <c r="L108" s="52"/>
      <c r="M108" s="52"/>
    </row>
    <row r="109" spans="1:13" x14ac:dyDescent="0.3">
      <c r="A109" s="49">
        <v>26</v>
      </c>
      <c r="B109" t="s">
        <v>452</v>
      </c>
      <c r="C109" s="48">
        <v>4.6551724137931032</v>
      </c>
      <c r="D109" t="b">
        <f t="shared" si="3"/>
        <v>0</v>
      </c>
      <c r="E109" s="61">
        <f t="shared" si="4"/>
        <v>10</v>
      </c>
      <c r="F109" s="52"/>
      <c r="G109" s="52"/>
      <c r="H109" s="52"/>
      <c r="I109" s="52"/>
      <c r="J109" s="52"/>
      <c r="K109" s="52"/>
      <c r="L109" s="52"/>
      <c r="M109" s="52"/>
    </row>
    <row r="110" spans="1:13" x14ac:dyDescent="0.3">
      <c r="A110" s="49">
        <v>27</v>
      </c>
      <c r="B110" t="s">
        <v>456</v>
      </c>
      <c r="C110" s="48">
        <v>4.5517241379310347</v>
      </c>
      <c r="D110" t="b">
        <f t="shared" si="3"/>
        <v>0</v>
      </c>
      <c r="E110" s="61">
        <f t="shared" si="4"/>
        <v>9</v>
      </c>
      <c r="F110" s="52"/>
      <c r="G110" s="52"/>
      <c r="H110" s="52"/>
      <c r="I110" s="52"/>
      <c r="J110" s="52"/>
      <c r="K110" s="52"/>
      <c r="L110" s="52"/>
      <c r="M110" s="52"/>
    </row>
    <row r="111" spans="1:13" x14ac:dyDescent="0.3">
      <c r="A111" s="49">
        <v>28</v>
      </c>
      <c r="B111" t="s">
        <v>453</v>
      </c>
      <c r="C111" s="48">
        <v>4.4230769230769234</v>
      </c>
      <c r="D111" t="b">
        <f t="shared" si="3"/>
        <v>0</v>
      </c>
      <c r="E111" s="61">
        <f t="shared" si="4"/>
        <v>8</v>
      </c>
      <c r="F111" s="52"/>
      <c r="G111" s="52"/>
      <c r="H111" s="52"/>
      <c r="I111" s="52"/>
      <c r="J111" s="52"/>
      <c r="K111" s="52"/>
      <c r="L111" s="52"/>
      <c r="M111" s="52"/>
    </row>
    <row r="112" spans="1:13" x14ac:dyDescent="0.3">
      <c r="A112" s="49">
        <v>29</v>
      </c>
      <c r="B112" t="s">
        <v>446</v>
      </c>
      <c r="C112" s="48">
        <v>4.3043478260869561</v>
      </c>
      <c r="D112" t="b">
        <f t="shared" si="3"/>
        <v>0</v>
      </c>
      <c r="E112" s="61">
        <f t="shared" si="4"/>
        <v>7</v>
      </c>
      <c r="F112" s="52"/>
      <c r="G112" s="52"/>
      <c r="H112" s="52"/>
      <c r="I112" s="52"/>
      <c r="J112" s="52"/>
      <c r="K112" s="52"/>
      <c r="L112" s="52"/>
      <c r="M112" s="52"/>
    </row>
    <row r="113" spans="1:13" x14ac:dyDescent="0.3">
      <c r="A113" s="49">
        <v>30</v>
      </c>
      <c r="B113" t="s">
        <v>443</v>
      </c>
      <c r="C113" s="48">
        <v>3.9333333333333331</v>
      </c>
      <c r="D113" t="b">
        <f t="shared" si="3"/>
        <v>0</v>
      </c>
      <c r="E113" s="61">
        <f t="shared" si="4"/>
        <v>6</v>
      </c>
      <c r="F113" s="52"/>
      <c r="G113" s="52"/>
      <c r="H113" s="52"/>
      <c r="I113" s="52"/>
      <c r="J113" s="52"/>
      <c r="K113" s="52"/>
      <c r="L113" s="52"/>
      <c r="M113" s="52"/>
    </row>
    <row r="114" spans="1:13" x14ac:dyDescent="0.3">
      <c r="A114" s="49">
        <v>31</v>
      </c>
      <c r="B114" t="s">
        <v>447</v>
      </c>
      <c r="C114" s="48">
        <v>3.8275862068965516</v>
      </c>
      <c r="D114" t="b">
        <f t="shared" si="3"/>
        <v>0</v>
      </c>
      <c r="E114" s="61">
        <f t="shared" si="4"/>
        <v>5</v>
      </c>
      <c r="F114" s="52"/>
      <c r="G114" s="52"/>
      <c r="H114" s="52"/>
      <c r="I114" s="52"/>
      <c r="J114" s="52"/>
      <c r="K114" s="52"/>
      <c r="L114" s="52"/>
      <c r="M114" s="52"/>
    </row>
    <row r="115" spans="1:13" x14ac:dyDescent="0.3">
      <c r="A115" s="49">
        <v>32</v>
      </c>
      <c r="B115" t="s">
        <v>210</v>
      </c>
      <c r="C115" s="48">
        <v>3.7</v>
      </c>
      <c r="D115" t="b">
        <f t="shared" si="3"/>
        <v>0</v>
      </c>
      <c r="E115" s="61">
        <f t="shared" si="4"/>
        <v>4</v>
      </c>
      <c r="F115" s="52"/>
      <c r="G115" s="52"/>
      <c r="H115" s="52"/>
      <c r="I115" s="52"/>
      <c r="J115" s="52"/>
      <c r="K115" s="52"/>
      <c r="L115" s="52"/>
      <c r="M115" s="52"/>
    </row>
    <row r="116" spans="1:13" x14ac:dyDescent="0.3">
      <c r="A116" s="49">
        <v>33</v>
      </c>
      <c r="B116" t="s">
        <v>457</v>
      </c>
      <c r="C116" s="48">
        <v>3.4827586206896552</v>
      </c>
      <c r="D116" t="b">
        <f t="shared" si="3"/>
        <v>0</v>
      </c>
      <c r="E116" s="61">
        <f t="shared" si="4"/>
        <v>3</v>
      </c>
      <c r="F116" s="52"/>
      <c r="G116" s="52"/>
      <c r="H116" s="52"/>
      <c r="I116" s="52"/>
      <c r="J116" s="52"/>
      <c r="K116" s="52"/>
      <c r="L116" s="52"/>
      <c r="M116" s="52"/>
    </row>
    <row r="117" spans="1:13" x14ac:dyDescent="0.3">
      <c r="A117" s="49">
        <v>34</v>
      </c>
      <c r="B117" t="s">
        <v>187</v>
      </c>
      <c r="C117" s="48">
        <v>3.4285714285714284</v>
      </c>
      <c r="D117" t="b">
        <f t="shared" si="3"/>
        <v>0</v>
      </c>
      <c r="E117" s="61">
        <f t="shared" si="4"/>
        <v>2</v>
      </c>
      <c r="F117" s="52"/>
      <c r="G117" s="52"/>
      <c r="H117" s="52"/>
      <c r="I117" s="52"/>
      <c r="J117" s="52"/>
      <c r="K117" s="52"/>
      <c r="L117" s="52"/>
      <c r="M117" s="52"/>
    </row>
    <row r="118" spans="1:13" x14ac:dyDescent="0.3">
      <c r="A118" s="49">
        <v>35</v>
      </c>
      <c r="B118" t="s">
        <v>458</v>
      </c>
      <c r="C118" s="48">
        <v>3.2666666666666666</v>
      </c>
      <c r="D118" t="b">
        <f t="shared" si="3"/>
        <v>0</v>
      </c>
      <c r="E118" s="61">
        <f t="shared" si="4"/>
        <v>1</v>
      </c>
      <c r="F118" s="52"/>
      <c r="G118" s="52"/>
      <c r="H118" s="52"/>
      <c r="I118" s="52"/>
      <c r="J118" s="52"/>
      <c r="K118" s="52"/>
      <c r="L118" s="52"/>
      <c r="M118" s="52"/>
    </row>
    <row r="119" spans="1:13" x14ac:dyDescent="0.3">
      <c r="B119" t="s">
        <v>445</v>
      </c>
      <c r="C119" s="48">
        <v>0</v>
      </c>
      <c r="E119" s="49"/>
      <c r="F119" s="52"/>
      <c r="G119" s="52"/>
      <c r="H119" s="52"/>
      <c r="I119" s="52"/>
      <c r="J119" s="52"/>
      <c r="K119" s="52"/>
      <c r="L119" s="52"/>
      <c r="M119" s="52"/>
    </row>
    <row r="120" spans="1:13" x14ac:dyDescent="0.3">
      <c r="B120" t="s">
        <v>455</v>
      </c>
      <c r="C120" s="48">
        <v>0</v>
      </c>
      <c r="E120" s="49"/>
      <c r="F120" s="52"/>
      <c r="G120" s="52"/>
      <c r="H120" s="52"/>
      <c r="I120" s="52"/>
      <c r="J120" s="52"/>
      <c r="K120" s="52"/>
      <c r="L120" s="52"/>
      <c r="M120" s="52"/>
    </row>
    <row r="121" spans="1:13" x14ac:dyDescent="0.3">
      <c r="B121" t="s">
        <v>500</v>
      </c>
      <c r="C121" s="48">
        <v>0</v>
      </c>
      <c r="E121" s="49"/>
      <c r="F121" s="52"/>
      <c r="G121" s="52"/>
      <c r="H121" s="52"/>
      <c r="I121" s="52"/>
      <c r="J121" s="52"/>
      <c r="K121" s="52"/>
      <c r="L121" s="52"/>
      <c r="M121" s="52"/>
    </row>
    <row r="122" spans="1:13" x14ac:dyDescent="0.3">
      <c r="F122" s="52"/>
      <c r="G122" s="52"/>
      <c r="H122" s="52"/>
      <c r="I122" s="52"/>
      <c r="J122" s="52"/>
      <c r="K122" s="52"/>
      <c r="L122" s="52"/>
      <c r="M122" s="52"/>
    </row>
    <row r="123" spans="1:13" x14ac:dyDescent="0.3">
      <c r="A123">
        <v>1</v>
      </c>
      <c r="B123" t="s">
        <v>3</v>
      </c>
      <c r="C123" s="49">
        <v>0</v>
      </c>
      <c r="D123" s="43">
        <f>36-A123</f>
        <v>35</v>
      </c>
      <c r="F123" s="52"/>
      <c r="G123" s="52"/>
      <c r="H123" s="52"/>
      <c r="I123" s="52"/>
      <c r="J123" s="52"/>
      <c r="K123" s="52"/>
      <c r="L123" s="52"/>
      <c r="M123" s="52"/>
    </row>
    <row r="124" spans="1:13" x14ac:dyDescent="0.3">
      <c r="A124">
        <v>1</v>
      </c>
      <c r="B124" t="s">
        <v>187</v>
      </c>
      <c r="C124" s="49">
        <v>0</v>
      </c>
      <c r="D124" s="43">
        <f t="shared" ref="D124:D157" si="5">36-A124</f>
        <v>35</v>
      </c>
      <c r="F124" s="52"/>
      <c r="G124" s="52"/>
      <c r="H124" s="52"/>
      <c r="I124" s="52"/>
      <c r="J124" s="52"/>
      <c r="K124" s="52"/>
      <c r="L124" s="52"/>
      <c r="M124" s="52"/>
    </row>
    <row r="125" spans="1:13" x14ac:dyDescent="0.3">
      <c r="A125">
        <v>5</v>
      </c>
      <c r="B125" t="s">
        <v>76</v>
      </c>
      <c r="C125" s="49">
        <v>1</v>
      </c>
      <c r="D125" s="43">
        <f t="shared" si="5"/>
        <v>31</v>
      </c>
      <c r="F125" s="52"/>
      <c r="G125" s="52"/>
      <c r="H125" s="52"/>
      <c r="I125" s="52"/>
      <c r="J125" s="52"/>
      <c r="K125" s="52"/>
      <c r="L125" s="52"/>
      <c r="M125" s="52"/>
    </row>
    <row r="126" spans="1:13" x14ac:dyDescent="0.3">
      <c r="A126">
        <v>5</v>
      </c>
      <c r="B126" t="s">
        <v>250</v>
      </c>
      <c r="C126" s="49">
        <v>1</v>
      </c>
      <c r="D126" s="43">
        <f t="shared" si="5"/>
        <v>31</v>
      </c>
      <c r="F126" s="52"/>
      <c r="G126" s="52"/>
      <c r="H126" s="52"/>
      <c r="I126" s="52"/>
      <c r="J126" s="52"/>
      <c r="K126" s="52"/>
      <c r="L126" s="52"/>
      <c r="M126" s="52"/>
    </row>
    <row r="127" spans="1:13" x14ac:dyDescent="0.3">
      <c r="A127">
        <v>5</v>
      </c>
      <c r="B127" t="s">
        <v>140</v>
      </c>
      <c r="C127" s="49">
        <v>1</v>
      </c>
      <c r="D127" s="43">
        <f t="shared" si="5"/>
        <v>31</v>
      </c>
      <c r="F127" s="52"/>
      <c r="G127" s="52"/>
      <c r="H127" s="52"/>
      <c r="I127" s="52"/>
      <c r="J127" s="52"/>
      <c r="K127" s="52"/>
      <c r="L127" s="52"/>
      <c r="M127" s="52"/>
    </row>
    <row r="128" spans="1:13" x14ac:dyDescent="0.3">
      <c r="A128">
        <v>11</v>
      </c>
      <c r="B128" t="s">
        <v>177</v>
      </c>
      <c r="C128" s="49">
        <v>2</v>
      </c>
      <c r="D128" s="43">
        <f t="shared" si="5"/>
        <v>25</v>
      </c>
      <c r="F128" s="52"/>
      <c r="G128" s="52"/>
      <c r="H128" s="52"/>
      <c r="I128" s="52"/>
      <c r="J128" s="52"/>
      <c r="K128" s="52"/>
      <c r="L128" s="52"/>
      <c r="M128" s="52"/>
    </row>
    <row r="129" spans="1:13" x14ac:dyDescent="0.3">
      <c r="A129">
        <v>11</v>
      </c>
      <c r="B129" t="s">
        <v>441</v>
      </c>
      <c r="C129" s="49">
        <v>2</v>
      </c>
      <c r="D129" s="43">
        <f t="shared" si="5"/>
        <v>25</v>
      </c>
      <c r="F129" s="52"/>
      <c r="G129" s="52"/>
      <c r="H129" s="52"/>
      <c r="I129" s="52"/>
      <c r="J129" s="52"/>
      <c r="K129" s="52"/>
      <c r="L129" s="52"/>
      <c r="M129" s="52"/>
    </row>
    <row r="130" spans="1:13" x14ac:dyDescent="0.3">
      <c r="A130">
        <v>11</v>
      </c>
      <c r="B130" t="s">
        <v>333</v>
      </c>
      <c r="C130" s="49">
        <v>2</v>
      </c>
      <c r="D130" s="43">
        <f t="shared" si="5"/>
        <v>25</v>
      </c>
      <c r="F130" s="52"/>
      <c r="G130" s="52"/>
      <c r="H130" s="52"/>
      <c r="I130" s="52"/>
      <c r="J130" s="52"/>
      <c r="K130" s="52"/>
      <c r="L130" s="52"/>
      <c r="M130" s="52"/>
    </row>
    <row r="131" spans="1:13" x14ac:dyDescent="0.3">
      <c r="A131">
        <v>11</v>
      </c>
      <c r="B131" t="s">
        <v>451</v>
      </c>
      <c r="C131" s="49">
        <v>2</v>
      </c>
      <c r="D131" s="43">
        <f t="shared" si="5"/>
        <v>25</v>
      </c>
      <c r="F131" s="52"/>
      <c r="G131" s="52"/>
      <c r="H131" s="52"/>
      <c r="I131" s="52"/>
      <c r="J131" s="52"/>
      <c r="K131" s="52"/>
      <c r="L131" s="52"/>
      <c r="M131" s="52"/>
    </row>
    <row r="132" spans="1:13" x14ac:dyDescent="0.3">
      <c r="A132">
        <v>11</v>
      </c>
      <c r="B132" t="s">
        <v>446</v>
      </c>
      <c r="C132" s="49">
        <v>2</v>
      </c>
      <c r="D132" s="43">
        <f t="shared" si="5"/>
        <v>25</v>
      </c>
      <c r="F132" s="52"/>
      <c r="G132" s="52"/>
      <c r="H132" s="52"/>
      <c r="I132" s="52"/>
      <c r="J132" s="52"/>
      <c r="K132" s="52"/>
      <c r="L132" s="52"/>
      <c r="M132" s="52"/>
    </row>
    <row r="133" spans="1:13" x14ac:dyDescent="0.3">
      <c r="A133">
        <v>11</v>
      </c>
      <c r="B133" t="s">
        <v>304</v>
      </c>
      <c r="C133" s="49">
        <v>2</v>
      </c>
      <c r="D133" s="43">
        <f t="shared" si="5"/>
        <v>25</v>
      </c>
      <c r="F133" s="52"/>
      <c r="G133" s="52"/>
      <c r="H133" s="52"/>
      <c r="I133" s="52"/>
      <c r="J133" s="52"/>
      <c r="K133" s="52"/>
      <c r="L133" s="52"/>
      <c r="M133" s="52"/>
    </row>
    <row r="134" spans="1:13" x14ac:dyDescent="0.3">
      <c r="A134">
        <v>14</v>
      </c>
      <c r="B134" t="s">
        <v>107</v>
      </c>
      <c r="C134" s="49">
        <v>3</v>
      </c>
      <c r="D134" s="43">
        <f t="shared" si="5"/>
        <v>22</v>
      </c>
      <c r="F134" s="52"/>
      <c r="G134" s="52"/>
      <c r="H134" s="52"/>
      <c r="I134" s="52"/>
      <c r="J134" s="52"/>
      <c r="K134" s="52"/>
      <c r="L134" s="52"/>
      <c r="M134" s="52"/>
    </row>
    <row r="135" spans="1:13" x14ac:dyDescent="0.3">
      <c r="A135">
        <v>14</v>
      </c>
      <c r="B135" t="s">
        <v>385</v>
      </c>
      <c r="C135" s="49">
        <v>3</v>
      </c>
      <c r="D135" s="43">
        <f t="shared" si="5"/>
        <v>22</v>
      </c>
      <c r="F135" s="52"/>
      <c r="G135" s="52"/>
      <c r="H135" s="52"/>
      <c r="I135" s="52"/>
      <c r="J135" s="52"/>
      <c r="K135" s="52"/>
      <c r="L135" s="52"/>
      <c r="M135" s="52"/>
    </row>
    <row r="136" spans="1:13" x14ac:dyDescent="0.3">
      <c r="A136">
        <v>14</v>
      </c>
      <c r="B136" t="s">
        <v>449</v>
      </c>
      <c r="C136" s="49">
        <v>3</v>
      </c>
      <c r="D136" s="43">
        <f t="shared" si="5"/>
        <v>22</v>
      </c>
      <c r="F136" s="52"/>
      <c r="G136" s="52"/>
      <c r="H136" s="52"/>
      <c r="I136" s="52"/>
      <c r="J136" s="52"/>
      <c r="K136" s="52"/>
      <c r="L136" s="52"/>
      <c r="M136" s="52"/>
    </row>
    <row r="137" spans="1:13" x14ac:dyDescent="0.3">
      <c r="A137">
        <v>17</v>
      </c>
      <c r="B137" t="s">
        <v>448</v>
      </c>
      <c r="C137" s="49">
        <v>4</v>
      </c>
      <c r="D137" s="43">
        <f t="shared" si="5"/>
        <v>19</v>
      </c>
      <c r="F137" s="52"/>
      <c r="G137" s="52"/>
      <c r="H137" s="52"/>
      <c r="I137" s="52"/>
      <c r="J137" s="52"/>
      <c r="K137" s="52"/>
      <c r="L137" s="52"/>
      <c r="M137" s="52"/>
    </row>
    <row r="138" spans="1:13" x14ac:dyDescent="0.3">
      <c r="A138">
        <v>17</v>
      </c>
      <c r="B138" t="s">
        <v>415</v>
      </c>
      <c r="C138" s="49">
        <v>4</v>
      </c>
      <c r="D138" s="43">
        <f t="shared" si="5"/>
        <v>19</v>
      </c>
      <c r="F138" s="52"/>
      <c r="G138" s="52"/>
      <c r="H138" s="52"/>
      <c r="I138" s="52"/>
      <c r="J138" s="52"/>
      <c r="K138" s="52"/>
      <c r="L138" s="52"/>
      <c r="M138" s="52"/>
    </row>
    <row r="139" spans="1:13" x14ac:dyDescent="0.3">
      <c r="A139">
        <v>17</v>
      </c>
      <c r="B139" t="s">
        <v>454</v>
      </c>
      <c r="C139" s="49">
        <v>4</v>
      </c>
      <c r="D139" s="43">
        <f t="shared" si="5"/>
        <v>19</v>
      </c>
      <c r="F139" s="52"/>
      <c r="G139" s="52"/>
      <c r="H139" s="52"/>
      <c r="I139" s="52"/>
      <c r="J139" s="52"/>
      <c r="K139" s="52"/>
      <c r="L139" s="52"/>
      <c r="M139" s="52"/>
    </row>
    <row r="140" spans="1:13" x14ac:dyDescent="0.3">
      <c r="A140">
        <v>19</v>
      </c>
      <c r="B140" t="s">
        <v>318</v>
      </c>
      <c r="C140" s="49">
        <v>5</v>
      </c>
      <c r="D140" s="43">
        <f t="shared" si="5"/>
        <v>17</v>
      </c>
      <c r="F140" s="52"/>
      <c r="G140" s="52"/>
      <c r="H140" s="52"/>
      <c r="I140" s="52"/>
      <c r="J140" s="52"/>
      <c r="K140" s="52"/>
      <c r="L140" s="52"/>
      <c r="M140" s="52"/>
    </row>
    <row r="141" spans="1:13" x14ac:dyDescent="0.3">
      <c r="A141">
        <v>19</v>
      </c>
      <c r="B141" t="s">
        <v>459</v>
      </c>
      <c r="C141" s="49">
        <v>5</v>
      </c>
      <c r="D141" s="43">
        <f t="shared" si="5"/>
        <v>17</v>
      </c>
      <c r="F141" s="52"/>
      <c r="G141" s="52"/>
      <c r="H141" s="52"/>
      <c r="I141" s="52"/>
      <c r="J141" s="52"/>
      <c r="K141" s="52"/>
      <c r="L141" s="52"/>
      <c r="M141" s="52"/>
    </row>
    <row r="142" spans="1:13" x14ac:dyDescent="0.3">
      <c r="A142">
        <v>21</v>
      </c>
      <c r="B142" t="s">
        <v>450</v>
      </c>
      <c r="C142" s="49">
        <v>6</v>
      </c>
      <c r="D142" s="43">
        <f t="shared" si="5"/>
        <v>15</v>
      </c>
      <c r="F142" s="52"/>
      <c r="G142" s="52"/>
      <c r="H142" s="52"/>
      <c r="I142" s="52"/>
      <c r="J142" s="52"/>
      <c r="K142" s="52"/>
      <c r="L142" s="52"/>
      <c r="M142" s="52"/>
    </row>
    <row r="143" spans="1:13" x14ac:dyDescent="0.3">
      <c r="A143">
        <v>21</v>
      </c>
      <c r="B143" t="s">
        <v>453</v>
      </c>
      <c r="C143" s="49">
        <v>6</v>
      </c>
      <c r="D143" s="43">
        <f t="shared" si="5"/>
        <v>15</v>
      </c>
      <c r="F143" s="52"/>
      <c r="G143" s="52"/>
      <c r="H143" s="52"/>
      <c r="I143" s="52"/>
      <c r="J143" s="52"/>
      <c r="K143" s="52"/>
      <c r="L143" s="52"/>
      <c r="M143" s="52"/>
    </row>
    <row r="144" spans="1:13" x14ac:dyDescent="0.3">
      <c r="A144">
        <v>24</v>
      </c>
      <c r="B144" t="s">
        <v>288</v>
      </c>
      <c r="C144" s="49">
        <v>7</v>
      </c>
      <c r="D144" s="43">
        <f t="shared" si="5"/>
        <v>12</v>
      </c>
      <c r="F144" s="52"/>
      <c r="G144" s="52"/>
      <c r="H144" s="52"/>
      <c r="I144" s="52"/>
      <c r="J144" s="52"/>
      <c r="K144" s="52"/>
      <c r="L144" s="52"/>
      <c r="M144" s="52"/>
    </row>
    <row r="145" spans="1:13" x14ac:dyDescent="0.3">
      <c r="A145">
        <v>24</v>
      </c>
      <c r="B145" t="s">
        <v>45</v>
      </c>
      <c r="C145" s="49">
        <v>7</v>
      </c>
      <c r="D145" s="43">
        <f t="shared" si="5"/>
        <v>12</v>
      </c>
      <c r="F145" s="52"/>
      <c r="G145" s="52"/>
      <c r="H145" s="52"/>
      <c r="I145" s="52"/>
      <c r="J145" s="52"/>
      <c r="K145" s="52"/>
      <c r="L145" s="52"/>
      <c r="M145" s="52"/>
    </row>
    <row r="146" spans="1:13" x14ac:dyDescent="0.3">
      <c r="A146">
        <v>24</v>
      </c>
      <c r="B146" t="s">
        <v>353</v>
      </c>
      <c r="C146" s="49">
        <v>7</v>
      </c>
      <c r="D146" s="43">
        <f t="shared" si="5"/>
        <v>12</v>
      </c>
      <c r="F146" s="52"/>
      <c r="G146" s="52"/>
      <c r="H146" s="52"/>
      <c r="I146" s="52"/>
      <c r="J146" s="52"/>
      <c r="K146" s="52"/>
      <c r="L146" s="52"/>
      <c r="M146" s="52"/>
    </row>
    <row r="147" spans="1:13" x14ac:dyDescent="0.3">
      <c r="A147">
        <v>27</v>
      </c>
      <c r="B147" t="s">
        <v>444</v>
      </c>
      <c r="C147" s="49">
        <v>8</v>
      </c>
      <c r="D147" s="43">
        <f t="shared" si="5"/>
        <v>9</v>
      </c>
      <c r="F147" s="52"/>
      <c r="G147" s="52"/>
      <c r="H147" s="52"/>
      <c r="I147" s="52"/>
      <c r="J147" s="52"/>
      <c r="K147" s="52"/>
      <c r="L147" s="52"/>
      <c r="M147" s="52"/>
    </row>
    <row r="148" spans="1:13" x14ac:dyDescent="0.3">
      <c r="A148">
        <v>27</v>
      </c>
      <c r="B148" t="s">
        <v>138</v>
      </c>
      <c r="C148" s="49">
        <v>8</v>
      </c>
      <c r="D148" s="43">
        <f t="shared" si="5"/>
        <v>9</v>
      </c>
      <c r="F148" s="52"/>
      <c r="G148" s="52"/>
      <c r="H148" s="52"/>
      <c r="I148" s="52"/>
      <c r="J148" s="52"/>
      <c r="K148" s="52"/>
      <c r="L148" s="52"/>
      <c r="M148" s="52"/>
    </row>
    <row r="149" spans="1:13" x14ac:dyDescent="0.3">
      <c r="A149">
        <v>27</v>
      </c>
      <c r="B149" t="s">
        <v>447</v>
      </c>
      <c r="C149" s="49">
        <v>8</v>
      </c>
      <c r="D149" s="43">
        <f t="shared" si="5"/>
        <v>9</v>
      </c>
      <c r="F149" s="52"/>
      <c r="G149" s="52"/>
      <c r="H149" s="52"/>
      <c r="I149" s="52"/>
      <c r="J149" s="52"/>
      <c r="K149" s="52"/>
      <c r="L149" s="52"/>
      <c r="M149" s="52"/>
    </row>
    <row r="150" spans="1:13" x14ac:dyDescent="0.3">
      <c r="A150">
        <v>29</v>
      </c>
      <c r="B150" t="s">
        <v>210</v>
      </c>
      <c r="C150" s="49">
        <v>9</v>
      </c>
      <c r="D150" s="43">
        <f t="shared" si="5"/>
        <v>7</v>
      </c>
      <c r="F150" s="52"/>
      <c r="G150" s="52"/>
      <c r="H150" s="52"/>
      <c r="I150" s="52"/>
      <c r="J150" s="52"/>
      <c r="K150" s="52"/>
      <c r="L150" s="52"/>
      <c r="M150" s="52"/>
    </row>
    <row r="151" spans="1:13" x14ac:dyDescent="0.3">
      <c r="A151">
        <v>29</v>
      </c>
      <c r="B151" t="s">
        <v>456</v>
      </c>
      <c r="C151" s="49">
        <v>9</v>
      </c>
      <c r="D151" s="43">
        <f t="shared" si="5"/>
        <v>7</v>
      </c>
      <c r="F151" s="52"/>
      <c r="G151" s="52"/>
      <c r="H151" s="52"/>
      <c r="I151" s="52"/>
      <c r="J151" s="52"/>
      <c r="K151" s="52"/>
      <c r="L151" s="52"/>
      <c r="M151" s="52"/>
    </row>
    <row r="152" spans="1:13" x14ac:dyDescent="0.3">
      <c r="A152">
        <v>30</v>
      </c>
      <c r="B152" t="s">
        <v>442</v>
      </c>
      <c r="C152" s="49">
        <v>10</v>
      </c>
      <c r="D152" s="43">
        <f t="shared" si="5"/>
        <v>6</v>
      </c>
      <c r="F152" s="52"/>
      <c r="G152" s="52"/>
      <c r="H152" s="52"/>
      <c r="I152" s="52"/>
      <c r="J152" s="52"/>
      <c r="K152" s="52"/>
      <c r="L152" s="52"/>
      <c r="M152" s="52"/>
    </row>
    <row r="153" spans="1:13" x14ac:dyDescent="0.3">
      <c r="A153">
        <v>31</v>
      </c>
      <c r="B153" t="s">
        <v>235</v>
      </c>
      <c r="C153" s="49">
        <v>14</v>
      </c>
      <c r="D153" s="43">
        <f t="shared" si="5"/>
        <v>5</v>
      </c>
      <c r="F153" s="52"/>
      <c r="G153" s="52"/>
      <c r="H153" s="52"/>
      <c r="I153" s="52"/>
      <c r="J153" s="52"/>
      <c r="K153" s="52"/>
      <c r="L153" s="52"/>
      <c r="M153" s="52"/>
    </row>
    <row r="154" spans="1:13" x14ac:dyDescent="0.3">
      <c r="A154">
        <v>32</v>
      </c>
      <c r="B154" t="s">
        <v>452</v>
      </c>
      <c r="C154" s="49">
        <v>15</v>
      </c>
      <c r="D154" s="43">
        <f t="shared" si="5"/>
        <v>4</v>
      </c>
      <c r="F154" s="52"/>
      <c r="G154" s="52"/>
      <c r="H154" s="52"/>
      <c r="I154" s="52"/>
      <c r="J154" s="52"/>
      <c r="K154" s="52"/>
      <c r="L154" s="52"/>
      <c r="M154" s="52"/>
    </row>
    <row r="155" spans="1:13" x14ac:dyDescent="0.3">
      <c r="A155">
        <v>34</v>
      </c>
      <c r="B155" t="s">
        <v>443</v>
      </c>
      <c r="C155" s="49">
        <v>22</v>
      </c>
      <c r="D155" s="43">
        <f t="shared" si="5"/>
        <v>2</v>
      </c>
      <c r="F155" s="52"/>
      <c r="G155" s="52"/>
      <c r="H155" s="52"/>
      <c r="I155" s="52"/>
      <c r="J155" s="52"/>
      <c r="K155" s="52"/>
      <c r="L155" s="52"/>
      <c r="M155" s="52"/>
    </row>
    <row r="156" spans="1:13" x14ac:dyDescent="0.3">
      <c r="A156">
        <v>34</v>
      </c>
      <c r="B156" t="s">
        <v>457</v>
      </c>
      <c r="C156" s="49">
        <v>22</v>
      </c>
      <c r="D156" s="43">
        <f t="shared" si="5"/>
        <v>2</v>
      </c>
      <c r="F156" s="52"/>
      <c r="G156" s="52"/>
      <c r="H156" s="52"/>
      <c r="I156" s="52"/>
      <c r="J156" s="52"/>
      <c r="K156" s="52"/>
      <c r="L156" s="52"/>
      <c r="M156" s="52"/>
    </row>
    <row r="157" spans="1:13" x14ac:dyDescent="0.3">
      <c r="A157">
        <v>35</v>
      </c>
      <c r="B157" t="s">
        <v>458</v>
      </c>
      <c r="C157" s="49">
        <v>26</v>
      </c>
      <c r="D157" s="43">
        <f t="shared" si="5"/>
        <v>1</v>
      </c>
      <c r="F157" s="52"/>
      <c r="G157" s="52"/>
      <c r="H157" s="52"/>
      <c r="I157" s="52"/>
      <c r="J157" s="52"/>
      <c r="K157" s="52"/>
      <c r="L157" s="52"/>
      <c r="M157" s="52"/>
    </row>
    <row r="158" spans="1:13" x14ac:dyDescent="0.3">
      <c r="B158" t="s">
        <v>445</v>
      </c>
      <c r="C158" s="49"/>
      <c r="F158" s="52"/>
      <c r="G158" s="52"/>
      <c r="H158" s="52"/>
      <c r="I158" s="52"/>
      <c r="J158" s="52"/>
      <c r="K158" s="52"/>
      <c r="L158" s="52"/>
      <c r="M158" s="52"/>
    </row>
    <row r="159" spans="1:13" x14ac:dyDescent="0.3">
      <c r="B159" t="s">
        <v>455</v>
      </c>
      <c r="C159" s="49"/>
      <c r="F159" s="52"/>
      <c r="G159" s="52"/>
      <c r="H159" s="52"/>
      <c r="I159" s="52"/>
      <c r="J159" s="52"/>
      <c r="K159" s="52"/>
      <c r="L159" s="52"/>
      <c r="M159" s="52"/>
    </row>
    <row r="160" spans="1:13" x14ac:dyDescent="0.3">
      <c r="B160" t="s">
        <v>500</v>
      </c>
      <c r="C160" s="49"/>
      <c r="F160" s="52"/>
      <c r="G160" s="52"/>
      <c r="H160" s="52"/>
      <c r="I160" s="52"/>
      <c r="J160" s="52"/>
      <c r="K160" s="52"/>
      <c r="L160" s="52"/>
      <c r="M160" s="52"/>
    </row>
    <row r="163" spans="2:13" x14ac:dyDescent="0.3">
      <c r="B163" t="s">
        <v>445</v>
      </c>
      <c r="C163" s="49">
        <v>0</v>
      </c>
      <c r="D163" s="53"/>
      <c r="F163" s="52"/>
      <c r="G163" s="52"/>
      <c r="H163" s="52"/>
      <c r="I163" s="52"/>
      <c r="J163" s="52"/>
      <c r="K163" s="52"/>
      <c r="L163" s="52"/>
      <c r="M163" s="52"/>
    </row>
    <row r="164" spans="2:13" x14ac:dyDescent="0.3">
      <c r="B164" t="s">
        <v>455</v>
      </c>
      <c r="C164" s="49">
        <v>0</v>
      </c>
      <c r="D164" s="53"/>
      <c r="F164" s="52"/>
      <c r="G164" s="52"/>
      <c r="H164" s="52"/>
      <c r="I164" s="52"/>
      <c r="J164" s="52"/>
      <c r="K164" s="52"/>
      <c r="L164" s="52"/>
      <c r="M164" s="52"/>
    </row>
    <row r="165" spans="2:13" x14ac:dyDescent="0.3">
      <c r="B165" t="s">
        <v>500</v>
      </c>
      <c r="C165" s="49">
        <v>0</v>
      </c>
      <c r="D165" s="53"/>
      <c r="F165" s="52"/>
      <c r="G165" s="52"/>
      <c r="H165" s="52"/>
      <c r="I165" s="52"/>
      <c r="J165" s="52"/>
      <c r="K165" s="52"/>
      <c r="L165" s="52"/>
      <c r="M165" s="52"/>
    </row>
    <row r="166" spans="2:13" x14ac:dyDescent="0.3">
      <c r="B166" t="s">
        <v>458</v>
      </c>
      <c r="C166" s="49">
        <v>301.32402777777776</v>
      </c>
      <c r="D166" s="53"/>
      <c r="F166" s="52"/>
      <c r="G166" s="52"/>
      <c r="H166" s="52"/>
      <c r="I166" s="52"/>
      <c r="J166" s="52"/>
      <c r="K166" s="52"/>
      <c r="L166" s="52"/>
      <c r="M166" s="52"/>
    </row>
    <row r="167" spans="2:13" x14ac:dyDescent="0.3">
      <c r="B167" t="s">
        <v>443</v>
      </c>
      <c r="C167" s="49">
        <v>1215.6089722222221</v>
      </c>
      <c r="D167" s="53"/>
      <c r="F167" s="52"/>
      <c r="G167" s="52"/>
      <c r="H167" s="52"/>
      <c r="I167" s="52"/>
      <c r="J167" s="52"/>
      <c r="K167" s="52"/>
      <c r="L167" s="52"/>
      <c r="M167" s="52"/>
    </row>
    <row r="168" spans="2:13" x14ac:dyDescent="0.3">
      <c r="B168" t="s">
        <v>452</v>
      </c>
      <c r="C168" s="49">
        <v>2006.7844827586205</v>
      </c>
      <c r="D168" s="53"/>
      <c r="F168" s="52"/>
      <c r="G168" s="52"/>
      <c r="H168" s="52"/>
      <c r="I168" s="52"/>
      <c r="J168" s="52"/>
      <c r="K168" s="52"/>
      <c r="L168" s="52"/>
      <c r="M168" s="52"/>
    </row>
    <row r="169" spans="2:13" x14ac:dyDescent="0.3">
      <c r="B169" t="s">
        <v>447</v>
      </c>
      <c r="C169" s="49">
        <v>2099.0719827586208</v>
      </c>
      <c r="D169" s="53"/>
      <c r="F169" s="52"/>
      <c r="G169" s="52"/>
      <c r="H169" s="52"/>
      <c r="I169" s="52"/>
      <c r="J169" s="52"/>
      <c r="K169" s="52"/>
      <c r="L169" s="52"/>
      <c r="M169" s="52"/>
    </row>
    <row r="170" spans="2:13" x14ac:dyDescent="0.3">
      <c r="B170" t="s">
        <v>210</v>
      </c>
      <c r="C170" s="49">
        <v>2769.8313611111107</v>
      </c>
      <c r="D170" s="53"/>
      <c r="F170" s="52"/>
      <c r="G170" s="52"/>
      <c r="H170" s="52"/>
      <c r="I170" s="52"/>
      <c r="J170" s="52"/>
      <c r="K170" s="52"/>
      <c r="L170" s="52"/>
      <c r="M170" s="52"/>
    </row>
    <row r="171" spans="2:13" x14ac:dyDescent="0.3">
      <c r="B171" t="s">
        <v>457</v>
      </c>
      <c r="C171" s="49">
        <v>3332.6196551724142</v>
      </c>
      <c r="D171" s="53"/>
      <c r="F171" s="52"/>
      <c r="G171" s="52"/>
      <c r="H171" s="52"/>
      <c r="I171" s="52"/>
      <c r="J171" s="52"/>
      <c r="K171" s="52"/>
      <c r="L171" s="52"/>
      <c r="M171" s="52"/>
    </row>
    <row r="172" spans="2:13" x14ac:dyDescent="0.3">
      <c r="B172" t="s">
        <v>187</v>
      </c>
      <c r="C172" s="49">
        <v>3355.883928571428</v>
      </c>
      <c r="D172" s="53"/>
      <c r="F172" s="52"/>
      <c r="G172" s="52"/>
      <c r="H172" s="52"/>
      <c r="I172" s="52"/>
      <c r="J172" s="52"/>
      <c r="K172" s="52"/>
      <c r="L172" s="52"/>
      <c r="M172" s="52"/>
    </row>
    <row r="173" spans="2:13" x14ac:dyDescent="0.3">
      <c r="B173" t="s">
        <v>451</v>
      </c>
      <c r="C173" s="49">
        <v>3655.7755128205131</v>
      </c>
      <c r="D173" s="53"/>
      <c r="F173" s="52"/>
      <c r="G173" s="52"/>
      <c r="H173" s="52"/>
      <c r="I173" s="52"/>
      <c r="J173" s="52"/>
      <c r="K173" s="52"/>
      <c r="L173" s="52"/>
      <c r="M173" s="52"/>
    </row>
    <row r="174" spans="2:13" x14ac:dyDescent="0.3">
      <c r="B174" t="s">
        <v>235</v>
      </c>
      <c r="C174" s="49">
        <v>3869.7260277777777</v>
      </c>
      <c r="D174" s="53"/>
      <c r="F174" s="52"/>
      <c r="G174" s="52"/>
      <c r="H174" s="52"/>
      <c r="I174" s="52"/>
      <c r="J174" s="52"/>
      <c r="K174" s="52"/>
      <c r="L174" s="52"/>
      <c r="M174" s="52"/>
    </row>
    <row r="175" spans="2:13" x14ac:dyDescent="0.3">
      <c r="B175" t="s">
        <v>453</v>
      </c>
      <c r="C175" s="49">
        <v>4237.8200320512824</v>
      </c>
      <c r="D175" s="53"/>
      <c r="F175" s="52"/>
      <c r="G175" s="52"/>
      <c r="H175" s="52"/>
      <c r="I175" s="52"/>
      <c r="J175" s="52"/>
      <c r="K175" s="52"/>
      <c r="L175" s="52"/>
      <c r="M175" s="52"/>
    </row>
    <row r="176" spans="2:13" x14ac:dyDescent="0.3">
      <c r="B176" t="s">
        <v>304</v>
      </c>
      <c r="C176" s="49">
        <v>4439.0219907407409</v>
      </c>
      <c r="D176" s="53"/>
      <c r="F176" s="52"/>
      <c r="G176" s="52"/>
      <c r="H176" s="52"/>
      <c r="I176" s="52"/>
      <c r="J176" s="52"/>
      <c r="K176" s="52"/>
      <c r="L176" s="52"/>
      <c r="M176" s="52"/>
    </row>
    <row r="177" spans="2:13" x14ac:dyDescent="0.3">
      <c r="B177" t="s">
        <v>441</v>
      </c>
      <c r="C177" s="49">
        <v>4809.5549999999985</v>
      </c>
      <c r="D177" s="53"/>
      <c r="F177" s="52"/>
      <c r="G177" s="52"/>
      <c r="H177" s="52"/>
      <c r="I177" s="52"/>
      <c r="J177" s="52"/>
      <c r="K177" s="52"/>
      <c r="L177" s="52"/>
      <c r="M177" s="52"/>
    </row>
    <row r="178" spans="2:13" x14ac:dyDescent="0.3">
      <c r="B178" t="s">
        <v>446</v>
      </c>
      <c r="C178" s="49">
        <v>5187.0457246376809</v>
      </c>
      <c r="D178" s="53"/>
      <c r="F178" s="52"/>
      <c r="G178" s="52"/>
      <c r="H178" s="52"/>
      <c r="I178" s="52"/>
      <c r="J178" s="52"/>
      <c r="K178" s="52"/>
      <c r="L178" s="52"/>
      <c r="M178" s="52"/>
    </row>
    <row r="179" spans="2:13" x14ac:dyDescent="0.3">
      <c r="B179" t="s">
        <v>450</v>
      </c>
      <c r="C179" s="49">
        <v>5274.1465517241386</v>
      </c>
      <c r="D179" s="53"/>
      <c r="F179" s="52"/>
      <c r="G179" s="52"/>
      <c r="H179" s="52"/>
      <c r="I179" s="52"/>
      <c r="J179" s="52"/>
      <c r="K179" s="52"/>
      <c r="L179" s="52"/>
      <c r="M179" s="52"/>
    </row>
    <row r="180" spans="2:13" x14ac:dyDescent="0.3">
      <c r="B180" t="s">
        <v>177</v>
      </c>
      <c r="C180" s="49">
        <v>6373.2588888888868</v>
      </c>
      <c r="D180" s="53"/>
      <c r="F180" s="52"/>
      <c r="G180" s="52"/>
      <c r="H180" s="52"/>
      <c r="I180" s="52"/>
      <c r="J180" s="52"/>
      <c r="K180" s="52"/>
      <c r="L180" s="52"/>
      <c r="M180" s="52"/>
    </row>
    <row r="181" spans="2:13" x14ac:dyDescent="0.3">
      <c r="B181" t="s">
        <v>444</v>
      </c>
      <c r="C181" s="49">
        <v>6745.8043452380953</v>
      </c>
      <c r="D181" s="53"/>
      <c r="F181" s="52"/>
      <c r="G181" s="52"/>
      <c r="H181" s="52"/>
      <c r="I181" s="52"/>
      <c r="J181" s="52"/>
      <c r="K181" s="52"/>
      <c r="L181" s="52"/>
      <c r="M181" s="52"/>
    </row>
    <row r="182" spans="2:13" x14ac:dyDescent="0.3">
      <c r="B182" t="s">
        <v>454</v>
      </c>
      <c r="C182" s="49">
        <v>6754.4303571428545</v>
      </c>
      <c r="D182" s="53"/>
      <c r="F182" s="52"/>
      <c r="G182" s="52"/>
      <c r="H182" s="52"/>
      <c r="I182" s="52"/>
      <c r="J182" s="52"/>
      <c r="K182" s="52"/>
      <c r="L182" s="52"/>
      <c r="M182" s="52"/>
    </row>
    <row r="183" spans="2:13" x14ac:dyDescent="0.3">
      <c r="B183" t="s">
        <v>448</v>
      </c>
      <c r="C183" s="49">
        <v>6968.4734027777777</v>
      </c>
      <c r="D183" s="53"/>
      <c r="F183" s="52"/>
      <c r="G183" s="52"/>
      <c r="H183" s="52"/>
      <c r="I183" s="52"/>
      <c r="J183" s="52"/>
      <c r="K183" s="52"/>
      <c r="L183" s="52"/>
      <c r="M183" s="52"/>
    </row>
    <row r="184" spans="2:13" x14ac:dyDescent="0.3">
      <c r="B184" t="s">
        <v>353</v>
      </c>
      <c r="C184" s="49">
        <v>7024.084404761903</v>
      </c>
      <c r="D184" s="53"/>
      <c r="F184" s="52"/>
      <c r="G184" s="52"/>
      <c r="H184" s="52"/>
      <c r="I184" s="52"/>
      <c r="J184" s="52"/>
      <c r="K184" s="52"/>
      <c r="L184" s="52"/>
      <c r="M184" s="52"/>
    </row>
    <row r="185" spans="2:13" x14ac:dyDescent="0.3">
      <c r="B185" t="s">
        <v>318</v>
      </c>
      <c r="C185" s="49">
        <v>7261.4848611111111</v>
      </c>
      <c r="D185" s="53"/>
      <c r="F185" s="52"/>
      <c r="G185" s="52"/>
      <c r="H185" s="52"/>
      <c r="I185" s="52"/>
      <c r="J185" s="52"/>
      <c r="K185" s="52"/>
      <c r="L185" s="52"/>
      <c r="M185" s="52"/>
    </row>
    <row r="186" spans="2:13" x14ac:dyDescent="0.3">
      <c r="B186" t="s">
        <v>138</v>
      </c>
      <c r="C186" s="49">
        <v>8226.7181111111113</v>
      </c>
      <c r="D186" s="53"/>
      <c r="F186" s="52"/>
      <c r="G186" s="52"/>
      <c r="H186" s="52"/>
      <c r="I186" s="52"/>
      <c r="J186" s="52"/>
      <c r="K186" s="52"/>
      <c r="L186" s="52"/>
      <c r="M186" s="52"/>
    </row>
    <row r="187" spans="2:13" x14ac:dyDescent="0.3">
      <c r="B187" t="s">
        <v>3</v>
      </c>
      <c r="C187" s="49">
        <v>8509.7649107142861</v>
      </c>
      <c r="D187" s="53"/>
      <c r="F187" s="52"/>
      <c r="G187" s="52"/>
      <c r="H187" s="52"/>
      <c r="I187" s="52"/>
      <c r="J187" s="52"/>
      <c r="K187" s="52"/>
      <c r="L187" s="52"/>
      <c r="M187" s="52"/>
    </row>
    <row r="188" spans="2:13" x14ac:dyDescent="0.3">
      <c r="B188" t="s">
        <v>250</v>
      </c>
      <c r="C188" s="49">
        <v>8654.14857142857</v>
      </c>
      <c r="D188" s="53"/>
      <c r="F188" s="52"/>
      <c r="G188" s="52"/>
      <c r="H188" s="52"/>
      <c r="I188" s="52"/>
      <c r="J188" s="52"/>
      <c r="K188" s="52"/>
      <c r="L188" s="52"/>
      <c r="M188" s="52"/>
    </row>
    <row r="189" spans="2:13" x14ac:dyDescent="0.3">
      <c r="B189" t="s">
        <v>385</v>
      </c>
      <c r="C189" s="49">
        <v>8740.4684523809519</v>
      </c>
      <c r="D189" s="53"/>
      <c r="F189" s="52"/>
      <c r="G189" s="52"/>
      <c r="H189" s="52"/>
      <c r="I189" s="52"/>
      <c r="J189" s="52"/>
      <c r="K189" s="52"/>
      <c r="L189" s="52"/>
      <c r="M189" s="52"/>
    </row>
    <row r="190" spans="2:13" x14ac:dyDescent="0.3">
      <c r="B190" t="s">
        <v>333</v>
      </c>
      <c r="C190" s="49">
        <v>9145.1447839506181</v>
      </c>
      <c r="D190" s="53"/>
      <c r="F190" s="52"/>
      <c r="G190" s="52"/>
      <c r="H190" s="52"/>
      <c r="I190" s="52"/>
      <c r="J190" s="52"/>
      <c r="K190" s="52"/>
      <c r="L190" s="52"/>
      <c r="M190" s="52"/>
    </row>
    <row r="191" spans="2:13" x14ac:dyDescent="0.3">
      <c r="B191" t="s">
        <v>449</v>
      </c>
      <c r="C191" s="49">
        <v>9184.3301488095258</v>
      </c>
      <c r="D191" s="53"/>
      <c r="F191" s="52"/>
      <c r="G191" s="52"/>
      <c r="H191" s="52"/>
      <c r="I191" s="52"/>
      <c r="J191" s="52"/>
      <c r="K191" s="52"/>
      <c r="L191" s="52"/>
      <c r="M191" s="52"/>
    </row>
    <row r="192" spans="2:13" x14ac:dyDescent="0.3">
      <c r="B192" t="s">
        <v>288</v>
      </c>
      <c r="C192" s="49">
        <v>9421.012270114943</v>
      </c>
      <c r="D192" s="53"/>
      <c r="F192" s="52"/>
      <c r="G192" s="52"/>
      <c r="H192" s="52"/>
      <c r="I192" s="52"/>
      <c r="J192" s="52"/>
      <c r="K192" s="52"/>
      <c r="L192" s="52"/>
      <c r="M192" s="52"/>
    </row>
    <row r="193" spans="1:13" x14ac:dyDescent="0.3">
      <c r="B193" t="s">
        <v>459</v>
      </c>
      <c r="C193" s="49">
        <v>9451.9023888888896</v>
      </c>
      <c r="D193" s="53"/>
      <c r="F193" s="52"/>
      <c r="G193" s="52"/>
      <c r="H193" s="52"/>
      <c r="I193" s="52"/>
      <c r="J193" s="52"/>
      <c r="K193" s="52"/>
      <c r="L193" s="52"/>
      <c r="M193" s="52"/>
    </row>
    <row r="194" spans="1:13" x14ac:dyDescent="0.3">
      <c r="B194" t="s">
        <v>140</v>
      </c>
      <c r="C194" s="49">
        <v>12131.860972222221</v>
      </c>
      <c r="D194" s="53"/>
      <c r="F194" s="52"/>
      <c r="G194" s="52"/>
      <c r="H194" s="52"/>
      <c r="I194" s="52"/>
      <c r="J194" s="52"/>
      <c r="K194" s="52"/>
      <c r="L194" s="52"/>
      <c r="M194" s="52"/>
    </row>
    <row r="195" spans="1:13" x14ac:dyDescent="0.3">
      <c r="B195" t="s">
        <v>442</v>
      </c>
      <c r="C195" s="49">
        <v>14076.754433333332</v>
      </c>
      <c r="D195" s="53"/>
      <c r="F195" s="52"/>
      <c r="G195" s="52"/>
      <c r="H195" s="52"/>
      <c r="I195" s="52"/>
      <c r="J195" s="52"/>
      <c r="K195" s="52"/>
      <c r="L195" s="52"/>
      <c r="M195" s="52"/>
    </row>
    <row r="196" spans="1:13" x14ac:dyDescent="0.3">
      <c r="B196" t="s">
        <v>45</v>
      </c>
      <c r="C196" s="49">
        <v>15310.844109195406</v>
      </c>
      <c r="D196" s="53"/>
      <c r="F196" s="52"/>
      <c r="G196" s="52"/>
      <c r="H196" s="52"/>
      <c r="I196" s="52"/>
      <c r="J196" s="52"/>
      <c r="K196" s="52"/>
      <c r="L196" s="52"/>
      <c r="M196" s="52"/>
    </row>
    <row r="197" spans="1:13" x14ac:dyDescent="0.3">
      <c r="B197" t="s">
        <v>76</v>
      </c>
      <c r="C197" s="49">
        <v>16195.718083333331</v>
      </c>
      <c r="D197" s="53"/>
      <c r="F197" s="52"/>
      <c r="G197" s="52"/>
      <c r="H197" s="52"/>
      <c r="I197" s="52"/>
      <c r="J197" s="52"/>
      <c r="K197" s="52"/>
      <c r="L197" s="52"/>
      <c r="M197" s="52"/>
    </row>
    <row r="198" spans="1:13" x14ac:dyDescent="0.3">
      <c r="B198" t="s">
        <v>415</v>
      </c>
      <c r="C198" s="49">
        <v>21686.197561728393</v>
      </c>
      <c r="D198" s="53"/>
      <c r="F198" s="52"/>
      <c r="G198" s="52"/>
      <c r="H198" s="52"/>
      <c r="I198" s="52"/>
      <c r="J198" s="52"/>
      <c r="K198" s="52"/>
      <c r="L198" s="52"/>
      <c r="M198" s="52"/>
    </row>
    <row r="199" spans="1:13" x14ac:dyDescent="0.3">
      <c r="B199" t="s">
        <v>456</v>
      </c>
      <c r="C199" s="49">
        <v>39105.942701149419</v>
      </c>
      <c r="D199" s="53"/>
      <c r="F199" s="52"/>
      <c r="G199" s="52"/>
      <c r="H199" s="52"/>
      <c r="I199" s="52"/>
      <c r="J199" s="52"/>
      <c r="K199" s="52"/>
      <c r="L199" s="52"/>
      <c r="M199" s="52"/>
    </row>
    <row r="200" spans="1:13" x14ac:dyDescent="0.3">
      <c r="B200" t="s">
        <v>107</v>
      </c>
      <c r="C200" s="49">
        <v>42399.069827586209</v>
      </c>
      <c r="D200" s="53"/>
      <c r="F200" s="52"/>
      <c r="G200" s="52"/>
      <c r="H200" s="52"/>
      <c r="I200" s="52"/>
      <c r="J200" s="52"/>
      <c r="K200" s="52"/>
      <c r="L200" s="52"/>
      <c r="M200" s="52"/>
    </row>
    <row r="203" spans="1:13" x14ac:dyDescent="0.3">
      <c r="B203" t="s">
        <v>445</v>
      </c>
      <c r="C203" s="53">
        <v>0</v>
      </c>
      <c r="F203" s="52"/>
      <c r="G203" s="52"/>
      <c r="H203" s="52"/>
      <c r="I203" s="52"/>
      <c r="J203" s="52"/>
      <c r="K203" s="52"/>
      <c r="L203" s="52"/>
      <c r="M203" s="52"/>
    </row>
    <row r="204" spans="1:13" x14ac:dyDescent="0.3">
      <c r="B204" t="s">
        <v>455</v>
      </c>
      <c r="C204" s="53">
        <v>0</v>
      </c>
      <c r="F204" s="52"/>
      <c r="G204" s="52"/>
      <c r="H204" s="52"/>
      <c r="I204" s="52"/>
      <c r="J204" s="52"/>
      <c r="K204" s="52"/>
      <c r="L204" s="52"/>
      <c r="M204" s="52"/>
    </row>
    <row r="205" spans="1:13" x14ac:dyDescent="0.3">
      <c r="B205" t="s">
        <v>500</v>
      </c>
      <c r="C205" s="53">
        <v>0</v>
      </c>
      <c r="F205" s="52"/>
      <c r="G205" s="52"/>
      <c r="H205" s="52"/>
      <c r="I205" s="52"/>
      <c r="J205" s="52"/>
      <c r="K205" s="52"/>
      <c r="L205" s="52"/>
      <c r="M205" s="52"/>
    </row>
    <row r="206" spans="1:13" x14ac:dyDescent="0.3">
      <c r="A206">
        <v>35</v>
      </c>
      <c r="B206" t="s">
        <v>458</v>
      </c>
      <c r="C206" s="53">
        <v>1179.9069444444442</v>
      </c>
      <c r="D206">
        <f>36-A206</f>
        <v>1</v>
      </c>
      <c r="F206" s="52"/>
      <c r="G206" s="52"/>
      <c r="H206" s="52"/>
      <c r="I206" s="52"/>
      <c r="J206" s="52"/>
      <c r="K206" s="52"/>
      <c r="L206" s="52"/>
      <c r="M206" s="52"/>
    </row>
    <row r="207" spans="1:13" x14ac:dyDescent="0.3">
      <c r="A207">
        <v>33</v>
      </c>
      <c r="B207" t="s">
        <v>187</v>
      </c>
      <c r="C207" s="53">
        <v>1885.5771604938273</v>
      </c>
      <c r="D207">
        <f t="shared" ref="D207:D240" si="6">36-A207</f>
        <v>3</v>
      </c>
      <c r="F207" s="52"/>
      <c r="G207" s="52"/>
      <c r="H207" s="52"/>
      <c r="I207" s="52"/>
      <c r="J207" s="52"/>
      <c r="K207" s="52"/>
      <c r="L207" s="52"/>
      <c r="M207" s="52"/>
    </row>
    <row r="208" spans="1:13" x14ac:dyDescent="0.3">
      <c r="A208">
        <v>31</v>
      </c>
      <c r="B208" t="s">
        <v>447</v>
      </c>
      <c r="C208" s="53">
        <v>2283.5168750000003</v>
      </c>
      <c r="D208">
        <f t="shared" si="6"/>
        <v>5</v>
      </c>
      <c r="F208" s="52"/>
      <c r="G208" s="52"/>
      <c r="H208" s="52"/>
      <c r="I208" s="52"/>
      <c r="J208" s="52"/>
      <c r="K208" s="52"/>
      <c r="L208" s="52"/>
      <c r="M208" s="52"/>
    </row>
    <row r="209" spans="1:13" x14ac:dyDescent="0.3">
      <c r="A209">
        <v>29</v>
      </c>
      <c r="B209" t="s">
        <v>451</v>
      </c>
      <c r="C209" s="53">
        <v>2747.6182608695658</v>
      </c>
      <c r="D209">
        <f t="shared" si="6"/>
        <v>7</v>
      </c>
      <c r="F209" s="52"/>
      <c r="G209" s="52"/>
      <c r="H209" s="52"/>
      <c r="I209" s="52"/>
      <c r="J209" s="52"/>
      <c r="K209" s="52"/>
      <c r="L209" s="52"/>
      <c r="M209" s="52"/>
    </row>
    <row r="210" spans="1:13" x14ac:dyDescent="0.3">
      <c r="A210">
        <v>27</v>
      </c>
      <c r="B210" t="s">
        <v>452</v>
      </c>
      <c r="C210" s="53">
        <v>3201.0320512820513</v>
      </c>
      <c r="D210">
        <f t="shared" si="6"/>
        <v>9</v>
      </c>
      <c r="F210" s="52"/>
      <c r="G210" s="52"/>
      <c r="H210" s="52"/>
      <c r="I210" s="52"/>
      <c r="J210" s="52"/>
      <c r="K210" s="52"/>
      <c r="L210" s="52"/>
      <c r="M210" s="52"/>
    </row>
    <row r="211" spans="1:13" x14ac:dyDescent="0.3">
      <c r="A211">
        <v>25</v>
      </c>
      <c r="B211" t="s">
        <v>210</v>
      </c>
      <c r="C211" s="53">
        <v>3308.4868421052633</v>
      </c>
      <c r="D211">
        <f t="shared" si="6"/>
        <v>11</v>
      </c>
      <c r="F211" s="52"/>
      <c r="G211" s="52"/>
      <c r="H211" s="52"/>
      <c r="I211" s="52"/>
      <c r="J211" s="52"/>
      <c r="K211" s="52"/>
      <c r="L211" s="52"/>
      <c r="M211" s="52"/>
    </row>
    <row r="212" spans="1:13" x14ac:dyDescent="0.3">
      <c r="A212">
        <v>23</v>
      </c>
      <c r="B212" t="s">
        <v>443</v>
      </c>
      <c r="C212" s="53">
        <v>3958.9379761904761</v>
      </c>
      <c r="D212">
        <f t="shared" si="6"/>
        <v>13</v>
      </c>
      <c r="F212" s="52"/>
      <c r="G212" s="52"/>
      <c r="H212" s="52"/>
      <c r="I212" s="52"/>
      <c r="J212" s="52"/>
      <c r="K212" s="52"/>
      <c r="L212" s="52"/>
      <c r="M212" s="52"/>
    </row>
    <row r="213" spans="1:13" x14ac:dyDescent="0.3">
      <c r="A213">
        <v>21</v>
      </c>
      <c r="B213" t="s">
        <v>304</v>
      </c>
      <c r="C213" s="53">
        <v>4105.0597222222223</v>
      </c>
      <c r="D213">
        <f t="shared" si="6"/>
        <v>15</v>
      </c>
      <c r="F213" s="52"/>
      <c r="G213" s="52"/>
      <c r="H213" s="52"/>
      <c r="I213" s="52"/>
      <c r="J213" s="52"/>
      <c r="K213" s="52"/>
      <c r="L213" s="52"/>
      <c r="M213" s="52"/>
    </row>
    <row r="214" spans="1:13" x14ac:dyDescent="0.3">
      <c r="A214">
        <v>19</v>
      </c>
      <c r="B214" t="s">
        <v>453</v>
      </c>
      <c r="C214" s="53">
        <v>4132.4554824561401</v>
      </c>
      <c r="D214">
        <f t="shared" si="6"/>
        <v>17</v>
      </c>
      <c r="F214" s="52"/>
      <c r="G214" s="52"/>
      <c r="H214" s="52"/>
      <c r="I214" s="52"/>
      <c r="J214" s="52"/>
      <c r="K214" s="52"/>
      <c r="L214" s="52"/>
      <c r="M214" s="52"/>
    </row>
    <row r="215" spans="1:13" x14ac:dyDescent="0.3">
      <c r="A215">
        <v>17</v>
      </c>
      <c r="B215" t="s">
        <v>441</v>
      </c>
      <c r="C215" s="53">
        <v>4705.0479166666664</v>
      </c>
      <c r="D215">
        <f t="shared" si="6"/>
        <v>19</v>
      </c>
      <c r="F215" s="52"/>
      <c r="G215" s="52"/>
      <c r="H215" s="52"/>
      <c r="I215" s="52"/>
      <c r="J215" s="52"/>
      <c r="K215" s="52"/>
      <c r="L215" s="52"/>
      <c r="M215" s="52"/>
    </row>
    <row r="216" spans="1:13" x14ac:dyDescent="0.3">
      <c r="A216">
        <v>15</v>
      </c>
      <c r="B216" t="s">
        <v>446</v>
      </c>
      <c r="C216" s="53">
        <v>4911.6059649122799</v>
      </c>
      <c r="D216">
        <f t="shared" si="6"/>
        <v>21</v>
      </c>
      <c r="F216" s="52"/>
      <c r="G216" s="52"/>
      <c r="H216" s="52"/>
      <c r="I216" s="52"/>
      <c r="J216" s="52"/>
      <c r="K216" s="52"/>
      <c r="L216" s="52"/>
      <c r="M216" s="52"/>
    </row>
    <row r="217" spans="1:13" x14ac:dyDescent="0.3">
      <c r="A217">
        <v>13</v>
      </c>
      <c r="B217" t="s">
        <v>177</v>
      </c>
      <c r="C217" s="53">
        <v>5266.1580246913582</v>
      </c>
      <c r="D217">
        <f t="shared" si="6"/>
        <v>23</v>
      </c>
      <c r="F217" s="52"/>
      <c r="G217" s="52"/>
      <c r="H217" s="52"/>
      <c r="I217" s="52"/>
      <c r="J217" s="52"/>
      <c r="K217" s="52"/>
      <c r="L217" s="52"/>
      <c r="M217" s="52"/>
    </row>
    <row r="218" spans="1:13" x14ac:dyDescent="0.3">
      <c r="A218">
        <v>11</v>
      </c>
      <c r="B218" t="s">
        <v>448</v>
      </c>
      <c r="C218" s="53">
        <v>5808.3085087719301</v>
      </c>
      <c r="D218">
        <f t="shared" si="6"/>
        <v>25</v>
      </c>
      <c r="F218" s="52"/>
      <c r="G218" s="52"/>
      <c r="H218" s="52"/>
      <c r="I218" s="52"/>
      <c r="J218" s="52"/>
      <c r="K218" s="52"/>
      <c r="L218" s="52"/>
      <c r="M218" s="52"/>
    </row>
    <row r="219" spans="1:13" x14ac:dyDescent="0.3">
      <c r="A219">
        <v>9</v>
      </c>
      <c r="B219" t="s">
        <v>450</v>
      </c>
      <c r="C219" s="53">
        <v>6193.193181818182</v>
      </c>
      <c r="D219">
        <f t="shared" si="6"/>
        <v>27</v>
      </c>
      <c r="F219" s="52"/>
      <c r="G219" s="52"/>
      <c r="H219" s="52"/>
      <c r="I219" s="52"/>
      <c r="J219" s="52"/>
      <c r="K219" s="52"/>
      <c r="L219" s="52"/>
      <c r="M219" s="52"/>
    </row>
    <row r="220" spans="1:13" x14ac:dyDescent="0.3">
      <c r="A220">
        <v>7</v>
      </c>
      <c r="B220" t="s">
        <v>235</v>
      </c>
      <c r="C220" s="53">
        <v>6195.9687222222228</v>
      </c>
      <c r="D220">
        <f t="shared" si="6"/>
        <v>29</v>
      </c>
      <c r="F220" s="52"/>
      <c r="G220" s="52"/>
      <c r="H220" s="52"/>
      <c r="I220" s="52"/>
      <c r="J220" s="52"/>
      <c r="K220" s="52"/>
      <c r="L220" s="52"/>
      <c r="M220" s="52"/>
    </row>
    <row r="221" spans="1:13" x14ac:dyDescent="0.3">
      <c r="A221">
        <v>5</v>
      </c>
      <c r="B221" t="s">
        <v>454</v>
      </c>
      <c r="C221" s="53">
        <v>6318.5275362318844</v>
      </c>
      <c r="D221">
        <f t="shared" si="6"/>
        <v>31</v>
      </c>
      <c r="F221" s="52"/>
      <c r="G221" s="52"/>
      <c r="H221" s="52"/>
      <c r="I221" s="52"/>
      <c r="J221" s="52"/>
      <c r="K221" s="52"/>
      <c r="L221" s="52"/>
      <c r="M221" s="52"/>
    </row>
    <row r="222" spans="1:13" x14ac:dyDescent="0.3">
      <c r="A222">
        <v>3</v>
      </c>
      <c r="B222" t="s">
        <v>353</v>
      </c>
      <c r="C222" s="53">
        <v>6629.4893750000001</v>
      </c>
      <c r="D222">
        <f t="shared" si="6"/>
        <v>33</v>
      </c>
      <c r="E222">
        <f>1130*6</f>
        <v>6780</v>
      </c>
      <c r="F222" s="52"/>
      <c r="G222" s="52"/>
      <c r="H222" s="52"/>
      <c r="I222" s="52"/>
      <c r="J222" s="52"/>
      <c r="K222" s="52"/>
      <c r="L222" s="52"/>
      <c r="M222" s="52"/>
    </row>
    <row r="223" spans="1:13" x14ac:dyDescent="0.3">
      <c r="A223">
        <v>1</v>
      </c>
      <c r="B223" t="s">
        <v>444</v>
      </c>
      <c r="C223" s="53">
        <v>6684.7399561403508</v>
      </c>
      <c r="D223">
        <f t="shared" si="6"/>
        <v>35</v>
      </c>
      <c r="E223">
        <f>+C223/1130</f>
        <v>5.9156990762303989</v>
      </c>
      <c r="F223" s="52"/>
      <c r="G223" s="52"/>
      <c r="H223" s="52"/>
      <c r="I223" s="52"/>
      <c r="J223" s="52"/>
      <c r="K223" s="52"/>
      <c r="L223" s="52"/>
      <c r="M223" s="52"/>
    </row>
    <row r="224" spans="1:13" x14ac:dyDescent="0.3">
      <c r="A224">
        <v>2</v>
      </c>
      <c r="B224" t="s">
        <v>3</v>
      </c>
      <c r="C224" s="53">
        <v>6872.4074382716044</v>
      </c>
      <c r="D224">
        <f t="shared" si="6"/>
        <v>34</v>
      </c>
      <c r="F224" s="52"/>
      <c r="G224" s="52"/>
      <c r="H224" s="52"/>
      <c r="I224" s="52"/>
      <c r="J224" s="52"/>
      <c r="K224" s="52"/>
      <c r="L224" s="52"/>
      <c r="M224" s="52"/>
    </row>
    <row r="225" spans="1:13" x14ac:dyDescent="0.3">
      <c r="A225">
        <v>4</v>
      </c>
      <c r="B225" t="s">
        <v>250</v>
      </c>
      <c r="C225" s="53">
        <v>6928.5958974358964</v>
      </c>
      <c r="D225">
        <f t="shared" si="6"/>
        <v>32</v>
      </c>
      <c r="F225" s="52"/>
      <c r="G225" s="52"/>
      <c r="H225" s="52"/>
      <c r="I225" s="52"/>
      <c r="J225" s="52"/>
      <c r="K225" s="52"/>
      <c r="L225" s="52"/>
      <c r="M225" s="52"/>
    </row>
    <row r="226" spans="1:13" x14ac:dyDescent="0.3">
      <c r="A226">
        <v>6</v>
      </c>
      <c r="B226" t="s">
        <v>318</v>
      </c>
      <c r="C226" s="53">
        <v>7635.3224074074078</v>
      </c>
      <c r="D226">
        <f t="shared" si="6"/>
        <v>30</v>
      </c>
      <c r="F226" s="52"/>
      <c r="G226" s="52"/>
      <c r="H226" s="52"/>
      <c r="I226" s="52"/>
      <c r="J226" s="52"/>
      <c r="K226" s="52"/>
      <c r="L226" s="52"/>
      <c r="M226" s="52"/>
    </row>
    <row r="227" spans="1:13" x14ac:dyDescent="0.3">
      <c r="A227">
        <v>8</v>
      </c>
      <c r="B227" t="s">
        <v>138</v>
      </c>
      <c r="C227" s="53">
        <v>7985.3433333333342</v>
      </c>
      <c r="D227">
        <f t="shared" si="6"/>
        <v>28</v>
      </c>
      <c r="F227" s="52"/>
      <c r="G227" s="52"/>
      <c r="H227" s="52"/>
      <c r="I227" s="52"/>
      <c r="J227" s="52"/>
      <c r="K227" s="52"/>
      <c r="L227" s="52"/>
      <c r="M227" s="52"/>
    </row>
    <row r="228" spans="1:13" x14ac:dyDescent="0.3">
      <c r="A228">
        <v>10</v>
      </c>
      <c r="B228" t="s">
        <v>385</v>
      </c>
      <c r="C228" s="53">
        <v>8821.5954861111113</v>
      </c>
      <c r="D228">
        <f t="shared" si="6"/>
        <v>26</v>
      </c>
      <c r="F228" s="52"/>
      <c r="G228" s="52"/>
      <c r="H228" s="52"/>
      <c r="I228" s="52"/>
      <c r="J228" s="52"/>
      <c r="K228" s="52"/>
      <c r="L228" s="52"/>
      <c r="M228" s="52"/>
    </row>
    <row r="229" spans="1:13" x14ac:dyDescent="0.3">
      <c r="A229">
        <v>12</v>
      </c>
      <c r="B229" t="s">
        <v>449</v>
      </c>
      <c r="C229" s="53">
        <v>9126.2532291666685</v>
      </c>
      <c r="D229">
        <f t="shared" si="6"/>
        <v>24</v>
      </c>
      <c r="E229">
        <f>1130*8</f>
        <v>9040</v>
      </c>
      <c r="F229" s="52"/>
      <c r="G229" s="52"/>
      <c r="H229" s="52"/>
      <c r="I229" s="52"/>
      <c r="J229" s="52"/>
      <c r="K229" s="52"/>
      <c r="L229" s="52"/>
      <c r="M229" s="52"/>
    </row>
    <row r="230" spans="1:13" x14ac:dyDescent="0.3">
      <c r="A230">
        <v>14</v>
      </c>
      <c r="B230" t="s">
        <v>456</v>
      </c>
      <c r="C230" s="53">
        <v>9165.9559166666677</v>
      </c>
      <c r="D230">
        <f t="shared" si="6"/>
        <v>22</v>
      </c>
      <c r="F230" s="52"/>
      <c r="G230" s="52"/>
      <c r="H230" s="52"/>
      <c r="I230" s="52"/>
      <c r="J230" s="52"/>
      <c r="K230" s="52"/>
      <c r="L230" s="52"/>
      <c r="M230" s="52"/>
    </row>
    <row r="231" spans="1:13" x14ac:dyDescent="0.3">
      <c r="A231">
        <v>16</v>
      </c>
      <c r="B231" t="s">
        <v>459</v>
      </c>
      <c r="C231" s="53">
        <v>9506.6952083333326</v>
      </c>
      <c r="D231">
        <f t="shared" si="6"/>
        <v>20</v>
      </c>
      <c r="F231" s="52"/>
      <c r="G231" s="52"/>
      <c r="H231" s="52"/>
      <c r="I231" s="52"/>
      <c r="J231" s="52"/>
      <c r="K231" s="52"/>
      <c r="L231" s="52"/>
      <c r="M231" s="52"/>
    </row>
    <row r="232" spans="1:13" x14ac:dyDescent="0.3">
      <c r="A232">
        <v>18</v>
      </c>
      <c r="B232" t="s">
        <v>415</v>
      </c>
      <c r="C232" s="53">
        <v>9599.9621590909082</v>
      </c>
      <c r="D232">
        <f t="shared" si="6"/>
        <v>18</v>
      </c>
      <c r="F232" s="52"/>
      <c r="G232" s="52"/>
      <c r="H232" s="52"/>
      <c r="I232" s="52"/>
      <c r="J232" s="52"/>
      <c r="K232" s="52"/>
      <c r="L232" s="52"/>
      <c r="M232" s="52"/>
    </row>
    <row r="233" spans="1:13" x14ac:dyDescent="0.3">
      <c r="A233">
        <v>20</v>
      </c>
      <c r="B233" t="s">
        <v>333</v>
      </c>
      <c r="C233" s="53">
        <v>9840.3712152777789</v>
      </c>
      <c r="D233">
        <f t="shared" si="6"/>
        <v>16</v>
      </c>
      <c r="F233" s="52"/>
      <c r="G233" s="52"/>
      <c r="H233" s="52"/>
      <c r="I233" s="52"/>
      <c r="J233" s="52"/>
      <c r="K233" s="52"/>
      <c r="L233" s="52"/>
      <c r="M233" s="52"/>
    </row>
    <row r="234" spans="1:13" x14ac:dyDescent="0.3">
      <c r="A234">
        <v>22</v>
      </c>
      <c r="B234" t="s">
        <v>457</v>
      </c>
      <c r="C234" s="53">
        <v>10289.161666666667</v>
      </c>
      <c r="D234">
        <f t="shared" si="6"/>
        <v>14</v>
      </c>
      <c r="F234" s="52"/>
      <c r="G234" s="52"/>
      <c r="H234" s="52"/>
      <c r="I234" s="52"/>
      <c r="J234" s="52"/>
      <c r="K234" s="52"/>
      <c r="L234" s="52"/>
      <c r="M234" s="52"/>
    </row>
    <row r="235" spans="1:13" x14ac:dyDescent="0.3">
      <c r="A235">
        <v>24</v>
      </c>
      <c r="B235" t="s">
        <v>288</v>
      </c>
      <c r="C235" s="53">
        <v>10545.747103174603</v>
      </c>
      <c r="D235">
        <f t="shared" si="6"/>
        <v>12</v>
      </c>
      <c r="F235" s="52"/>
      <c r="G235" s="52"/>
      <c r="H235" s="52"/>
      <c r="I235" s="52"/>
      <c r="J235" s="52"/>
      <c r="K235" s="52"/>
      <c r="L235" s="52"/>
      <c r="M235" s="52"/>
    </row>
    <row r="236" spans="1:13" x14ac:dyDescent="0.3">
      <c r="A236">
        <v>26</v>
      </c>
      <c r="B236" t="s">
        <v>140</v>
      </c>
      <c r="C236" s="53">
        <v>11726.846279761903</v>
      </c>
      <c r="D236">
        <f t="shared" si="6"/>
        <v>10</v>
      </c>
      <c r="F236" s="52"/>
      <c r="G236" s="52"/>
      <c r="H236" s="52"/>
      <c r="I236" s="52"/>
      <c r="J236" s="52"/>
      <c r="K236" s="52"/>
      <c r="L236" s="52"/>
      <c r="M236" s="52"/>
    </row>
    <row r="237" spans="1:13" x14ac:dyDescent="0.3">
      <c r="A237">
        <v>28</v>
      </c>
      <c r="B237" t="s">
        <v>45</v>
      </c>
      <c r="C237" s="53">
        <v>13614.284722222223</v>
      </c>
      <c r="D237">
        <f t="shared" si="6"/>
        <v>8</v>
      </c>
      <c r="F237" s="52"/>
      <c r="G237" s="52"/>
      <c r="H237" s="52"/>
      <c r="I237" s="52"/>
      <c r="J237" s="52"/>
      <c r="K237" s="52"/>
      <c r="L237" s="52"/>
      <c r="M237" s="52"/>
    </row>
    <row r="238" spans="1:13" x14ac:dyDescent="0.3">
      <c r="A238">
        <v>30</v>
      </c>
      <c r="B238" t="s">
        <v>76</v>
      </c>
      <c r="C238" s="53">
        <v>15141.925555555556</v>
      </c>
      <c r="D238">
        <f t="shared" si="6"/>
        <v>6</v>
      </c>
      <c r="F238" s="52"/>
      <c r="G238" s="52"/>
      <c r="H238" s="52"/>
      <c r="I238" s="52"/>
      <c r="J238" s="52"/>
      <c r="K238" s="52"/>
      <c r="L238" s="52"/>
      <c r="M238" s="52"/>
    </row>
    <row r="239" spans="1:13" x14ac:dyDescent="0.3">
      <c r="A239">
        <v>32</v>
      </c>
      <c r="B239" t="s">
        <v>107</v>
      </c>
      <c r="C239" s="53">
        <v>16393.700999999997</v>
      </c>
      <c r="D239">
        <f t="shared" si="6"/>
        <v>4</v>
      </c>
      <c r="F239" s="52"/>
      <c r="G239" s="52"/>
      <c r="H239" s="52"/>
      <c r="I239" s="52"/>
      <c r="J239" s="52"/>
      <c r="K239" s="52"/>
      <c r="L239" s="52"/>
      <c r="M239" s="52"/>
    </row>
    <row r="240" spans="1:13" x14ac:dyDescent="0.3">
      <c r="A240">
        <v>34</v>
      </c>
      <c r="B240" t="s">
        <v>442</v>
      </c>
      <c r="C240" s="53">
        <v>20119.150773809524</v>
      </c>
      <c r="D240">
        <f t="shared" si="6"/>
        <v>2</v>
      </c>
      <c r="F240" s="52"/>
      <c r="G240" s="52"/>
      <c r="H240" s="52"/>
      <c r="I240" s="52"/>
      <c r="J240" s="52"/>
      <c r="K240" s="52"/>
      <c r="L240" s="52"/>
      <c r="M240" s="52"/>
    </row>
    <row r="241" spans="1:13" x14ac:dyDescent="0.3">
      <c r="F241" s="52"/>
      <c r="G241" s="52"/>
      <c r="H241" s="52"/>
      <c r="I241" s="52"/>
      <c r="J241" s="52"/>
      <c r="K241" s="52"/>
      <c r="L241" s="52"/>
      <c r="M241" s="52"/>
    </row>
    <row r="242" spans="1:13" x14ac:dyDescent="0.3">
      <c r="B242" t="s">
        <v>445</v>
      </c>
      <c r="C242" s="26">
        <v>0</v>
      </c>
    </row>
    <row r="243" spans="1:13" x14ac:dyDescent="0.3">
      <c r="B243" t="s">
        <v>455</v>
      </c>
      <c r="C243" s="26">
        <v>0</v>
      </c>
    </row>
    <row r="244" spans="1:13" x14ac:dyDescent="0.3">
      <c r="B244" t="s">
        <v>500</v>
      </c>
      <c r="C244" s="26">
        <v>0</v>
      </c>
      <c r="F244" s="52"/>
      <c r="G244" s="52"/>
      <c r="H244" s="52"/>
      <c r="I244" s="52"/>
      <c r="J244" s="52"/>
      <c r="K244" s="52"/>
      <c r="L244" s="52"/>
      <c r="M244" s="52"/>
    </row>
    <row r="245" spans="1:13" x14ac:dyDescent="0.3">
      <c r="A245">
        <v>1</v>
      </c>
      <c r="B245" t="s">
        <v>443</v>
      </c>
      <c r="C245" s="26">
        <v>0</v>
      </c>
      <c r="D245" t="b">
        <f>+C245=C246</f>
        <v>0</v>
      </c>
      <c r="E245" s="43">
        <f>36-A245</f>
        <v>35</v>
      </c>
      <c r="F245" s="52"/>
      <c r="G245" s="52"/>
      <c r="H245" s="52"/>
      <c r="I245" s="52"/>
      <c r="J245" s="52"/>
      <c r="K245" s="52"/>
      <c r="L245" s="52"/>
      <c r="M245" s="52"/>
    </row>
    <row r="246" spans="1:13" x14ac:dyDescent="0.3">
      <c r="A246">
        <v>2</v>
      </c>
      <c r="B246" t="s">
        <v>235</v>
      </c>
      <c r="C246" s="26">
        <v>0.11666666666666667</v>
      </c>
      <c r="D246" t="b">
        <f t="shared" ref="D246:D279" si="7">+C246=C247</f>
        <v>0</v>
      </c>
      <c r="E246" s="43">
        <f t="shared" ref="E246:E279" si="8">36-A246</f>
        <v>34</v>
      </c>
      <c r="F246" s="52"/>
      <c r="G246" s="52"/>
      <c r="H246" s="52"/>
      <c r="I246" s="52"/>
      <c r="J246" s="52"/>
      <c r="K246" s="52"/>
      <c r="L246" s="52"/>
      <c r="M246" s="52"/>
    </row>
    <row r="247" spans="1:13" x14ac:dyDescent="0.3">
      <c r="A247">
        <v>3</v>
      </c>
      <c r="B247" t="s">
        <v>457</v>
      </c>
      <c r="C247" s="26">
        <v>0.12280701754385964</v>
      </c>
      <c r="D247" t="b">
        <f t="shared" si="7"/>
        <v>0</v>
      </c>
      <c r="E247" s="43">
        <f t="shared" si="8"/>
        <v>33</v>
      </c>
      <c r="F247" s="52"/>
      <c r="G247" s="52"/>
      <c r="H247" s="52"/>
      <c r="I247" s="52"/>
      <c r="J247" s="52"/>
      <c r="K247" s="52"/>
      <c r="L247" s="52"/>
      <c r="M247" s="52"/>
    </row>
    <row r="248" spans="1:13" x14ac:dyDescent="0.3">
      <c r="A248">
        <v>4</v>
      </c>
      <c r="B248" t="s">
        <v>451</v>
      </c>
      <c r="C248" s="26">
        <v>0.13207547169811321</v>
      </c>
      <c r="D248" t="b">
        <f t="shared" si="7"/>
        <v>0</v>
      </c>
      <c r="E248" s="43">
        <f t="shared" si="8"/>
        <v>32</v>
      </c>
      <c r="F248" s="52"/>
      <c r="G248" s="52"/>
      <c r="H248" s="52"/>
      <c r="I248" s="52"/>
      <c r="J248" s="52"/>
      <c r="K248" s="52"/>
      <c r="L248" s="52"/>
      <c r="M248" s="52"/>
    </row>
    <row r="249" spans="1:13" x14ac:dyDescent="0.3">
      <c r="A249">
        <v>5</v>
      </c>
      <c r="B249" t="s">
        <v>333</v>
      </c>
      <c r="C249" s="26">
        <v>0.14035087719298245</v>
      </c>
      <c r="D249" t="b">
        <f t="shared" si="7"/>
        <v>0</v>
      </c>
      <c r="E249" s="43">
        <f t="shared" si="8"/>
        <v>31</v>
      </c>
      <c r="F249" s="52"/>
      <c r="G249" s="52"/>
      <c r="H249" s="52"/>
      <c r="I249" s="52"/>
      <c r="J249" s="52"/>
      <c r="K249" s="52"/>
      <c r="L249" s="52"/>
      <c r="M249" s="52"/>
    </row>
    <row r="250" spans="1:13" x14ac:dyDescent="0.3">
      <c r="A250">
        <v>6</v>
      </c>
      <c r="B250" t="s">
        <v>452</v>
      </c>
      <c r="C250" s="26">
        <v>0.17241379310344829</v>
      </c>
      <c r="D250" t="b">
        <f t="shared" si="7"/>
        <v>0</v>
      </c>
      <c r="E250" s="43">
        <f t="shared" si="8"/>
        <v>30</v>
      </c>
      <c r="F250" s="52"/>
      <c r="G250" s="52"/>
      <c r="H250" s="52"/>
      <c r="I250" s="52"/>
      <c r="J250" s="52"/>
      <c r="K250" s="52"/>
      <c r="L250" s="52"/>
      <c r="M250" s="52"/>
    </row>
    <row r="251" spans="1:13" x14ac:dyDescent="0.3">
      <c r="A251">
        <v>7</v>
      </c>
      <c r="B251" t="s">
        <v>444</v>
      </c>
      <c r="C251" s="26">
        <v>0.18181818181818182</v>
      </c>
      <c r="D251" t="b">
        <f t="shared" si="7"/>
        <v>0</v>
      </c>
      <c r="E251" s="43">
        <f t="shared" si="8"/>
        <v>29</v>
      </c>
      <c r="F251" s="52"/>
      <c r="G251" s="52"/>
      <c r="H251" s="52"/>
      <c r="I251" s="52"/>
      <c r="J251" s="52"/>
      <c r="K251" s="52"/>
      <c r="L251" s="52"/>
      <c r="M251" s="52"/>
    </row>
    <row r="252" spans="1:13" x14ac:dyDescent="0.3">
      <c r="A252">
        <v>9</v>
      </c>
      <c r="B252" t="s">
        <v>177</v>
      </c>
      <c r="C252" s="26">
        <v>0.18333333333333332</v>
      </c>
      <c r="D252" t="b">
        <f>+C252=C253</f>
        <v>1</v>
      </c>
      <c r="E252" s="43">
        <f t="shared" si="8"/>
        <v>27</v>
      </c>
      <c r="F252" s="52"/>
      <c r="G252" s="52"/>
      <c r="H252" s="52"/>
      <c r="I252" s="52"/>
      <c r="J252" s="52"/>
      <c r="K252" s="52"/>
      <c r="L252" s="52"/>
      <c r="M252" s="52"/>
    </row>
    <row r="253" spans="1:13" x14ac:dyDescent="0.3">
      <c r="A253">
        <v>9</v>
      </c>
      <c r="B253" t="s">
        <v>210</v>
      </c>
      <c r="C253" s="26">
        <v>0.18333333333333332</v>
      </c>
      <c r="D253" t="b">
        <f t="shared" si="7"/>
        <v>0</v>
      </c>
      <c r="E253" s="43">
        <f t="shared" si="8"/>
        <v>27</v>
      </c>
      <c r="F253" s="52"/>
      <c r="G253" s="52"/>
      <c r="H253" s="52"/>
      <c r="I253" s="52"/>
      <c r="J253" s="52"/>
      <c r="K253" s="52"/>
      <c r="L253" s="52"/>
      <c r="M253" s="52"/>
    </row>
    <row r="254" spans="1:13" x14ac:dyDescent="0.3">
      <c r="A254">
        <v>10</v>
      </c>
      <c r="B254" t="s">
        <v>453</v>
      </c>
      <c r="C254" s="26">
        <v>0.2</v>
      </c>
      <c r="D254" t="b">
        <f t="shared" si="7"/>
        <v>0</v>
      </c>
      <c r="E254" s="43">
        <f t="shared" si="8"/>
        <v>26</v>
      </c>
      <c r="F254" s="52"/>
      <c r="G254" s="52"/>
      <c r="H254" s="52"/>
      <c r="I254" s="52"/>
      <c r="J254" s="52"/>
      <c r="K254" s="52"/>
      <c r="L254" s="52"/>
      <c r="M254" s="52"/>
    </row>
    <row r="255" spans="1:13" x14ac:dyDescent="0.3">
      <c r="A255">
        <v>11</v>
      </c>
      <c r="B255" t="s">
        <v>446</v>
      </c>
      <c r="C255" s="26">
        <v>0.21276595744680851</v>
      </c>
      <c r="D255" t="b">
        <f t="shared" si="7"/>
        <v>0</v>
      </c>
      <c r="E255" s="43">
        <f t="shared" si="8"/>
        <v>25</v>
      </c>
      <c r="F255" s="52"/>
      <c r="G255" s="52"/>
      <c r="H255" s="52"/>
      <c r="I255" s="52"/>
      <c r="J255" s="52"/>
      <c r="K255" s="52"/>
      <c r="L255" s="52"/>
      <c r="M255" s="52"/>
    </row>
    <row r="256" spans="1:13" x14ac:dyDescent="0.3">
      <c r="A256">
        <v>12</v>
      </c>
      <c r="B256" t="s">
        <v>454</v>
      </c>
      <c r="C256" s="26">
        <v>0.21428571428571427</v>
      </c>
      <c r="D256" t="b">
        <f t="shared" si="7"/>
        <v>0</v>
      </c>
      <c r="E256" s="43">
        <f t="shared" si="8"/>
        <v>24</v>
      </c>
      <c r="F256" s="52"/>
      <c r="G256" s="52"/>
      <c r="H256" s="52"/>
      <c r="I256" s="52"/>
      <c r="J256" s="52"/>
      <c r="K256" s="52"/>
      <c r="L256" s="52"/>
      <c r="M256" s="52"/>
    </row>
    <row r="257" spans="1:13" x14ac:dyDescent="0.3">
      <c r="A257">
        <v>13</v>
      </c>
      <c r="B257" t="s">
        <v>458</v>
      </c>
      <c r="C257" s="26">
        <v>0.25</v>
      </c>
      <c r="D257" t="b">
        <f t="shared" si="7"/>
        <v>0</v>
      </c>
      <c r="E257" s="43">
        <f t="shared" si="8"/>
        <v>23</v>
      </c>
      <c r="F257" s="52"/>
      <c r="G257" s="52"/>
      <c r="H257" s="52"/>
      <c r="I257" s="52"/>
      <c r="J257" s="52"/>
      <c r="K257" s="52"/>
      <c r="L257" s="52"/>
      <c r="M257" s="52"/>
    </row>
    <row r="258" spans="1:13" x14ac:dyDescent="0.3">
      <c r="A258">
        <v>14</v>
      </c>
      <c r="B258" t="s">
        <v>3</v>
      </c>
      <c r="C258" s="26">
        <v>0.27777777777777779</v>
      </c>
      <c r="D258" t="b">
        <f t="shared" si="7"/>
        <v>0</v>
      </c>
      <c r="E258" s="43">
        <f t="shared" si="8"/>
        <v>22</v>
      </c>
      <c r="F258" s="52"/>
      <c r="G258" s="52"/>
      <c r="H258" s="52"/>
      <c r="I258" s="52"/>
      <c r="J258" s="52"/>
      <c r="K258" s="52"/>
      <c r="L258" s="52"/>
      <c r="M258" s="52"/>
    </row>
    <row r="259" spans="1:13" x14ac:dyDescent="0.3">
      <c r="A259">
        <v>15</v>
      </c>
      <c r="B259" t="s">
        <v>415</v>
      </c>
      <c r="C259" s="26">
        <v>0.2857142857142857</v>
      </c>
      <c r="D259" t="b">
        <f t="shared" si="7"/>
        <v>0</v>
      </c>
      <c r="E259" s="43">
        <f t="shared" si="8"/>
        <v>21</v>
      </c>
      <c r="F259" s="52"/>
      <c r="G259" s="52"/>
      <c r="H259" s="52"/>
      <c r="I259" s="52"/>
      <c r="J259" s="52"/>
      <c r="K259" s="52"/>
      <c r="L259" s="52"/>
      <c r="M259" s="52"/>
    </row>
    <row r="260" spans="1:13" x14ac:dyDescent="0.3">
      <c r="A260">
        <v>16</v>
      </c>
      <c r="B260" t="s">
        <v>318</v>
      </c>
      <c r="C260" s="26">
        <v>0.28846153846153844</v>
      </c>
      <c r="D260" t="b">
        <f t="shared" si="7"/>
        <v>0</v>
      </c>
      <c r="E260" s="43">
        <f t="shared" si="8"/>
        <v>20</v>
      </c>
      <c r="F260" s="52"/>
      <c r="G260" s="52"/>
      <c r="H260" s="52"/>
      <c r="I260" s="52"/>
      <c r="J260" s="52"/>
      <c r="K260" s="52"/>
      <c r="L260" s="52"/>
      <c r="M260" s="52"/>
    </row>
    <row r="261" spans="1:13" x14ac:dyDescent="0.3">
      <c r="A261">
        <v>17</v>
      </c>
      <c r="B261" t="s">
        <v>187</v>
      </c>
      <c r="C261" s="26">
        <v>0.29090909090909089</v>
      </c>
      <c r="D261" t="b">
        <f t="shared" si="7"/>
        <v>0</v>
      </c>
      <c r="E261" s="43">
        <f t="shared" si="8"/>
        <v>19</v>
      </c>
      <c r="F261" s="52"/>
      <c r="G261" s="52"/>
      <c r="H261" s="52"/>
      <c r="I261" s="52"/>
      <c r="J261" s="52"/>
      <c r="K261" s="52"/>
      <c r="L261" s="52"/>
      <c r="M261" s="52"/>
    </row>
    <row r="262" spans="1:13" x14ac:dyDescent="0.3">
      <c r="A262">
        <v>18</v>
      </c>
      <c r="B262" t="s">
        <v>450</v>
      </c>
      <c r="C262" s="26">
        <v>0.31034482758620691</v>
      </c>
      <c r="D262" t="b">
        <f t="shared" si="7"/>
        <v>0</v>
      </c>
      <c r="E262" s="43">
        <f t="shared" si="8"/>
        <v>18</v>
      </c>
      <c r="F262" s="52"/>
      <c r="G262" s="52"/>
      <c r="H262" s="52"/>
      <c r="I262" s="52"/>
      <c r="J262" s="52"/>
      <c r="K262" s="52"/>
      <c r="L262" s="52"/>
      <c r="M262" s="52"/>
    </row>
    <row r="263" spans="1:13" x14ac:dyDescent="0.3">
      <c r="A263">
        <v>19</v>
      </c>
      <c r="B263" t="s">
        <v>459</v>
      </c>
      <c r="C263" s="26">
        <v>0.33333333333333331</v>
      </c>
      <c r="D263" t="b">
        <f t="shared" si="7"/>
        <v>0</v>
      </c>
      <c r="E263" s="43">
        <f t="shared" si="8"/>
        <v>17</v>
      </c>
      <c r="F263" s="52"/>
      <c r="G263" s="52"/>
      <c r="H263" s="52"/>
      <c r="I263" s="52"/>
      <c r="J263" s="52"/>
      <c r="K263" s="52"/>
      <c r="L263" s="52"/>
      <c r="M263" s="52"/>
    </row>
    <row r="264" spans="1:13" x14ac:dyDescent="0.3">
      <c r="A264">
        <v>21</v>
      </c>
      <c r="B264" t="s">
        <v>441</v>
      </c>
      <c r="C264" s="26">
        <v>0.35714285714285715</v>
      </c>
      <c r="D264" t="b">
        <f t="shared" si="7"/>
        <v>1</v>
      </c>
      <c r="E264" s="43">
        <f t="shared" si="8"/>
        <v>15</v>
      </c>
      <c r="F264" s="52"/>
      <c r="G264" s="52"/>
      <c r="H264" s="52"/>
      <c r="I264" s="52"/>
      <c r="J264" s="52"/>
      <c r="K264" s="52"/>
      <c r="L264" s="52"/>
      <c r="M264" s="52"/>
    </row>
    <row r="265" spans="1:13" x14ac:dyDescent="0.3">
      <c r="A265">
        <v>21</v>
      </c>
      <c r="B265" t="s">
        <v>304</v>
      </c>
      <c r="C265" s="26">
        <v>0.35714285714285715</v>
      </c>
      <c r="D265" t="b">
        <f t="shared" si="7"/>
        <v>0</v>
      </c>
      <c r="E265" s="43">
        <f t="shared" si="8"/>
        <v>15</v>
      </c>
      <c r="F265" s="52"/>
      <c r="G265" s="52"/>
      <c r="H265" s="52"/>
      <c r="I265" s="52"/>
      <c r="J265" s="52"/>
      <c r="K265" s="52"/>
      <c r="L265" s="52"/>
      <c r="M265" s="52"/>
    </row>
    <row r="266" spans="1:13" x14ac:dyDescent="0.3">
      <c r="A266">
        <v>22</v>
      </c>
      <c r="B266" t="s">
        <v>447</v>
      </c>
      <c r="C266" s="26">
        <v>0.42</v>
      </c>
      <c r="D266" t="b">
        <f t="shared" si="7"/>
        <v>0</v>
      </c>
      <c r="E266" s="43">
        <f t="shared" si="8"/>
        <v>14</v>
      </c>
      <c r="F266" s="52"/>
      <c r="G266" s="52"/>
      <c r="H266" s="52"/>
      <c r="I266" s="52"/>
      <c r="J266" s="52"/>
      <c r="K266" s="52"/>
      <c r="L266" s="52"/>
      <c r="M266" s="52"/>
    </row>
    <row r="267" spans="1:13" x14ac:dyDescent="0.3">
      <c r="A267">
        <v>23</v>
      </c>
      <c r="B267" t="s">
        <v>385</v>
      </c>
      <c r="C267" s="26">
        <v>0.45614035087719296</v>
      </c>
      <c r="D267" t="b">
        <f t="shared" si="7"/>
        <v>0</v>
      </c>
      <c r="E267" s="43">
        <f t="shared" si="8"/>
        <v>13</v>
      </c>
      <c r="F267" s="52"/>
      <c r="G267" s="52"/>
      <c r="H267" s="52"/>
      <c r="I267" s="52"/>
      <c r="J267" s="52"/>
      <c r="K267" s="52"/>
      <c r="L267" s="52"/>
      <c r="M267" s="52"/>
    </row>
    <row r="268" spans="1:13" x14ac:dyDescent="0.3">
      <c r="A268">
        <v>24</v>
      </c>
      <c r="B268" t="s">
        <v>448</v>
      </c>
      <c r="C268" s="26">
        <v>0.48</v>
      </c>
      <c r="D268" t="b">
        <f t="shared" si="7"/>
        <v>0</v>
      </c>
      <c r="E268" s="43">
        <f t="shared" si="8"/>
        <v>12</v>
      </c>
      <c r="F268" s="52"/>
      <c r="G268" s="52"/>
      <c r="H268" s="52"/>
      <c r="I268" s="52"/>
      <c r="J268" s="52"/>
      <c r="K268" s="52"/>
      <c r="L268" s="52"/>
      <c r="M268" s="52"/>
    </row>
    <row r="269" spans="1:13" x14ac:dyDescent="0.3">
      <c r="A269">
        <v>35</v>
      </c>
      <c r="B269" t="s">
        <v>288</v>
      </c>
      <c r="C269" s="26">
        <v>1</v>
      </c>
      <c r="D269" t="b">
        <f t="shared" si="7"/>
        <v>1</v>
      </c>
      <c r="E269" s="43">
        <f t="shared" si="8"/>
        <v>1</v>
      </c>
      <c r="F269" s="52"/>
      <c r="G269" s="52"/>
      <c r="H269" s="52"/>
      <c r="I269" s="52"/>
      <c r="J269" s="52"/>
      <c r="K269" s="52"/>
      <c r="L269" s="52"/>
      <c r="M269" s="52"/>
    </row>
    <row r="270" spans="1:13" x14ac:dyDescent="0.3">
      <c r="A270">
        <v>35</v>
      </c>
      <c r="B270" t="s">
        <v>107</v>
      </c>
      <c r="C270" s="26">
        <v>1</v>
      </c>
      <c r="D270" t="b">
        <f t="shared" si="7"/>
        <v>1</v>
      </c>
      <c r="E270" s="43">
        <f t="shared" si="8"/>
        <v>1</v>
      </c>
      <c r="F270" s="52"/>
      <c r="G270" s="52"/>
      <c r="H270" s="52"/>
      <c r="I270" s="52"/>
      <c r="J270" s="52"/>
      <c r="K270" s="52"/>
      <c r="L270" s="52"/>
      <c r="M270" s="52"/>
    </row>
    <row r="271" spans="1:13" x14ac:dyDescent="0.3">
      <c r="A271">
        <v>35</v>
      </c>
      <c r="B271" t="s">
        <v>442</v>
      </c>
      <c r="C271" s="26">
        <v>1</v>
      </c>
      <c r="D271" t="b">
        <f t="shared" si="7"/>
        <v>1</v>
      </c>
      <c r="E271" s="43">
        <f t="shared" si="8"/>
        <v>1</v>
      </c>
      <c r="F271" s="52"/>
      <c r="G271" s="52"/>
      <c r="H271" s="52"/>
      <c r="I271" s="52"/>
      <c r="J271" s="52"/>
      <c r="K271" s="52"/>
      <c r="L271" s="52"/>
      <c r="M271" s="52"/>
    </row>
    <row r="272" spans="1:13" x14ac:dyDescent="0.3">
      <c r="A272">
        <v>35</v>
      </c>
      <c r="B272" t="s">
        <v>76</v>
      </c>
      <c r="C272" s="26">
        <v>1</v>
      </c>
      <c r="D272" t="b">
        <f t="shared" si="7"/>
        <v>1</v>
      </c>
      <c r="E272" s="43">
        <f t="shared" si="8"/>
        <v>1</v>
      </c>
      <c r="F272" s="52"/>
      <c r="G272" s="52"/>
      <c r="H272" s="52"/>
      <c r="I272" s="52"/>
      <c r="J272" s="52"/>
      <c r="K272" s="52"/>
      <c r="L272" s="52"/>
      <c r="M272" s="52"/>
    </row>
    <row r="273" spans="1:13" x14ac:dyDescent="0.3">
      <c r="A273">
        <v>35</v>
      </c>
      <c r="B273" t="s">
        <v>138</v>
      </c>
      <c r="C273" s="26">
        <v>1</v>
      </c>
      <c r="D273" t="b">
        <f t="shared" si="7"/>
        <v>1</v>
      </c>
      <c r="E273" s="43">
        <f t="shared" si="8"/>
        <v>1</v>
      </c>
      <c r="F273" s="52"/>
      <c r="G273" s="52"/>
      <c r="H273" s="52"/>
      <c r="I273" s="52"/>
      <c r="J273" s="52"/>
      <c r="K273" s="52"/>
      <c r="L273" s="52"/>
      <c r="M273" s="52"/>
    </row>
    <row r="274" spans="1:13" x14ac:dyDescent="0.3">
      <c r="A274">
        <v>35</v>
      </c>
      <c r="B274" t="s">
        <v>250</v>
      </c>
      <c r="C274" s="26">
        <v>1</v>
      </c>
      <c r="D274" t="b">
        <f t="shared" si="7"/>
        <v>1</v>
      </c>
      <c r="E274" s="43">
        <f t="shared" si="8"/>
        <v>1</v>
      </c>
      <c r="F274" s="52"/>
      <c r="G274" s="52"/>
      <c r="H274" s="52"/>
      <c r="I274" s="52"/>
      <c r="J274" s="52"/>
      <c r="K274" s="52"/>
      <c r="L274" s="52"/>
      <c r="M274" s="52"/>
    </row>
    <row r="275" spans="1:13" x14ac:dyDescent="0.3">
      <c r="A275">
        <v>35</v>
      </c>
      <c r="B275" t="s">
        <v>140</v>
      </c>
      <c r="C275" s="26">
        <v>1</v>
      </c>
      <c r="D275" t="b">
        <f t="shared" si="7"/>
        <v>1</v>
      </c>
      <c r="E275" s="43">
        <f t="shared" si="8"/>
        <v>1</v>
      </c>
      <c r="F275" s="52"/>
      <c r="G275" s="52"/>
      <c r="H275" s="52"/>
      <c r="I275" s="52"/>
      <c r="J275" s="52"/>
      <c r="K275" s="52"/>
      <c r="L275" s="52"/>
      <c r="M275" s="52"/>
    </row>
    <row r="276" spans="1:13" x14ac:dyDescent="0.3">
      <c r="A276">
        <v>35</v>
      </c>
      <c r="B276" t="s">
        <v>456</v>
      </c>
      <c r="C276" s="26">
        <v>1</v>
      </c>
      <c r="D276" t="b">
        <f t="shared" si="7"/>
        <v>1</v>
      </c>
      <c r="E276" s="43">
        <f t="shared" si="8"/>
        <v>1</v>
      </c>
      <c r="F276" s="52"/>
      <c r="G276" s="52"/>
      <c r="H276" s="52"/>
      <c r="I276" s="52"/>
      <c r="J276" s="52"/>
      <c r="K276" s="52"/>
      <c r="L276" s="52"/>
      <c r="M276" s="52"/>
    </row>
    <row r="277" spans="1:13" x14ac:dyDescent="0.3">
      <c r="A277">
        <v>35</v>
      </c>
      <c r="B277" t="s">
        <v>45</v>
      </c>
      <c r="C277" s="26">
        <v>1</v>
      </c>
      <c r="D277" t="b">
        <f t="shared" si="7"/>
        <v>1</v>
      </c>
      <c r="E277" s="43">
        <f t="shared" si="8"/>
        <v>1</v>
      </c>
      <c r="F277" s="52"/>
      <c r="G277" s="52"/>
      <c r="H277" s="52"/>
      <c r="I277" s="52"/>
      <c r="J277" s="52"/>
      <c r="K277" s="52"/>
      <c r="L277" s="52"/>
      <c r="M277" s="52"/>
    </row>
    <row r="278" spans="1:13" x14ac:dyDescent="0.3">
      <c r="A278">
        <v>35</v>
      </c>
      <c r="B278" t="s">
        <v>449</v>
      </c>
      <c r="C278" s="26">
        <v>1</v>
      </c>
      <c r="D278" t="b">
        <f t="shared" si="7"/>
        <v>1</v>
      </c>
      <c r="E278" s="43">
        <f t="shared" si="8"/>
        <v>1</v>
      </c>
    </row>
    <row r="279" spans="1:13" x14ac:dyDescent="0.3">
      <c r="A279">
        <v>35</v>
      </c>
      <c r="B279" t="s">
        <v>353</v>
      </c>
      <c r="C279" s="26">
        <v>1</v>
      </c>
      <c r="D279" t="b">
        <f t="shared" si="7"/>
        <v>0</v>
      </c>
      <c r="E279" s="43">
        <f t="shared" si="8"/>
        <v>1</v>
      </c>
    </row>
    <row r="280" spans="1:13" x14ac:dyDescent="0.3">
      <c r="F280" s="52"/>
      <c r="G280" s="52"/>
      <c r="H280" s="52"/>
      <c r="I280" s="52"/>
      <c r="J280" s="52"/>
      <c r="K280" s="52"/>
      <c r="L280" s="52"/>
      <c r="M280" s="52"/>
    </row>
    <row r="281" spans="1:13" x14ac:dyDescent="0.3">
      <c r="F281" s="52"/>
      <c r="G281" s="52"/>
      <c r="H281" s="52"/>
      <c r="I281" s="52"/>
      <c r="J281" s="52"/>
      <c r="K281" s="52"/>
      <c r="L281" s="52"/>
      <c r="M281" s="52"/>
    </row>
    <row r="282" spans="1:13" x14ac:dyDescent="0.3">
      <c r="B282" t="s">
        <v>445</v>
      </c>
      <c r="C282" s="54">
        <v>0</v>
      </c>
    </row>
    <row r="283" spans="1:13" x14ac:dyDescent="0.3">
      <c r="B283" t="s">
        <v>455</v>
      </c>
      <c r="C283" s="54">
        <v>0</v>
      </c>
    </row>
    <row r="284" spans="1:13" x14ac:dyDescent="0.3">
      <c r="B284" t="s">
        <v>500</v>
      </c>
      <c r="C284" s="54">
        <v>0</v>
      </c>
      <c r="F284" s="52"/>
      <c r="G284" s="52"/>
      <c r="H284" s="52"/>
      <c r="I284" s="52"/>
      <c r="J284" s="52"/>
      <c r="K284" s="52"/>
      <c r="L284" s="52"/>
      <c r="M284" s="52"/>
    </row>
    <row r="285" spans="1:13" x14ac:dyDescent="0.3">
      <c r="A285">
        <v>1</v>
      </c>
      <c r="B285" t="s">
        <v>235</v>
      </c>
      <c r="C285" s="54">
        <v>0</v>
      </c>
      <c r="D285" s="43">
        <f>36-A285</f>
        <v>35</v>
      </c>
      <c r="F285" s="52"/>
      <c r="G285" s="52"/>
      <c r="H285" s="52"/>
      <c r="I285" s="52"/>
      <c r="J285" s="52"/>
      <c r="K285" s="52"/>
      <c r="L285" s="52"/>
      <c r="M285" s="52"/>
    </row>
    <row r="286" spans="1:13" x14ac:dyDescent="0.3">
      <c r="A286">
        <v>1</v>
      </c>
      <c r="B286" t="s">
        <v>451</v>
      </c>
      <c r="C286" s="54">
        <v>0</v>
      </c>
      <c r="D286" s="43">
        <f t="shared" ref="D286:D319" si="9">36-A286</f>
        <v>35</v>
      </c>
      <c r="F286" s="52"/>
      <c r="G286" s="52"/>
      <c r="H286" s="52"/>
      <c r="I286" s="52"/>
      <c r="J286" s="52"/>
      <c r="K286" s="52"/>
      <c r="L286" s="52"/>
      <c r="M286" s="52"/>
    </row>
    <row r="287" spans="1:13" x14ac:dyDescent="0.3">
      <c r="A287">
        <v>1</v>
      </c>
      <c r="B287" t="s">
        <v>333</v>
      </c>
      <c r="C287" s="54">
        <v>0</v>
      </c>
      <c r="D287" s="43">
        <f t="shared" si="9"/>
        <v>35</v>
      </c>
      <c r="F287" s="52"/>
      <c r="G287" s="52"/>
      <c r="H287" s="52"/>
      <c r="I287" s="52"/>
      <c r="J287" s="52"/>
      <c r="K287" s="52"/>
      <c r="L287" s="52"/>
      <c r="M287" s="52"/>
    </row>
    <row r="288" spans="1:13" x14ac:dyDescent="0.3">
      <c r="A288">
        <v>1</v>
      </c>
      <c r="B288" t="s">
        <v>452</v>
      </c>
      <c r="C288" s="54">
        <v>0</v>
      </c>
      <c r="D288" s="43">
        <f t="shared" si="9"/>
        <v>35</v>
      </c>
      <c r="F288" s="52"/>
      <c r="G288" s="52"/>
      <c r="H288" s="52"/>
      <c r="I288" s="52"/>
      <c r="J288" s="52"/>
      <c r="K288" s="52"/>
      <c r="L288" s="52"/>
      <c r="M288" s="52"/>
    </row>
    <row r="289" spans="1:13" x14ac:dyDescent="0.3">
      <c r="A289">
        <v>1</v>
      </c>
      <c r="B289" t="s">
        <v>177</v>
      </c>
      <c r="C289" s="54">
        <v>0</v>
      </c>
      <c r="D289" s="43">
        <f t="shared" si="9"/>
        <v>35</v>
      </c>
      <c r="F289" s="52"/>
      <c r="G289" s="52"/>
      <c r="H289" s="52"/>
      <c r="I289" s="52"/>
      <c r="J289" s="52"/>
      <c r="K289" s="52"/>
      <c r="L289" s="52"/>
      <c r="M289" s="52"/>
    </row>
    <row r="290" spans="1:13" x14ac:dyDescent="0.3">
      <c r="A290">
        <v>1</v>
      </c>
      <c r="B290" t="s">
        <v>210</v>
      </c>
      <c r="C290" s="54">
        <v>0</v>
      </c>
      <c r="D290" s="43">
        <f t="shared" si="9"/>
        <v>35</v>
      </c>
      <c r="F290" s="52"/>
      <c r="G290" s="52"/>
      <c r="H290" s="52"/>
      <c r="I290" s="52"/>
      <c r="J290" s="52"/>
      <c r="K290" s="52"/>
      <c r="L290" s="52"/>
      <c r="M290" s="52"/>
    </row>
    <row r="291" spans="1:13" x14ac:dyDescent="0.3">
      <c r="A291">
        <v>1</v>
      </c>
      <c r="B291" t="s">
        <v>453</v>
      </c>
      <c r="C291" s="54">
        <v>0</v>
      </c>
      <c r="D291" s="43">
        <f t="shared" si="9"/>
        <v>35</v>
      </c>
      <c r="F291" s="52"/>
      <c r="G291" s="52"/>
      <c r="H291" s="52"/>
      <c r="I291" s="52"/>
      <c r="J291" s="52"/>
      <c r="K291" s="52"/>
      <c r="L291" s="52"/>
      <c r="M291" s="52"/>
    </row>
    <row r="292" spans="1:13" x14ac:dyDescent="0.3">
      <c r="A292">
        <v>1</v>
      </c>
      <c r="B292" t="s">
        <v>446</v>
      </c>
      <c r="C292" s="54">
        <v>0</v>
      </c>
      <c r="D292" s="43">
        <f t="shared" si="9"/>
        <v>35</v>
      </c>
      <c r="F292" s="52"/>
      <c r="G292" s="52"/>
      <c r="H292" s="52"/>
      <c r="I292" s="52"/>
      <c r="J292" s="52"/>
      <c r="K292" s="52"/>
      <c r="L292" s="52"/>
      <c r="M292" s="52"/>
    </row>
    <row r="293" spans="1:13" x14ac:dyDescent="0.3">
      <c r="A293">
        <v>1</v>
      </c>
      <c r="B293" t="s">
        <v>458</v>
      </c>
      <c r="C293" s="54">
        <v>0</v>
      </c>
      <c r="D293" s="43">
        <f t="shared" si="9"/>
        <v>35</v>
      </c>
      <c r="F293" s="52"/>
      <c r="G293" s="52"/>
      <c r="H293" s="52"/>
      <c r="I293" s="52"/>
      <c r="J293" s="52"/>
      <c r="K293" s="52"/>
      <c r="L293" s="52"/>
      <c r="M293" s="52"/>
    </row>
    <row r="294" spans="1:13" x14ac:dyDescent="0.3">
      <c r="A294">
        <v>1</v>
      </c>
      <c r="B294" t="s">
        <v>318</v>
      </c>
      <c r="C294" s="54">
        <v>0</v>
      </c>
      <c r="D294" s="43">
        <f t="shared" si="9"/>
        <v>35</v>
      </c>
      <c r="F294" s="52"/>
      <c r="G294" s="52"/>
      <c r="H294" s="52"/>
      <c r="I294" s="52"/>
      <c r="J294" s="52"/>
      <c r="K294" s="52"/>
      <c r="L294" s="52"/>
      <c r="M294" s="52"/>
    </row>
    <row r="295" spans="1:13" x14ac:dyDescent="0.3">
      <c r="A295">
        <v>1</v>
      </c>
      <c r="B295" t="s">
        <v>450</v>
      </c>
      <c r="C295" s="54">
        <v>0</v>
      </c>
      <c r="D295" s="43">
        <f t="shared" si="9"/>
        <v>35</v>
      </c>
      <c r="F295" s="52"/>
      <c r="G295" s="52"/>
      <c r="H295" s="52"/>
      <c r="I295" s="52"/>
      <c r="J295" s="52"/>
      <c r="K295" s="52"/>
      <c r="L295" s="52"/>
      <c r="M295" s="52"/>
    </row>
    <row r="296" spans="1:13" x14ac:dyDescent="0.3">
      <c r="A296">
        <v>1</v>
      </c>
      <c r="B296" t="s">
        <v>441</v>
      </c>
      <c r="C296" s="54">
        <v>0</v>
      </c>
      <c r="D296" s="43">
        <f t="shared" si="9"/>
        <v>35</v>
      </c>
      <c r="F296" s="52"/>
      <c r="G296" s="52"/>
      <c r="H296" s="52"/>
      <c r="I296" s="52"/>
      <c r="J296" s="52"/>
      <c r="K296" s="52"/>
      <c r="L296" s="52"/>
      <c r="M296" s="52"/>
    </row>
    <row r="297" spans="1:13" x14ac:dyDescent="0.3">
      <c r="A297">
        <v>1</v>
      </c>
      <c r="B297" t="s">
        <v>304</v>
      </c>
      <c r="C297" s="54">
        <v>0</v>
      </c>
      <c r="D297" s="43">
        <f t="shared" si="9"/>
        <v>35</v>
      </c>
      <c r="F297" s="52"/>
      <c r="G297" s="52"/>
      <c r="H297" s="52"/>
      <c r="I297" s="52"/>
      <c r="J297" s="52"/>
      <c r="K297" s="52"/>
      <c r="L297" s="52"/>
      <c r="M297" s="52"/>
    </row>
    <row r="298" spans="1:13" x14ac:dyDescent="0.3">
      <c r="A298">
        <v>1</v>
      </c>
      <c r="B298" t="s">
        <v>447</v>
      </c>
      <c r="C298" s="54">
        <v>0</v>
      </c>
      <c r="D298" s="43">
        <f t="shared" si="9"/>
        <v>35</v>
      </c>
      <c r="F298" s="52"/>
      <c r="G298" s="52"/>
      <c r="H298" s="52"/>
      <c r="I298" s="52"/>
      <c r="J298" s="52"/>
      <c r="K298" s="52"/>
      <c r="L298" s="52"/>
      <c r="M298" s="52"/>
    </row>
    <row r="299" spans="1:13" x14ac:dyDescent="0.3">
      <c r="A299">
        <v>1</v>
      </c>
      <c r="B299" t="s">
        <v>448</v>
      </c>
      <c r="C299" s="54">
        <v>0</v>
      </c>
      <c r="D299" s="43">
        <f t="shared" si="9"/>
        <v>35</v>
      </c>
      <c r="F299" s="52"/>
      <c r="G299" s="52"/>
      <c r="H299" s="52"/>
      <c r="I299" s="52"/>
      <c r="J299" s="52"/>
      <c r="K299" s="52"/>
      <c r="L299" s="52"/>
      <c r="M299" s="52"/>
    </row>
    <row r="300" spans="1:13" x14ac:dyDescent="0.3">
      <c r="A300">
        <v>1</v>
      </c>
      <c r="B300" t="s">
        <v>288</v>
      </c>
      <c r="C300" s="54">
        <v>0</v>
      </c>
      <c r="D300" s="43">
        <f t="shared" si="9"/>
        <v>35</v>
      </c>
      <c r="F300" s="52"/>
      <c r="G300" s="52"/>
      <c r="H300" s="52"/>
      <c r="I300" s="52"/>
      <c r="J300" s="52"/>
      <c r="K300" s="52"/>
      <c r="L300" s="52"/>
      <c r="M300" s="52"/>
    </row>
    <row r="301" spans="1:13" x14ac:dyDescent="0.3">
      <c r="A301">
        <v>1</v>
      </c>
      <c r="B301" t="s">
        <v>443</v>
      </c>
      <c r="C301" s="54">
        <v>0</v>
      </c>
      <c r="D301" s="43">
        <f t="shared" si="9"/>
        <v>35</v>
      </c>
      <c r="F301" s="52"/>
      <c r="G301" s="52"/>
      <c r="H301" s="52"/>
      <c r="I301" s="52"/>
      <c r="J301" s="52"/>
      <c r="K301" s="52"/>
      <c r="L301" s="52"/>
      <c r="M301" s="52"/>
    </row>
    <row r="302" spans="1:13" x14ac:dyDescent="0.3">
      <c r="A302">
        <v>1</v>
      </c>
      <c r="B302" t="s">
        <v>444</v>
      </c>
      <c r="C302" s="54">
        <v>0</v>
      </c>
      <c r="D302" s="43">
        <f t="shared" si="9"/>
        <v>35</v>
      </c>
      <c r="F302" s="52"/>
      <c r="G302" s="52"/>
      <c r="H302" s="52"/>
      <c r="I302" s="52"/>
      <c r="J302" s="52"/>
      <c r="K302" s="52"/>
      <c r="L302" s="52"/>
      <c r="M302" s="52"/>
    </row>
    <row r="303" spans="1:13" x14ac:dyDescent="0.3">
      <c r="A303">
        <v>1</v>
      </c>
      <c r="B303" t="s">
        <v>415</v>
      </c>
      <c r="C303" s="54">
        <v>0</v>
      </c>
      <c r="D303" s="43">
        <f t="shared" si="9"/>
        <v>35</v>
      </c>
      <c r="F303" s="52"/>
      <c r="G303" s="52"/>
      <c r="H303" s="52"/>
      <c r="I303" s="52"/>
      <c r="J303" s="52"/>
      <c r="K303" s="52"/>
      <c r="L303" s="52"/>
      <c r="M303" s="52"/>
    </row>
    <row r="304" spans="1:13" x14ac:dyDescent="0.3">
      <c r="A304">
        <v>1</v>
      </c>
      <c r="B304" t="s">
        <v>250</v>
      </c>
      <c r="C304" s="54">
        <v>0</v>
      </c>
      <c r="D304" s="43">
        <f t="shared" si="9"/>
        <v>35</v>
      </c>
      <c r="F304" s="52"/>
      <c r="G304" s="52"/>
      <c r="H304" s="52"/>
      <c r="I304" s="52"/>
      <c r="J304" s="52"/>
      <c r="K304" s="52"/>
      <c r="L304" s="52"/>
      <c r="M304" s="52"/>
    </row>
    <row r="305" spans="1:13" x14ac:dyDescent="0.3">
      <c r="A305">
        <v>25</v>
      </c>
      <c r="B305" t="s">
        <v>187</v>
      </c>
      <c r="C305" s="54">
        <v>1</v>
      </c>
      <c r="D305" s="43">
        <f t="shared" si="9"/>
        <v>11</v>
      </c>
      <c r="F305" s="52"/>
      <c r="G305" s="52"/>
      <c r="H305" s="52"/>
      <c r="I305" s="52"/>
      <c r="J305" s="52"/>
      <c r="K305" s="52"/>
      <c r="L305" s="52"/>
      <c r="M305" s="52"/>
    </row>
    <row r="306" spans="1:13" x14ac:dyDescent="0.3">
      <c r="A306">
        <v>25</v>
      </c>
      <c r="B306" t="s">
        <v>457</v>
      </c>
      <c r="C306" s="54">
        <v>1</v>
      </c>
      <c r="D306" s="43">
        <f t="shared" si="9"/>
        <v>11</v>
      </c>
      <c r="F306" s="52"/>
      <c r="G306" s="52"/>
      <c r="H306" s="52"/>
      <c r="I306" s="52"/>
      <c r="J306" s="52"/>
      <c r="K306" s="52"/>
      <c r="L306" s="52"/>
      <c r="M306" s="52"/>
    </row>
    <row r="307" spans="1:13" x14ac:dyDescent="0.3">
      <c r="A307">
        <v>25</v>
      </c>
      <c r="B307" t="s">
        <v>3</v>
      </c>
      <c r="C307" s="54">
        <v>1</v>
      </c>
      <c r="D307" s="43">
        <f t="shared" si="9"/>
        <v>11</v>
      </c>
      <c r="F307" s="52"/>
      <c r="G307" s="52"/>
      <c r="H307" s="52"/>
      <c r="I307" s="52"/>
      <c r="J307" s="52"/>
      <c r="K307" s="52"/>
      <c r="L307" s="52"/>
      <c r="M307" s="52"/>
    </row>
    <row r="308" spans="1:13" x14ac:dyDescent="0.3">
      <c r="A308">
        <v>25</v>
      </c>
      <c r="B308" t="s">
        <v>459</v>
      </c>
      <c r="C308" s="54">
        <v>1</v>
      </c>
      <c r="D308" s="43">
        <f t="shared" si="9"/>
        <v>11</v>
      </c>
      <c r="F308" s="52"/>
      <c r="G308" s="52"/>
      <c r="H308" s="52"/>
      <c r="I308" s="52"/>
      <c r="J308" s="52"/>
      <c r="K308" s="52"/>
      <c r="L308" s="52"/>
      <c r="M308" s="52"/>
    </row>
    <row r="309" spans="1:13" x14ac:dyDescent="0.3">
      <c r="A309">
        <v>25</v>
      </c>
      <c r="B309" t="s">
        <v>353</v>
      </c>
      <c r="C309" s="54">
        <v>1</v>
      </c>
      <c r="D309" s="43">
        <f t="shared" si="9"/>
        <v>11</v>
      </c>
      <c r="F309" s="52"/>
      <c r="G309" s="52"/>
      <c r="H309" s="52"/>
      <c r="I309" s="52"/>
      <c r="J309" s="52"/>
      <c r="K309" s="52"/>
      <c r="L309" s="52"/>
      <c r="M309" s="52"/>
    </row>
    <row r="310" spans="1:13" x14ac:dyDescent="0.3">
      <c r="A310">
        <v>29</v>
      </c>
      <c r="B310" t="s">
        <v>454</v>
      </c>
      <c r="C310" s="54">
        <v>2</v>
      </c>
      <c r="D310" s="43">
        <f t="shared" si="9"/>
        <v>7</v>
      </c>
      <c r="F310" s="52"/>
      <c r="G310" s="52"/>
      <c r="H310" s="52"/>
      <c r="I310" s="52"/>
      <c r="J310" s="52"/>
      <c r="K310" s="52"/>
      <c r="L310" s="52"/>
      <c r="M310" s="52"/>
    </row>
    <row r="311" spans="1:13" x14ac:dyDescent="0.3">
      <c r="A311">
        <v>29</v>
      </c>
      <c r="B311" t="s">
        <v>385</v>
      </c>
      <c r="C311" s="54">
        <v>2</v>
      </c>
      <c r="D311" s="43">
        <f t="shared" si="9"/>
        <v>7</v>
      </c>
      <c r="F311" s="52"/>
      <c r="G311" s="52"/>
      <c r="H311" s="52"/>
      <c r="I311" s="52"/>
      <c r="J311" s="52"/>
      <c r="K311" s="52"/>
      <c r="L311" s="52"/>
      <c r="M311" s="52"/>
    </row>
    <row r="312" spans="1:13" x14ac:dyDescent="0.3">
      <c r="A312">
        <v>29</v>
      </c>
      <c r="B312" t="s">
        <v>442</v>
      </c>
      <c r="C312" s="54">
        <v>2</v>
      </c>
      <c r="D312" s="43">
        <f t="shared" si="9"/>
        <v>7</v>
      </c>
      <c r="F312" s="52"/>
      <c r="G312" s="52"/>
      <c r="H312" s="52"/>
      <c r="I312" s="52"/>
      <c r="J312" s="52"/>
      <c r="K312" s="52"/>
      <c r="L312" s="52"/>
      <c r="M312" s="52"/>
    </row>
    <row r="313" spans="1:13" x14ac:dyDescent="0.3">
      <c r="A313">
        <v>29</v>
      </c>
      <c r="B313" t="s">
        <v>45</v>
      </c>
      <c r="C313" s="54">
        <v>2</v>
      </c>
      <c r="D313" s="43">
        <f t="shared" si="9"/>
        <v>7</v>
      </c>
      <c r="F313" s="52"/>
      <c r="G313" s="52"/>
      <c r="H313" s="52"/>
      <c r="I313" s="52"/>
      <c r="J313" s="52"/>
      <c r="K313" s="52"/>
      <c r="L313" s="52"/>
      <c r="M313" s="52"/>
    </row>
    <row r="314" spans="1:13" x14ac:dyDescent="0.3">
      <c r="A314">
        <v>30</v>
      </c>
      <c r="B314" t="s">
        <v>449</v>
      </c>
      <c r="C314" s="54">
        <v>3</v>
      </c>
      <c r="D314" s="43">
        <f t="shared" si="9"/>
        <v>6</v>
      </c>
      <c r="F314" s="52"/>
      <c r="G314" s="52"/>
      <c r="H314" s="52"/>
      <c r="I314" s="52"/>
      <c r="J314" s="52"/>
      <c r="K314" s="52"/>
      <c r="L314" s="52"/>
      <c r="M314" s="52"/>
    </row>
    <row r="315" spans="1:13" x14ac:dyDescent="0.3">
      <c r="A315">
        <v>33</v>
      </c>
      <c r="B315" t="s">
        <v>107</v>
      </c>
      <c r="C315" s="54">
        <v>4</v>
      </c>
      <c r="D315" s="43">
        <f t="shared" si="9"/>
        <v>3</v>
      </c>
      <c r="F315" s="52"/>
      <c r="G315" s="52"/>
      <c r="H315" s="52"/>
      <c r="I315" s="52"/>
      <c r="J315" s="52"/>
      <c r="K315" s="52"/>
      <c r="L315" s="52"/>
      <c r="M315" s="52"/>
    </row>
    <row r="316" spans="1:13" x14ac:dyDescent="0.3">
      <c r="A316">
        <v>33</v>
      </c>
      <c r="B316" t="s">
        <v>138</v>
      </c>
      <c r="C316" s="54">
        <v>4</v>
      </c>
      <c r="D316" s="43">
        <f t="shared" si="9"/>
        <v>3</v>
      </c>
      <c r="F316" s="52"/>
      <c r="G316" s="52"/>
      <c r="H316" s="52"/>
      <c r="I316" s="52"/>
      <c r="J316" s="52"/>
      <c r="K316" s="52"/>
      <c r="L316" s="52"/>
      <c r="M316" s="52"/>
    </row>
    <row r="317" spans="1:13" x14ac:dyDescent="0.3">
      <c r="A317">
        <v>33</v>
      </c>
      <c r="B317" t="s">
        <v>456</v>
      </c>
      <c r="C317" s="54">
        <v>4</v>
      </c>
      <c r="D317" s="43">
        <f t="shared" si="9"/>
        <v>3</v>
      </c>
      <c r="F317" s="52"/>
      <c r="G317" s="52"/>
      <c r="H317" s="52"/>
      <c r="I317" s="52"/>
      <c r="J317" s="52"/>
      <c r="K317" s="52"/>
      <c r="L317" s="52"/>
      <c r="M317" s="52"/>
    </row>
    <row r="318" spans="1:13" x14ac:dyDescent="0.3">
      <c r="A318">
        <v>34</v>
      </c>
      <c r="B318" t="s">
        <v>76</v>
      </c>
      <c r="C318" s="54">
        <v>5</v>
      </c>
      <c r="D318" s="43">
        <f t="shared" si="9"/>
        <v>2</v>
      </c>
    </row>
    <row r="319" spans="1:13" x14ac:dyDescent="0.3">
      <c r="A319">
        <v>35</v>
      </c>
      <c r="B319" t="s">
        <v>140</v>
      </c>
      <c r="C319" s="54">
        <v>6</v>
      </c>
      <c r="D319" s="43">
        <f t="shared" si="9"/>
        <v>1</v>
      </c>
    </row>
    <row r="320" spans="1:13" x14ac:dyDescent="0.3">
      <c r="F320" s="52"/>
      <c r="G320" s="52"/>
      <c r="H320" s="52"/>
      <c r="I320" s="52"/>
      <c r="J320" s="52"/>
      <c r="K320" s="52"/>
      <c r="L320" s="52"/>
      <c r="M320" s="52"/>
    </row>
    <row r="321" spans="1:13" x14ac:dyDescent="0.3">
      <c r="B321" t="s">
        <v>445</v>
      </c>
      <c r="C321">
        <v>0</v>
      </c>
      <c r="F321" s="52"/>
      <c r="G321" s="52"/>
      <c r="H321" s="52"/>
      <c r="I321" s="52"/>
      <c r="J321" s="52"/>
      <c r="K321" s="52"/>
      <c r="L321" s="52"/>
      <c r="M321" s="52"/>
    </row>
    <row r="322" spans="1:13" x14ac:dyDescent="0.3">
      <c r="B322" t="s">
        <v>455</v>
      </c>
      <c r="C322">
        <v>0</v>
      </c>
      <c r="F322" s="52"/>
      <c r="G322" s="52"/>
      <c r="H322" s="52"/>
      <c r="I322" s="52"/>
      <c r="J322" s="52"/>
      <c r="K322" s="52"/>
      <c r="L322" s="52"/>
      <c r="M322" s="52"/>
    </row>
    <row r="323" spans="1:13" x14ac:dyDescent="0.3">
      <c r="B323" t="s">
        <v>500</v>
      </c>
      <c r="C323">
        <v>0</v>
      </c>
      <c r="F323" s="52"/>
      <c r="G323" s="52"/>
      <c r="H323" s="52"/>
      <c r="I323" s="52"/>
      <c r="J323" s="52"/>
      <c r="K323" s="52"/>
      <c r="L323" s="52"/>
      <c r="M323" s="52"/>
    </row>
    <row r="324" spans="1:13" x14ac:dyDescent="0.3">
      <c r="A324">
        <v>35</v>
      </c>
      <c r="B324" t="s">
        <v>441</v>
      </c>
      <c r="C324">
        <v>18</v>
      </c>
      <c r="D324" s="43">
        <f>36-A324</f>
        <v>1</v>
      </c>
      <c r="E324" t="b">
        <f t="shared" ref="E324:E358" si="10">+C324=C325</f>
        <v>1</v>
      </c>
      <c r="F324" s="52"/>
      <c r="G324" s="52"/>
      <c r="H324" s="52"/>
      <c r="I324" s="52"/>
      <c r="J324" s="52"/>
      <c r="K324" s="52"/>
      <c r="L324" s="52"/>
      <c r="M324" s="52"/>
    </row>
    <row r="325" spans="1:13" x14ac:dyDescent="0.3">
      <c r="A325">
        <v>35</v>
      </c>
      <c r="B325" t="s">
        <v>304</v>
      </c>
      <c r="C325">
        <v>18</v>
      </c>
      <c r="D325" s="43">
        <f t="shared" ref="D325:D358" si="11">36-A325</f>
        <v>1</v>
      </c>
      <c r="E325" t="b">
        <f t="shared" si="10"/>
        <v>0</v>
      </c>
      <c r="F325" s="52"/>
      <c r="G325" s="52"/>
      <c r="H325" s="52"/>
      <c r="I325" s="52"/>
      <c r="J325" s="52"/>
      <c r="K325" s="52"/>
      <c r="L325" s="52"/>
      <c r="M325" s="52"/>
    </row>
    <row r="326" spans="1:13" x14ac:dyDescent="0.3">
      <c r="A326">
        <v>33</v>
      </c>
      <c r="B326" t="s">
        <v>446</v>
      </c>
      <c r="C326">
        <v>23</v>
      </c>
      <c r="D326" s="43">
        <f t="shared" si="11"/>
        <v>3</v>
      </c>
      <c r="E326" t="b">
        <f t="shared" si="10"/>
        <v>0</v>
      </c>
      <c r="F326" s="52"/>
      <c r="G326" s="52"/>
      <c r="H326" s="52"/>
      <c r="I326" s="52"/>
      <c r="J326" s="52"/>
      <c r="K326" s="52"/>
      <c r="L326" s="52"/>
      <c r="M326" s="52"/>
    </row>
    <row r="327" spans="1:13" x14ac:dyDescent="0.3">
      <c r="A327">
        <v>32</v>
      </c>
      <c r="B327" t="s">
        <v>318</v>
      </c>
      <c r="C327">
        <v>24</v>
      </c>
      <c r="D327" s="43">
        <f t="shared" si="11"/>
        <v>4</v>
      </c>
      <c r="E327" t="b">
        <f t="shared" si="10"/>
        <v>1</v>
      </c>
      <c r="F327" s="52"/>
      <c r="G327" s="52"/>
      <c r="H327" s="52"/>
      <c r="I327" s="52"/>
      <c r="J327" s="52"/>
      <c r="K327" s="52"/>
      <c r="L327" s="52"/>
      <c r="M327" s="52"/>
    </row>
    <row r="328" spans="1:13" x14ac:dyDescent="0.3">
      <c r="A328">
        <v>32</v>
      </c>
      <c r="B328" t="s">
        <v>448</v>
      </c>
      <c r="C328">
        <v>24</v>
      </c>
      <c r="D328" s="43">
        <f t="shared" si="11"/>
        <v>4</v>
      </c>
      <c r="E328" t="b">
        <f t="shared" si="10"/>
        <v>0</v>
      </c>
      <c r="F328" s="52"/>
      <c r="G328" s="52"/>
      <c r="H328" s="52"/>
      <c r="I328" s="52"/>
      <c r="J328" s="52"/>
      <c r="K328" s="52"/>
      <c r="L328" s="52"/>
      <c r="M328" s="52"/>
    </row>
    <row r="329" spans="1:13" x14ac:dyDescent="0.3">
      <c r="A329">
        <v>30</v>
      </c>
      <c r="B329" t="s">
        <v>442</v>
      </c>
      <c r="C329">
        <v>25</v>
      </c>
      <c r="D329" s="43">
        <f t="shared" si="11"/>
        <v>6</v>
      </c>
      <c r="E329" t="b">
        <f t="shared" si="10"/>
        <v>0</v>
      </c>
      <c r="F329" s="52"/>
      <c r="G329" s="52"/>
      <c r="H329" s="52"/>
      <c r="I329" s="52"/>
      <c r="J329" s="52"/>
      <c r="K329" s="52"/>
      <c r="L329" s="52"/>
      <c r="M329" s="52"/>
    </row>
    <row r="330" spans="1:13" x14ac:dyDescent="0.3">
      <c r="A330">
        <v>29</v>
      </c>
      <c r="B330" t="s">
        <v>453</v>
      </c>
      <c r="C330">
        <v>26</v>
      </c>
      <c r="D330" s="43">
        <f t="shared" si="11"/>
        <v>7</v>
      </c>
      <c r="E330" t="b">
        <f t="shared" si="10"/>
        <v>1</v>
      </c>
      <c r="F330" s="52"/>
      <c r="G330" s="52"/>
      <c r="H330" s="52"/>
      <c r="I330" s="52"/>
      <c r="J330" s="52"/>
      <c r="K330" s="52"/>
      <c r="L330" s="52"/>
      <c r="M330" s="52"/>
    </row>
    <row r="331" spans="1:13" x14ac:dyDescent="0.3">
      <c r="A331">
        <v>29</v>
      </c>
      <c r="B331" t="s">
        <v>451</v>
      </c>
      <c r="C331">
        <v>26</v>
      </c>
      <c r="D331" s="43">
        <f t="shared" si="11"/>
        <v>7</v>
      </c>
      <c r="E331" t="b">
        <f t="shared" si="10"/>
        <v>0</v>
      </c>
      <c r="F331" s="52"/>
      <c r="G331" s="52"/>
      <c r="H331" s="52"/>
      <c r="I331" s="52"/>
      <c r="J331" s="52"/>
      <c r="K331" s="52"/>
      <c r="L331" s="52"/>
      <c r="M331" s="52"/>
    </row>
    <row r="332" spans="1:13" x14ac:dyDescent="0.3">
      <c r="A332">
        <v>27</v>
      </c>
      <c r="B332" t="s">
        <v>415</v>
      </c>
      <c r="C332">
        <v>27</v>
      </c>
      <c r="D332" s="43">
        <f t="shared" si="11"/>
        <v>9</v>
      </c>
      <c r="E332" t="b">
        <f t="shared" si="10"/>
        <v>1</v>
      </c>
      <c r="F332" s="52"/>
      <c r="G332" s="52"/>
      <c r="H332" s="52"/>
      <c r="I332" s="52"/>
      <c r="J332" s="52"/>
      <c r="K332" s="52"/>
      <c r="L332" s="52"/>
      <c r="M332" s="52"/>
    </row>
    <row r="333" spans="1:13" x14ac:dyDescent="0.3">
      <c r="A333">
        <v>27</v>
      </c>
      <c r="B333" t="s">
        <v>333</v>
      </c>
      <c r="C333">
        <v>27</v>
      </c>
      <c r="D333" s="43">
        <f t="shared" si="11"/>
        <v>9</v>
      </c>
      <c r="E333" t="b">
        <f t="shared" si="10"/>
        <v>0</v>
      </c>
      <c r="F333" s="52"/>
      <c r="G333" s="52"/>
      <c r="H333" s="52"/>
      <c r="I333" s="52"/>
      <c r="J333" s="52"/>
      <c r="K333" s="52"/>
      <c r="L333" s="52"/>
      <c r="M333" s="52"/>
    </row>
    <row r="334" spans="1:13" x14ac:dyDescent="0.3">
      <c r="A334">
        <v>25</v>
      </c>
      <c r="B334" t="s">
        <v>444</v>
      </c>
      <c r="C334">
        <v>28</v>
      </c>
      <c r="D334" s="43">
        <f t="shared" si="11"/>
        <v>11</v>
      </c>
      <c r="E334" t="b">
        <f t="shared" si="10"/>
        <v>1</v>
      </c>
      <c r="F334" s="52"/>
      <c r="G334" s="52"/>
      <c r="H334" s="52"/>
      <c r="I334" s="52"/>
      <c r="J334" s="52"/>
      <c r="K334" s="52"/>
      <c r="L334" s="52"/>
      <c r="M334" s="52"/>
    </row>
    <row r="335" spans="1:13" x14ac:dyDescent="0.3">
      <c r="A335">
        <v>25</v>
      </c>
      <c r="B335" t="s">
        <v>353</v>
      </c>
      <c r="C335">
        <v>28</v>
      </c>
      <c r="D335" s="43">
        <f t="shared" si="11"/>
        <v>11</v>
      </c>
      <c r="E335" t="b">
        <f t="shared" si="10"/>
        <v>1</v>
      </c>
      <c r="F335" s="52"/>
      <c r="G335" s="52"/>
      <c r="H335" s="52"/>
      <c r="I335" s="52"/>
      <c r="J335" s="52"/>
      <c r="K335" s="52"/>
      <c r="L335" s="52"/>
      <c r="M335" s="52"/>
    </row>
    <row r="336" spans="1:13" x14ac:dyDescent="0.3">
      <c r="A336">
        <v>25</v>
      </c>
      <c r="B336" t="s">
        <v>454</v>
      </c>
      <c r="C336">
        <v>28</v>
      </c>
      <c r="D336" s="43">
        <f t="shared" si="11"/>
        <v>11</v>
      </c>
      <c r="E336" t="b">
        <f t="shared" si="10"/>
        <v>1</v>
      </c>
      <c r="F336" s="52"/>
      <c r="G336" s="52"/>
      <c r="H336" s="52"/>
      <c r="I336" s="52"/>
      <c r="J336" s="52"/>
      <c r="K336" s="52"/>
      <c r="L336" s="52"/>
      <c r="M336" s="52"/>
    </row>
    <row r="337" spans="1:13" x14ac:dyDescent="0.3">
      <c r="A337">
        <v>25</v>
      </c>
      <c r="B337" t="s">
        <v>385</v>
      </c>
      <c r="C337">
        <v>28</v>
      </c>
      <c r="D337" s="43">
        <f t="shared" si="11"/>
        <v>11</v>
      </c>
      <c r="E337" t="b">
        <f t="shared" si="10"/>
        <v>1</v>
      </c>
      <c r="F337" s="52"/>
      <c r="G337" s="52"/>
      <c r="H337" s="52"/>
      <c r="I337" s="52"/>
      <c r="J337" s="52"/>
      <c r="K337" s="52"/>
      <c r="L337" s="52"/>
      <c r="M337" s="52"/>
    </row>
    <row r="338" spans="1:13" x14ac:dyDescent="0.3">
      <c r="A338">
        <v>25</v>
      </c>
      <c r="B338" t="s">
        <v>449</v>
      </c>
      <c r="C338">
        <v>28</v>
      </c>
      <c r="D338" s="43">
        <f t="shared" si="11"/>
        <v>11</v>
      </c>
      <c r="E338" t="b">
        <f t="shared" si="10"/>
        <v>1</v>
      </c>
      <c r="F338" s="52"/>
      <c r="G338" s="52"/>
      <c r="H338" s="52"/>
      <c r="I338" s="52"/>
      <c r="J338" s="52"/>
      <c r="K338" s="52"/>
      <c r="L338" s="52"/>
      <c r="M338" s="52"/>
    </row>
    <row r="339" spans="1:13" x14ac:dyDescent="0.3">
      <c r="A339">
        <v>25</v>
      </c>
      <c r="B339" t="s">
        <v>250</v>
      </c>
      <c r="C339">
        <v>28</v>
      </c>
      <c r="D339" s="43">
        <f t="shared" si="11"/>
        <v>11</v>
      </c>
      <c r="E339" t="b">
        <f t="shared" si="10"/>
        <v>1</v>
      </c>
      <c r="F339" s="52"/>
      <c r="G339" s="52"/>
      <c r="H339" s="52"/>
      <c r="I339" s="52"/>
      <c r="J339" s="52"/>
      <c r="K339" s="52"/>
      <c r="L339" s="52"/>
      <c r="M339" s="52"/>
    </row>
    <row r="340" spans="1:13" x14ac:dyDescent="0.3">
      <c r="A340">
        <v>25</v>
      </c>
      <c r="B340" t="s">
        <v>187</v>
      </c>
      <c r="C340">
        <v>28</v>
      </c>
      <c r="D340" s="43">
        <f t="shared" si="11"/>
        <v>11</v>
      </c>
      <c r="E340" t="b">
        <f t="shared" si="10"/>
        <v>1</v>
      </c>
      <c r="F340" s="52"/>
      <c r="G340" s="52"/>
      <c r="H340" s="52"/>
      <c r="I340" s="52"/>
      <c r="J340" s="52"/>
      <c r="K340" s="52"/>
      <c r="L340" s="52"/>
      <c r="M340" s="52"/>
    </row>
    <row r="341" spans="1:13" x14ac:dyDescent="0.3">
      <c r="A341">
        <v>25</v>
      </c>
      <c r="B341" t="s">
        <v>3</v>
      </c>
      <c r="C341">
        <v>28</v>
      </c>
      <c r="D341" s="43">
        <f t="shared" si="11"/>
        <v>11</v>
      </c>
      <c r="E341" t="b">
        <f t="shared" si="10"/>
        <v>0</v>
      </c>
      <c r="F341" s="52"/>
      <c r="G341" s="52"/>
      <c r="H341" s="52"/>
      <c r="I341" s="52"/>
      <c r="J341" s="52"/>
      <c r="K341" s="52"/>
      <c r="L341" s="52"/>
      <c r="M341" s="52"/>
    </row>
    <row r="342" spans="1:13" x14ac:dyDescent="0.3">
      <c r="A342">
        <v>17</v>
      </c>
      <c r="B342" t="s">
        <v>457</v>
      </c>
      <c r="C342">
        <v>29</v>
      </c>
      <c r="D342" s="43">
        <f t="shared" si="11"/>
        <v>19</v>
      </c>
      <c r="E342" t="b">
        <f t="shared" si="10"/>
        <v>1</v>
      </c>
      <c r="F342" s="52"/>
      <c r="G342" s="52"/>
      <c r="H342" s="52"/>
      <c r="I342" s="52"/>
      <c r="J342" s="52"/>
      <c r="K342" s="52"/>
      <c r="L342" s="52"/>
      <c r="M342" s="52"/>
    </row>
    <row r="343" spans="1:13" x14ac:dyDescent="0.3">
      <c r="A343">
        <v>17</v>
      </c>
      <c r="B343" t="s">
        <v>452</v>
      </c>
      <c r="C343">
        <v>29</v>
      </c>
      <c r="D343" s="43">
        <f t="shared" si="11"/>
        <v>19</v>
      </c>
      <c r="E343" t="b">
        <f t="shared" si="10"/>
        <v>1</v>
      </c>
      <c r="F343" s="52"/>
      <c r="G343" s="52"/>
      <c r="H343" s="52"/>
      <c r="I343" s="52"/>
      <c r="J343" s="52"/>
      <c r="K343" s="52"/>
      <c r="L343" s="52"/>
      <c r="M343" s="52"/>
    </row>
    <row r="344" spans="1:13" x14ac:dyDescent="0.3">
      <c r="A344">
        <v>17</v>
      </c>
      <c r="B344" t="s">
        <v>456</v>
      </c>
      <c r="C344">
        <v>29</v>
      </c>
      <c r="D344" s="43">
        <f t="shared" si="11"/>
        <v>19</v>
      </c>
      <c r="E344" t="b">
        <f t="shared" si="10"/>
        <v>1</v>
      </c>
      <c r="F344" s="52"/>
      <c r="G344" s="52"/>
      <c r="H344" s="52"/>
      <c r="I344" s="52"/>
      <c r="J344" s="52"/>
      <c r="K344" s="52"/>
      <c r="L344" s="52"/>
      <c r="M344" s="52"/>
    </row>
    <row r="345" spans="1:13" x14ac:dyDescent="0.3">
      <c r="A345">
        <v>17</v>
      </c>
      <c r="B345" t="s">
        <v>447</v>
      </c>
      <c r="C345">
        <v>29</v>
      </c>
      <c r="D345" s="43">
        <f t="shared" si="11"/>
        <v>19</v>
      </c>
      <c r="E345" t="b">
        <f t="shared" si="10"/>
        <v>1</v>
      </c>
      <c r="F345" s="52"/>
      <c r="G345" s="52"/>
      <c r="H345" s="52"/>
      <c r="I345" s="52"/>
      <c r="J345" s="52"/>
      <c r="K345" s="52"/>
      <c r="L345" s="52"/>
      <c r="M345" s="52"/>
    </row>
    <row r="346" spans="1:13" x14ac:dyDescent="0.3">
      <c r="A346">
        <v>17</v>
      </c>
      <c r="B346" t="s">
        <v>288</v>
      </c>
      <c r="C346">
        <v>29</v>
      </c>
      <c r="D346" s="43">
        <f t="shared" si="11"/>
        <v>19</v>
      </c>
      <c r="E346" t="b">
        <f t="shared" si="10"/>
        <v>1</v>
      </c>
      <c r="F346" s="52"/>
      <c r="G346" s="52"/>
      <c r="H346" s="52"/>
      <c r="I346" s="52"/>
      <c r="J346" s="52"/>
      <c r="K346" s="52"/>
      <c r="L346" s="52"/>
      <c r="M346" s="52"/>
    </row>
    <row r="347" spans="1:13" x14ac:dyDescent="0.3">
      <c r="A347">
        <v>17</v>
      </c>
      <c r="B347" t="s">
        <v>45</v>
      </c>
      <c r="C347">
        <v>29</v>
      </c>
      <c r="D347" s="43">
        <f t="shared" si="11"/>
        <v>19</v>
      </c>
      <c r="E347" t="b">
        <f t="shared" si="10"/>
        <v>1</v>
      </c>
      <c r="F347" s="52"/>
      <c r="G347" s="52"/>
      <c r="H347" s="52"/>
      <c r="I347" s="52"/>
      <c r="J347" s="52"/>
      <c r="K347" s="52"/>
      <c r="L347" s="52"/>
      <c r="M347" s="52"/>
    </row>
    <row r="348" spans="1:13" x14ac:dyDescent="0.3">
      <c r="A348">
        <v>17</v>
      </c>
      <c r="B348" t="s">
        <v>450</v>
      </c>
      <c r="C348">
        <v>29</v>
      </c>
      <c r="D348" s="43">
        <f t="shared" si="11"/>
        <v>19</v>
      </c>
      <c r="E348" t="b">
        <f t="shared" si="10"/>
        <v>1</v>
      </c>
      <c r="F348" s="52"/>
      <c r="G348" s="52"/>
      <c r="H348" s="52"/>
      <c r="I348" s="52"/>
      <c r="J348" s="52"/>
      <c r="K348" s="52"/>
      <c r="L348" s="52"/>
      <c r="M348" s="52"/>
    </row>
    <row r="349" spans="1:13" x14ac:dyDescent="0.3">
      <c r="A349">
        <v>17</v>
      </c>
      <c r="B349" t="s">
        <v>107</v>
      </c>
      <c r="C349">
        <v>29</v>
      </c>
      <c r="D349" s="43">
        <f t="shared" si="11"/>
        <v>19</v>
      </c>
      <c r="E349" t="b">
        <f t="shared" si="10"/>
        <v>0</v>
      </c>
      <c r="F349" s="52"/>
      <c r="G349" s="52"/>
      <c r="H349" s="52"/>
      <c r="I349" s="52"/>
      <c r="J349" s="52"/>
      <c r="K349" s="52"/>
      <c r="L349" s="52"/>
      <c r="M349" s="52"/>
    </row>
    <row r="350" spans="1:13" x14ac:dyDescent="0.3">
      <c r="A350">
        <v>1</v>
      </c>
      <c r="B350" t="s">
        <v>458</v>
      </c>
      <c r="C350">
        <v>30</v>
      </c>
      <c r="D350" s="43">
        <f t="shared" si="11"/>
        <v>35</v>
      </c>
      <c r="E350" t="b">
        <f t="shared" si="10"/>
        <v>1</v>
      </c>
      <c r="F350" s="52"/>
      <c r="G350" s="52"/>
      <c r="H350" s="52"/>
      <c r="I350" s="52"/>
      <c r="J350" s="52"/>
      <c r="K350" s="52"/>
      <c r="L350" s="52"/>
      <c r="M350" s="52"/>
    </row>
    <row r="351" spans="1:13" x14ac:dyDescent="0.3">
      <c r="A351">
        <v>1</v>
      </c>
      <c r="B351" t="s">
        <v>443</v>
      </c>
      <c r="C351">
        <v>30</v>
      </c>
      <c r="D351" s="43">
        <f t="shared" si="11"/>
        <v>35</v>
      </c>
      <c r="E351" t="b">
        <f t="shared" si="10"/>
        <v>1</v>
      </c>
      <c r="F351" s="52"/>
      <c r="G351" s="52"/>
      <c r="H351" s="52"/>
      <c r="I351" s="52"/>
      <c r="J351" s="52"/>
      <c r="K351" s="52"/>
      <c r="L351" s="52"/>
      <c r="M351" s="52"/>
    </row>
    <row r="352" spans="1:13" x14ac:dyDescent="0.3">
      <c r="A352">
        <v>1</v>
      </c>
      <c r="B352" t="s">
        <v>235</v>
      </c>
      <c r="C352">
        <v>30</v>
      </c>
      <c r="D352" s="43">
        <f t="shared" si="11"/>
        <v>35</v>
      </c>
      <c r="E352" t="b">
        <f t="shared" si="10"/>
        <v>1</v>
      </c>
      <c r="F352" s="52"/>
      <c r="G352" s="52"/>
      <c r="H352" s="52"/>
      <c r="I352" s="52"/>
      <c r="J352" s="52"/>
      <c r="K352" s="52"/>
      <c r="L352" s="52"/>
      <c r="M352" s="52"/>
    </row>
    <row r="353" spans="1:22" x14ac:dyDescent="0.3">
      <c r="A353">
        <v>1</v>
      </c>
      <c r="B353" t="s">
        <v>210</v>
      </c>
      <c r="C353">
        <v>30</v>
      </c>
      <c r="D353" s="43">
        <f t="shared" si="11"/>
        <v>35</v>
      </c>
      <c r="E353" t="b">
        <f t="shared" si="10"/>
        <v>1</v>
      </c>
      <c r="F353" s="52"/>
      <c r="G353" s="52"/>
      <c r="H353" s="52"/>
      <c r="I353" s="52"/>
      <c r="J353" s="52"/>
      <c r="K353" s="52"/>
      <c r="L353" s="52"/>
      <c r="M353" s="52"/>
    </row>
    <row r="354" spans="1:22" x14ac:dyDescent="0.3">
      <c r="A354">
        <v>1</v>
      </c>
      <c r="B354" t="s">
        <v>138</v>
      </c>
      <c r="C354">
        <v>30</v>
      </c>
      <c r="D354" s="43">
        <f t="shared" si="11"/>
        <v>35</v>
      </c>
      <c r="E354" t="b">
        <f t="shared" si="10"/>
        <v>1</v>
      </c>
      <c r="F354" s="52"/>
      <c r="G354" s="52"/>
      <c r="H354" s="52"/>
      <c r="I354" s="52"/>
      <c r="J354" s="52"/>
      <c r="K354" s="52"/>
      <c r="L354" s="52"/>
      <c r="M354" s="52"/>
    </row>
    <row r="355" spans="1:22" x14ac:dyDescent="0.3">
      <c r="A355">
        <v>1</v>
      </c>
      <c r="B355" t="s">
        <v>459</v>
      </c>
      <c r="C355">
        <v>30</v>
      </c>
      <c r="D355" s="43">
        <f t="shared" si="11"/>
        <v>35</v>
      </c>
      <c r="E355" t="b">
        <f t="shared" si="10"/>
        <v>1</v>
      </c>
      <c r="F355" s="52"/>
      <c r="G355" s="52"/>
      <c r="H355" s="52"/>
      <c r="I355" s="52"/>
      <c r="J355" s="52"/>
      <c r="K355" s="52"/>
      <c r="L355" s="52"/>
      <c r="M355" s="52"/>
    </row>
    <row r="356" spans="1:22" x14ac:dyDescent="0.3">
      <c r="A356">
        <v>1</v>
      </c>
      <c r="B356" t="s">
        <v>177</v>
      </c>
      <c r="C356">
        <v>30</v>
      </c>
      <c r="D356" s="43">
        <f t="shared" si="11"/>
        <v>35</v>
      </c>
      <c r="E356" t="b">
        <f t="shared" si="10"/>
        <v>1</v>
      </c>
      <c r="F356" s="52"/>
      <c r="G356" s="52"/>
      <c r="H356" s="52"/>
      <c r="I356" s="52"/>
      <c r="J356" s="52"/>
      <c r="K356" s="52"/>
      <c r="L356" s="52"/>
      <c r="M356" s="52"/>
    </row>
    <row r="357" spans="1:22" x14ac:dyDescent="0.3">
      <c r="A357">
        <v>1</v>
      </c>
      <c r="B357" t="s">
        <v>76</v>
      </c>
      <c r="C357">
        <v>30</v>
      </c>
      <c r="D357" s="43">
        <f t="shared" si="11"/>
        <v>35</v>
      </c>
      <c r="E357" t="b">
        <f t="shared" si="10"/>
        <v>1</v>
      </c>
      <c r="F357" s="52"/>
      <c r="G357" s="52"/>
      <c r="H357" s="52"/>
      <c r="I357" s="52"/>
      <c r="J357" s="52"/>
      <c r="K357" s="52"/>
      <c r="L357" s="52"/>
      <c r="M357" s="52"/>
    </row>
    <row r="358" spans="1:22" x14ac:dyDescent="0.3">
      <c r="A358">
        <v>1</v>
      </c>
      <c r="B358" t="s">
        <v>140</v>
      </c>
      <c r="C358">
        <v>30</v>
      </c>
      <c r="D358" s="43">
        <f t="shared" si="11"/>
        <v>35</v>
      </c>
      <c r="E358" t="b">
        <f t="shared" si="10"/>
        <v>0</v>
      </c>
      <c r="F358" s="52"/>
      <c r="G358" s="52"/>
      <c r="H358" s="52"/>
      <c r="I358" s="52"/>
      <c r="J358" s="52"/>
      <c r="K358" s="52"/>
      <c r="L358" s="52"/>
      <c r="M358" s="52"/>
    </row>
    <row r="359" spans="1:22" x14ac:dyDescent="0.3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O359">
        <v>2</v>
      </c>
      <c r="P359">
        <f>++O359+1</f>
        <v>3</v>
      </c>
      <c r="Q359">
        <f t="shared" ref="Q359:V359" si="12">++P359+1</f>
        <v>4</v>
      </c>
      <c r="R359">
        <f t="shared" si="12"/>
        <v>5</v>
      </c>
      <c r="S359">
        <f t="shared" si="12"/>
        <v>6</v>
      </c>
      <c r="T359">
        <f t="shared" si="12"/>
        <v>7</v>
      </c>
      <c r="U359">
        <f t="shared" si="12"/>
        <v>8</v>
      </c>
      <c r="V359">
        <f t="shared" si="12"/>
        <v>9</v>
      </c>
    </row>
    <row r="360" spans="1:22" x14ac:dyDescent="0.3">
      <c r="A360" s="52"/>
      <c r="B360" s="52"/>
      <c r="C360" s="57">
        <v>0.25</v>
      </c>
      <c r="D360" s="57">
        <v>0.2</v>
      </c>
      <c r="E360" s="57">
        <v>0.1</v>
      </c>
      <c r="F360" s="57">
        <v>0.05</v>
      </c>
      <c r="G360" s="57">
        <v>0.25</v>
      </c>
      <c r="H360" s="57">
        <v>0.1</v>
      </c>
      <c r="I360" s="57">
        <v>0.05</v>
      </c>
      <c r="J360" s="57">
        <f>+SUM(C360:I360)</f>
        <v>1</v>
      </c>
      <c r="K360" s="52"/>
      <c r="L360" s="52"/>
      <c r="M360" s="52"/>
      <c r="N360" s="52"/>
      <c r="O360" s="57">
        <v>0.25</v>
      </c>
      <c r="P360" s="57">
        <v>0.2</v>
      </c>
      <c r="Q360" s="57">
        <v>0.1</v>
      </c>
      <c r="R360" s="57">
        <v>0.05</v>
      </c>
      <c r="S360" s="57">
        <v>0.25</v>
      </c>
      <c r="T360" s="57">
        <v>0.1</v>
      </c>
      <c r="U360" s="57">
        <v>0.05</v>
      </c>
      <c r="V360" s="57">
        <f>+SUM(O360:U360)</f>
        <v>1</v>
      </c>
    </row>
    <row r="361" spans="1:22" x14ac:dyDescent="0.3">
      <c r="A361" s="52"/>
      <c r="B361" s="58" t="s">
        <v>235</v>
      </c>
      <c r="C361" s="55" t="s">
        <v>911</v>
      </c>
      <c r="D361" s="55" t="s">
        <v>912</v>
      </c>
      <c r="E361" s="55" t="s">
        <v>913</v>
      </c>
      <c r="F361" s="55" t="s">
        <v>914</v>
      </c>
      <c r="G361" s="55" t="s">
        <v>915</v>
      </c>
      <c r="H361" s="55" t="s">
        <v>916</v>
      </c>
      <c r="I361" s="55" t="s">
        <v>910</v>
      </c>
      <c r="J361" s="55" t="s">
        <v>909</v>
      </c>
      <c r="K361" s="52"/>
      <c r="L361" s="52"/>
      <c r="M361" s="52"/>
      <c r="N361" s="59" t="s">
        <v>917</v>
      </c>
      <c r="O361" s="55" t="s">
        <v>911</v>
      </c>
      <c r="P361" s="55" t="s">
        <v>912</v>
      </c>
      <c r="Q361" s="55" t="s">
        <v>913</v>
      </c>
      <c r="R361" s="55" t="s">
        <v>914</v>
      </c>
      <c r="S361" s="55" t="s">
        <v>915</v>
      </c>
      <c r="T361" s="55" t="s">
        <v>916</v>
      </c>
      <c r="U361" s="55" t="s">
        <v>910</v>
      </c>
      <c r="V361" s="55" t="s">
        <v>909</v>
      </c>
    </row>
    <row r="362" spans="1:22" x14ac:dyDescent="0.3">
      <c r="A362" s="52"/>
      <c r="B362" s="58" t="s">
        <v>235</v>
      </c>
      <c r="C362" s="55">
        <f>VLOOKUP(B362,$B$45:$E$79,4,FALSE)</f>
        <v>35</v>
      </c>
      <c r="D362" s="55">
        <f>VLOOKUP(B362,$B$84:$E$118,4,FALSE)</f>
        <v>30</v>
      </c>
      <c r="E362" s="55">
        <f>VLOOKUP(B362,$B$123:$D$157,3,FALSE)</f>
        <v>5</v>
      </c>
      <c r="F362" s="55">
        <f>VLOOKUP(B362,$B$206:$D$240,3,FALSE)</f>
        <v>29</v>
      </c>
      <c r="G362" s="55">
        <f>VLOOKUP(B362,$B$245:$E$279,4,FALSE)</f>
        <v>34</v>
      </c>
      <c r="H362" s="55">
        <f>VLOOKUP(B362,$B$285:$D$319,3,FALSE)</f>
        <v>35</v>
      </c>
      <c r="I362" s="55">
        <f>VLOOKUP(B362,$B$324:$D$358,3,FALSE)</f>
        <v>35</v>
      </c>
      <c r="J362" s="60">
        <f t="shared" ref="J362:J396" si="13">+$C$360*C362+$D$360*D362+$E$360*E362+$F$360*F362+$G$360*G362+$H$360*H362+I362*$I$360+L362/1000</f>
        <v>30.451000000000001</v>
      </c>
      <c r="K362" s="52" t="str">
        <f>+B362</f>
        <v>Integridad Democrática</v>
      </c>
      <c r="L362" s="52">
        <v>1</v>
      </c>
      <c r="M362" s="60">
        <f>+SMALL($J$362:$J$396,L362)</f>
        <v>7.133</v>
      </c>
      <c r="N362" s="59" t="str">
        <f>+VLOOKUP(M362,$J$362:$K$396,2,FALSE)</f>
        <v>Podemos Perú</v>
      </c>
      <c r="O362" s="15">
        <f>+VLOOKUP($N362,$B$362:$J$396,O$359,FALSE)</f>
        <v>8</v>
      </c>
      <c r="P362" s="15">
        <f t="shared" ref="P362:V377" si="14">+VLOOKUP($N362,$B$362:$J$396,P$359,FALSE)</f>
        <v>9</v>
      </c>
      <c r="Q362" s="15">
        <f t="shared" si="14"/>
        <v>7</v>
      </c>
      <c r="R362" s="15">
        <f t="shared" si="14"/>
        <v>22</v>
      </c>
      <c r="S362" s="15">
        <f t="shared" si="14"/>
        <v>1</v>
      </c>
      <c r="T362" s="15">
        <f t="shared" si="14"/>
        <v>3</v>
      </c>
      <c r="U362" s="15">
        <f t="shared" si="14"/>
        <v>19</v>
      </c>
      <c r="V362" s="62">
        <f t="shared" si="14"/>
        <v>7.133</v>
      </c>
    </row>
    <row r="363" spans="1:22" x14ac:dyDescent="0.3">
      <c r="A363" s="52"/>
      <c r="B363" s="58" t="s">
        <v>451</v>
      </c>
      <c r="C363" s="55">
        <f t="shared" ref="C363:C396" si="15">VLOOKUP(B363,$B$45:$E$79,4,FALSE)</f>
        <v>35</v>
      </c>
      <c r="D363" s="55">
        <f t="shared" ref="D363:D396" si="16">VLOOKUP(B363,$B$84:$E$118,4,FALSE)</f>
        <v>13</v>
      </c>
      <c r="E363" s="55">
        <f t="shared" ref="E363:E396" si="17">VLOOKUP(B363,$B$123:$D$157,3,FALSE)</f>
        <v>25</v>
      </c>
      <c r="F363" s="55">
        <f t="shared" ref="F363:F396" si="18">VLOOKUP(B363,$B$206:$D$240,3,FALSE)</f>
        <v>7</v>
      </c>
      <c r="G363" s="55">
        <f t="shared" ref="G363:G396" si="19">VLOOKUP(B363,$B$245:$E$279,4,FALSE)</f>
        <v>32</v>
      </c>
      <c r="H363" s="55">
        <f t="shared" ref="H363:H396" si="20">VLOOKUP(B363,$B$285:$D$319,3,FALSE)</f>
        <v>35</v>
      </c>
      <c r="I363" s="55">
        <f t="shared" ref="I363:I396" si="21">VLOOKUP(B363,$B$324:$D$358,3,FALSE)</f>
        <v>7</v>
      </c>
      <c r="J363" s="60">
        <f t="shared" si="13"/>
        <v>26.052</v>
      </c>
      <c r="K363" s="52" t="str">
        <f t="shared" ref="K363:K396" si="22">+B363</f>
        <v>PPP</v>
      </c>
      <c r="L363" s="52">
        <f>+L362+1</f>
        <v>2</v>
      </c>
      <c r="M363" s="60">
        <f t="shared" ref="M363:M396" si="23">+SMALL($J$362:$J$396,L363)</f>
        <v>7.729000000000001</v>
      </c>
      <c r="N363" s="59" t="str">
        <f t="shared" ref="N363:N396" si="24">+VLOOKUP(M363,$J$362:$K$396,2,FALSE)</f>
        <v>Renovación Popular</v>
      </c>
      <c r="O363" s="15">
        <f t="shared" ref="O363:V396" si="25">+VLOOKUP($N363,$B$362:$J$396,O$359,FALSE)</f>
        <v>4</v>
      </c>
      <c r="P363" s="15">
        <f t="shared" si="14"/>
        <v>16</v>
      </c>
      <c r="Q363" s="15">
        <f t="shared" si="14"/>
        <v>12</v>
      </c>
      <c r="R363" s="15">
        <f t="shared" si="14"/>
        <v>8</v>
      </c>
      <c r="S363" s="15">
        <f t="shared" si="14"/>
        <v>1</v>
      </c>
      <c r="T363" s="15">
        <f t="shared" si="14"/>
        <v>7</v>
      </c>
      <c r="U363" s="15">
        <f t="shared" si="14"/>
        <v>19</v>
      </c>
      <c r="V363" s="62">
        <f t="shared" si="14"/>
        <v>7.729000000000001</v>
      </c>
    </row>
    <row r="364" spans="1:22" x14ac:dyDescent="0.3">
      <c r="A364" s="52"/>
      <c r="B364" s="58" t="s">
        <v>333</v>
      </c>
      <c r="C364" s="55">
        <f t="shared" si="15"/>
        <v>35</v>
      </c>
      <c r="D364" s="55">
        <f t="shared" si="16"/>
        <v>31</v>
      </c>
      <c r="E364" s="55">
        <f t="shared" si="17"/>
        <v>25</v>
      </c>
      <c r="F364" s="55">
        <f t="shared" si="18"/>
        <v>16</v>
      </c>
      <c r="G364" s="55">
        <f t="shared" si="19"/>
        <v>31</v>
      </c>
      <c r="H364" s="55">
        <f t="shared" si="20"/>
        <v>35</v>
      </c>
      <c r="I364" s="55">
        <f t="shared" si="21"/>
        <v>9</v>
      </c>
      <c r="J364" s="60">
        <f t="shared" si="13"/>
        <v>29.952999999999999</v>
      </c>
      <c r="K364" s="52" t="str">
        <f t="shared" si="22"/>
        <v>Libertad Popular</v>
      </c>
      <c r="L364" s="52">
        <f t="shared" ref="L364:L396" si="26">+L363+1</f>
        <v>3</v>
      </c>
      <c r="M364" s="60">
        <f t="shared" si="23"/>
        <v>9.532</v>
      </c>
      <c r="N364" s="59" t="str">
        <f t="shared" si="24"/>
        <v>Juntos por el Perú</v>
      </c>
      <c r="O364" s="15">
        <f t="shared" si="25"/>
        <v>10</v>
      </c>
      <c r="P364" s="15">
        <f t="shared" si="14"/>
        <v>12</v>
      </c>
      <c r="Q364" s="15">
        <f t="shared" si="14"/>
        <v>9</v>
      </c>
      <c r="R364" s="15">
        <f t="shared" si="14"/>
        <v>28</v>
      </c>
      <c r="S364" s="15">
        <f t="shared" si="14"/>
        <v>1</v>
      </c>
      <c r="T364" s="15">
        <f t="shared" si="14"/>
        <v>3</v>
      </c>
      <c r="U364" s="15">
        <f t="shared" si="14"/>
        <v>35</v>
      </c>
      <c r="V364" s="62">
        <f t="shared" si="14"/>
        <v>9.532</v>
      </c>
    </row>
    <row r="365" spans="1:22" x14ac:dyDescent="0.3">
      <c r="A365" s="52"/>
      <c r="B365" s="58" t="s">
        <v>452</v>
      </c>
      <c r="C365" s="55">
        <f t="shared" si="15"/>
        <v>10</v>
      </c>
      <c r="D365" s="55">
        <f t="shared" si="16"/>
        <v>10</v>
      </c>
      <c r="E365" s="55">
        <f t="shared" si="17"/>
        <v>4</v>
      </c>
      <c r="F365" s="55">
        <f t="shared" si="18"/>
        <v>9</v>
      </c>
      <c r="G365" s="55">
        <f t="shared" si="19"/>
        <v>30</v>
      </c>
      <c r="H365" s="55">
        <f t="shared" si="20"/>
        <v>35</v>
      </c>
      <c r="I365" s="55">
        <f t="shared" si="21"/>
        <v>19</v>
      </c>
      <c r="J365" s="60">
        <f t="shared" si="13"/>
        <v>17.304000000000002</v>
      </c>
      <c r="K365" s="52" t="str">
        <f t="shared" si="22"/>
        <v>Peru Acción</v>
      </c>
      <c r="L365" s="52">
        <f t="shared" si="26"/>
        <v>4</v>
      </c>
      <c r="M365" s="60">
        <f t="shared" si="23"/>
        <v>11.180999999999999</v>
      </c>
      <c r="N365" s="59" t="str">
        <f t="shared" si="24"/>
        <v>Alianza para el Progreso</v>
      </c>
      <c r="O365" s="15">
        <f t="shared" si="25"/>
        <v>1</v>
      </c>
      <c r="P365" s="15">
        <f t="shared" si="14"/>
        <v>35</v>
      </c>
      <c r="Q365" s="15">
        <f t="shared" si="14"/>
        <v>22</v>
      </c>
      <c r="R365" s="15">
        <f t="shared" si="14"/>
        <v>4</v>
      </c>
      <c r="S365" s="15">
        <f t="shared" si="14"/>
        <v>1</v>
      </c>
      <c r="T365" s="15">
        <f t="shared" si="14"/>
        <v>3</v>
      </c>
      <c r="U365" s="15">
        <f t="shared" si="14"/>
        <v>19</v>
      </c>
      <c r="V365" s="62">
        <f t="shared" si="14"/>
        <v>11.180999999999999</v>
      </c>
    </row>
    <row r="366" spans="1:22" x14ac:dyDescent="0.3">
      <c r="A366" s="52"/>
      <c r="B366" s="58" t="s">
        <v>177</v>
      </c>
      <c r="C366" s="55">
        <f t="shared" si="15"/>
        <v>19</v>
      </c>
      <c r="D366" s="55">
        <f t="shared" si="16"/>
        <v>17</v>
      </c>
      <c r="E366" s="55">
        <f t="shared" si="17"/>
        <v>25</v>
      </c>
      <c r="F366" s="55">
        <f t="shared" si="18"/>
        <v>23</v>
      </c>
      <c r="G366" s="55">
        <f t="shared" si="19"/>
        <v>27</v>
      </c>
      <c r="H366" s="55">
        <f t="shared" si="20"/>
        <v>35</v>
      </c>
      <c r="I366" s="55">
        <f t="shared" si="21"/>
        <v>35</v>
      </c>
      <c r="J366" s="60">
        <f t="shared" si="13"/>
        <v>23.805</v>
      </c>
      <c r="K366" s="52" t="str">
        <f t="shared" si="22"/>
        <v>Buen Gobierno</v>
      </c>
      <c r="L366" s="52">
        <f t="shared" si="26"/>
        <v>5</v>
      </c>
      <c r="M366" s="60">
        <f t="shared" si="23"/>
        <v>11.329999999999998</v>
      </c>
      <c r="N366" s="59" t="str">
        <f t="shared" si="24"/>
        <v>Somos Perú</v>
      </c>
      <c r="O366" s="15">
        <f t="shared" si="25"/>
        <v>10</v>
      </c>
      <c r="P366" s="15">
        <f t="shared" si="14"/>
        <v>20</v>
      </c>
      <c r="Q366" s="15">
        <f t="shared" si="14"/>
        <v>22</v>
      </c>
      <c r="R366" s="15">
        <f t="shared" si="14"/>
        <v>24</v>
      </c>
      <c r="S366" s="15">
        <f t="shared" si="14"/>
        <v>1</v>
      </c>
      <c r="T366" s="15">
        <f t="shared" si="14"/>
        <v>6</v>
      </c>
      <c r="U366" s="15">
        <f t="shared" si="14"/>
        <v>11</v>
      </c>
      <c r="V366" s="62">
        <f t="shared" si="14"/>
        <v>11.329999999999998</v>
      </c>
    </row>
    <row r="367" spans="1:22" x14ac:dyDescent="0.3">
      <c r="A367" s="52"/>
      <c r="B367" s="58" t="s">
        <v>210</v>
      </c>
      <c r="C367" s="55">
        <f t="shared" si="15"/>
        <v>10</v>
      </c>
      <c r="D367" s="55">
        <f t="shared" si="16"/>
        <v>4</v>
      </c>
      <c r="E367" s="55">
        <f t="shared" si="17"/>
        <v>7</v>
      </c>
      <c r="F367" s="55">
        <f t="shared" si="18"/>
        <v>11</v>
      </c>
      <c r="G367" s="55">
        <f t="shared" si="19"/>
        <v>27</v>
      </c>
      <c r="H367" s="55">
        <f t="shared" si="20"/>
        <v>35</v>
      </c>
      <c r="I367" s="55">
        <f t="shared" si="21"/>
        <v>35</v>
      </c>
      <c r="J367" s="60">
        <f t="shared" si="13"/>
        <v>16.556000000000001</v>
      </c>
      <c r="K367" s="52" t="str">
        <f t="shared" si="22"/>
        <v>Obras</v>
      </c>
      <c r="L367" s="52">
        <f t="shared" si="26"/>
        <v>6</v>
      </c>
      <c r="M367" s="60">
        <f t="shared" si="23"/>
        <v>11.784000000000001</v>
      </c>
      <c r="N367" s="59" t="str">
        <f t="shared" si="24"/>
        <v>Fuerza Popular</v>
      </c>
      <c r="O367" s="15">
        <f t="shared" si="25"/>
        <v>3</v>
      </c>
      <c r="P367" s="15">
        <f t="shared" si="14"/>
        <v>27</v>
      </c>
      <c r="Q367" s="15">
        <f t="shared" si="14"/>
        <v>31</v>
      </c>
      <c r="R367" s="15">
        <f t="shared" si="14"/>
        <v>6</v>
      </c>
      <c r="S367" s="15">
        <f t="shared" si="14"/>
        <v>1</v>
      </c>
      <c r="T367" s="15">
        <f t="shared" si="14"/>
        <v>2</v>
      </c>
      <c r="U367" s="15">
        <f t="shared" si="14"/>
        <v>35</v>
      </c>
      <c r="V367" s="62">
        <f t="shared" si="14"/>
        <v>11.784000000000001</v>
      </c>
    </row>
    <row r="368" spans="1:22" x14ac:dyDescent="0.3">
      <c r="A368" s="52"/>
      <c r="B368" s="58" t="s">
        <v>453</v>
      </c>
      <c r="C368" s="55">
        <f t="shared" si="15"/>
        <v>35</v>
      </c>
      <c r="D368" s="55">
        <f t="shared" si="16"/>
        <v>8</v>
      </c>
      <c r="E368" s="55">
        <f t="shared" si="17"/>
        <v>15</v>
      </c>
      <c r="F368" s="55">
        <f t="shared" si="18"/>
        <v>17</v>
      </c>
      <c r="G368" s="55">
        <f t="shared" si="19"/>
        <v>26</v>
      </c>
      <c r="H368" s="55">
        <f t="shared" si="20"/>
        <v>35</v>
      </c>
      <c r="I368" s="55">
        <f t="shared" si="21"/>
        <v>7</v>
      </c>
      <c r="J368" s="60">
        <f t="shared" si="13"/>
        <v>23.057000000000002</v>
      </c>
      <c r="K368" s="52" t="str">
        <f t="shared" si="22"/>
        <v>PRIN</v>
      </c>
      <c r="L368" s="52">
        <f t="shared" si="26"/>
        <v>7</v>
      </c>
      <c r="M368" s="60">
        <f t="shared" si="23"/>
        <v>12.335000000000001</v>
      </c>
      <c r="N368" s="59" t="str">
        <f t="shared" si="24"/>
        <v>Peru Libre</v>
      </c>
      <c r="O368" s="15">
        <f t="shared" si="25"/>
        <v>8</v>
      </c>
      <c r="P368" s="15">
        <f t="shared" si="14"/>
        <v>23</v>
      </c>
      <c r="Q368" s="15">
        <f t="shared" si="14"/>
        <v>31</v>
      </c>
      <c r="R368" s="15">
        <f t="shared" si="14"/>
        <v>10</v>
      </c>
      <c r="S368" s="15">
        <f t="shared" si="14"/>
        <v>1</v>
      </c>
      <c r="T368" s="15">
        <f t="shared" si="14"/>
        <v>1</v>
      </c>
      <c r="U368" s="15">
        <f t="shared" si="14"/>
        <v>35</v>
      </c>
      <c r="V368" s="62">
        <f t="shared" si="14"/>
        <v>12.335000000000001</v>
      </c>
    </row>
    <row r="369" spans="1:22" x14ac:dyDescent="0.3">
      <c r="A369" s="52"/>
      <c r="B369" s="58" t="s">
        <v>446</v>
      </c>
      <c r="C369" s="55">
        <f t="shared" si="15"/>
        <v>35</v>
      </c>
      <c r="D369" s="55">
        <f t="shared" si="16"/>
        <v>7</v>
      </c>
      <c r="E369" s="55">
        <f t="shared" si="17"/>
        <v>25</v>
      </c>
      <c r="F369" s="55">
        <f t="shared" si="18"/>
        <v>21</v>
      </c>
      <c r="G369" s="55">
        <f t="shared" si="19"/>
        <v>25</v>
      </c>
      <c r="H369" s="55">
        <f t="shared" si="20"/>
        <v>35</v>
      </c>
      <c r="I369" s="55">
        <f t="shared" si="21"/>
        <v>3</v>
      </c>
      <c r="J369" s="60">
        <f t="shared" si="13"/>
        <v>23.608000000000001</v>
      </c>
      <c r="K369" s="52" t="str">
        <f t="shared" si="22"/>
        <v>PTE</v>
      </c>
      <c r="L369" s="52">
        <f t="shared" si="26"/>
        <v>8</v>
      </c>
      <c r="M369" s="60">
        <f t="shared" si="23"/>
        <v>14.166</v>
      </c>
      <c r="N369" s="59" t="str">
        <f t="shared" si="24"/>
        <v>Peru Federal</v>
      </c>
      <c r="O369" s="15">
        <f t="shared" si="25"/>
        <v>2</v>
      </c>
      <c r="P369" s="15">
        <f t="shared" si="14"/>
        <v>19</v>
      </c>
      <c r="Q369" s="15">
        <f t="shared" si="14"/>
        <v>19</v>
      </c>
      <c r="R369" s="15">
        <f t="shared" si="14"/>
        <v>25</v>
      </c>
      <c r="S369" s="15">
        <f t="shared" si="14"/>
        <v>12</v>
      </c>
      <c r="T369" s="15">
        <f t="shared" si="14"/>
        <v>35</v>
      </c>
      <c r="U369" s="15">
        <f t="shared" si="14"/>
        <v>4</v>
      </c>
      <c r="V369" s="62">
        <f t="shared" si="14"/>
        <v>14.166</v>
      </c>
    </row>
    <row r="370" spans="1:22" x14ac:dyDescent="0.3">
      <c r="A370" s="52"/>
      <c r="B370" s="58" t="s">
        <v>458</v>
      </c>
      <c r="C370" s="55">
        <f t="shared" si="15"/>
        <v>35</v>
      </c>
      <c r="D370" s="55">
        <f t="shared" si="16"/>
        <v>1</v>
      </c>
      <c r="E370" s="55">
        <f t="shared" si="17"/>
        <v>1</v>
      </c>
      <c r="F370" s="55">
        <f t="shared" si="18"/>
        <v>1</v>
      </c>
      <c r="G370" s="55">
        <f t="shared" si="19"/>
        <v>23</v>
      </c>
      <c r="H370" s="55">
        <f t="shared" si="20"/>
        <v>35</v>
      </c>
      <c r="I370" s="55">
        <f t="shared" si="21"/>
        <v>35</v>
      </c>
      <c r="J370" s="60">
        <f t="shared" si="13"/>
        <v>20.109000000000002</v>
      </c>
      <c r="K370" s="52" t="str">
        <f t="shared" si="22"/>
        <v>Un Camino Diferente</v>
      </c>
      <c r="L370" s="52">
        <f t="shared" si="26"/>
        <v>9</v>
      </c>
      <c r="M370" s="60">
        <f t="shared" si="23"/>
        <v>14.321999999999999</v>
      </c>
      <c r="N370" s="59" t="str">
        <f t="shared" si="24"/>
        <v>Progresemos</v>
      </c>
      <c r="O370" s="15">
        <f t="shared" si="25"/>
        <v>10</v>
      </c>
      <c r="P370" s="15">
        <f t="shared" si="14"/>
        <v>3</v>
      </c>
      <c r="Q370" s="15">
        <f t="shared" si="14"/>
        <v>2</v>
      </c>
      <c r="R370" s="15">
        <f t="shared" si="14"/>
        <v>14</v>
      </c>
      <c r="S370" s="15">
        <f t="shared" si="14"/>
        <v>33</v>
      </c>
      <c r="T370" s="15">
        <f t="shared" si="14"/>
        <v>11</v>
      </c>
      <c r="U370" s="15">
        <f t="shared" si="14"/>
        <v>19</v>
      </c>
      <c r="V370" s="62">
        <f t="shared" si="14"/>
        <v>14.321999999999999</v>
      </c>
    </row>
    <row r="371" spans="1:22" x14ac:dyDescent="0.3">
      <c r="A371" s="52"/>
      <c r="B371" s="58" t="s">
        <v>318</v>
      </c>
      <c r="C371" s="55">
        <f t="shared" si="15"/>
        <v>16</v>
      </c>
      <c r="D371" s="55">
        <f t="shared" si="16"/>
        <v>34</v>
      </c>
      <c r="E371" s="55">
        <f t="shared" si="17"/>
        <v>17</v>
      </c>
      <c r="F371" s="55">
        <f t="shared" si="18"/>
        <v>30</v>
      </c>
      <c r="G371" s="55">
        <f t="shared" si="19"/>
        <v>20</v>
      </c>
      <c r="H371" s="55">
        <f t="shared" si="20"/>
        <v>35</v>
      </c>
      <c r="I371" s="55">
        <f t="shared" si="21"/>
        <v>4</v>
      </c>
      <c r="J371" s="60">
        <f t="shared" si="13"/>
        <v>22.71</v>
      </c>
      <c r="K371" s="52" t="str">
        <f t="shared" si="22"/>
        <v>Pais para Todos</v>
      </c>
      <c r="L371" s="52">
        <f t="shared" si="26"/>
        <v>10</v>
      </c>
      <c r="M371" s="60">
        <f t="shared" si="23"/>
        <v>14.461</v>
      </c>
      <c r="N371" s="59" t="str">
        <f t="shared" si="24"/>
        <v>Cooperación Popular</v>
      </c>
      <c r="O371" s="15">
        <f t="shared" si="25"/>
        <v>16</v>
      </c>
      <c r="P371" s="15">
        <f t="shared" si="14"/>
        <v>2</v>
      </c>
      <c r="Q371" s="15">
        <f t="shared" si="14"/>
        <v>35</v>
      </c>
      <c r="R371" s="15">
        <f t="shared" si="14"/>
        <v>3</v>
      </c>
      <c r="S371" s="15">
        <f t="shared" si="14"/>
        <v>19</v>
      </c>
      <c r="T371" s="15">
        <f t="shared" si="14"/>
        <v>11</v>
      </c>
      <c r="U371" s="15">
        <f t="shared" si="14"/>
        <v>11</v>
      </c>
      <c r="V371" s="62">
        <f t="shared" si="14"/>
        <v>14.461</v>
      </c>
    </row>
    <row r="372" spans="1:22" x14ac:dyDescent="0.3">
      <c r="A372" s="52"/>
      <c r="B372" s="58" t="s">
        <v>187</v>
      </c>
      <c r="C372" s="55">
        <f t="shared" si="15"/>
        <v>16</v>
      </c>
      <c r="D372" s="55">
        <f t="shared" si="16"/>
        <v>2</v>
      </c>
      <c r="E372" s="55">
        <f t="shared" si="17"/>
        <v>35</v>
      </c>
      <c r="F372" s="55">
        <f t="shared" si="18"/>
        <v>3</v>
      </c>
      <c r="G372" s="55">
        <f t="shared" si="19"/>
        <v>19</v>
      </c>
      <c r="H372" s="55">
        <f t="shared" si="20"/>
        <v>11</v>
      </c>
      <c r="I372" s="55">
        <f t="shared" si="21"/>
        <v>11</v>
      </c>
      <c r="J372" s="60">
        <f t="shared" si="13"/>
        <v>14.461</v>
      </c>
      <c r="K372" s="52" t="str">
        <f t="shared" si="22"/>
        <v>Cooperación Popular</v>
      </c>
      <c r="L372" s="52">
        <f t="shared" si="26"/>
        <v>11</v>
      </c>
      <c r="M372" s="60">
        <f t="shared" si="23"/>
        <v>14.865</v>
      </c>
      <c r="N372" s="59" t="str">
        <f t="shared" si="24"/>
        <v>Verde</v>
      </c>
      <c r="O372" s="15">
        <f t="shared" si="25"/>
        <v>19</v>
      </c>
      <c r="P372" s="15">
        <f t="shared" si="14"/>
        <v>5</v>
      </c>
      <c r="Q372" s="15">
        <f t="shared" si="14"/>
        <v>9</v>
      </c>
      <c r="R372" s="15">
        <f t="shared" si="14"/>
        <v>5</v>
      </c>
      <c r="S372" s="15">
        <f t="shared" si="14"/>
        <v>14</v>
      </c>
      <c r="T372" s="15">
        <f t="shared" si="14"/>
        <v>35</v>
      </c>
      <c r="U372" s="15">
        <f t="shared" si="14"/>
        <v>19</v>
      </c>
      <c r="V372" s="62">
        <f t="shared" si="14"/>
        <v>14.865</v>
      </c>
    </row>
    <row r="373" spans="1:22" x14ac:dyDescent="0.3">
      <c r="A373" s="52"/>
      <c r="B373" s="58" t="s">
        <v>450</v>
      </c>
      <c r="C373" s="55">
        <f t="shared" si="15"/>
        <v>35</v>
      </c>
      <c r="D373" s="55">
        <f t="shared" si="16"/>
        <v>18</v>
      </c>
      <c r="E373" s="55">
        <f t="shared" si="17"/>
        <v>15</v>
      </c>
      <c r="F373" s="55">
        <f t="shared" si="18"/>
        <v>27</v>
      </c>
      <c r="G373" s="55">
        <f t="shared" si="19"/>
        <v>18</v>
      </c>
      <c r="H373" s="55">
        <f t="shared" si="20"/>
        <v>35</v>
      </c>
      <c r="I373" s="55">
        <f t="shared" si="21"/>
        <v>19</v>
      </c>
      <c r="J373" s="60">
        <f t="shared" si="13"/>
        <v>24.161999999999999</v>
      </c>
      <c r="K373" s="52" t="str">
        <f t="shared" si="22"/>
        <v>Frente de la Esperanza</v>
      </c>
      <c r="L373" s="52">
        <f t="shared" si="26"/>
        <v>12</v>
      </c>
      <c r="M373" s="60">
        <f t="shared" si="23"/>
        <v>15.721000000000002</v>
      </c>
      <c r="N373" s="59" t="str">
        <f t="shared" si="24"/>
        <v>Partido Morado</v>
      </c>
      <c r="O373" s="15">
        <f t="shared" si="25"/>
        <v>10</v>
      </c>
      <c r="P373" s="15">
        <f t="shared" si="14"/>
        <v>21</v>
      </c>
      <c r="Q373" s="15">
        <f t="shared" si="14"/>
        <v>31</v>
      </c>
      <c r="R373" s="15">
        <f t="shared" si="14"/>
        <v>32</v>
      </c>
      <c r="S373" s="15">
        <f t="shared" si="14"/>
        <v>1</v>
      </c>
      <c r="T373" s="15">
        <f t="shared" si="14"/>
        <v>35</v>
      </c>
      <c r="U373" s="15">
        <f t="shared" si="14"/>
        <v>11</v>
      </c>
      <c r="V373" s="62">
        <f t="shared" si="14"/>
        <v>15.721000000000002</v>
      </c>
    </row>
    <row r="374" spans="1:22" x14ac:dyDescent="0.3">
      <c r="A374" s="52"/>
      <c r="B374" s="58" t="s">
        <v>441</v>
      </c>
      <c r="C374" s="55">
        <f t="shared" si="15"/>
        <v>35</v>
      </c>
      <c r="D374" s="55">
        <f t="shared" si="16"/>
        <v>11</v>
      </c>
      <c r="E374" s="55">
        <f t="shared" si="17"/>
        <v>25</v>
      </c>
      <c r="F374" s="55">
        <f t="shared" si="18"/>
        <v>19</v>
      </c>
      <c r="G374" s="55">
        <f t="shared" si="19"/>
        <v>15</v>
      </c>
      <c r="H374" s="55">
        <f t="shared" si="20"/>
        <v>35</v>
      </c>
      <c r="I374" s="55">
        <f t="shared" si="21"/>
        <v>1</v>
      </c>
      <c r="J374" s="60">
        <f t="shared" si="13"/>
        <v>21.713000000000001</v>
      </c>
      <c r="K374" s="52" t="str">
        <f t="shared" si="22"/>
        <v>Fe en el Peru</v>
      </c>
      <c r="L374" s="52">
        <f t="shared" si="26"/>
        <v>13</v>
      </c>
      <c r="M374" s="60">
        <f t="shared" si="23"/>
        <v>15.728</v>
      </c>
      <c r="N374" s="59" t="str">
        <f t="shared" si="24"/>
        <v>Avanza Pais</v>
      </c>
      <c r="O374" s="15">
        <f t="shared" si="25"/>
        <v>35</v>
      </c>
      <c r="P374" s="15">
        <f t="shared" si="14"/>
        <v>25</v>
      </c>
      <c r="Q374" s="15">
        <f t="shared" si="14"/>
        <v>6</v>
      </c>
      <c r="R374" s="15">
        <f t="shared" si="14"/>
        <v>2</v>
      </c>
      <c r="S374" s="15">
        <f t="shared" si="14"/>
        <v>1</v>
      </c>
      <c r="T374" s="15">
        <f t="shared" si="14"/>
        <v>7</v>
      </c>
      <c r="U374" s="15">
        <f t="shared" si="14"/>
        <v>6</v>
      </c>
      <c r="V374" s="62">
        <f t="shared" si="14"/>
        <v>15.728</v>
      </c>
    </row>
    <row r="375" spans="1:22" x14ac:dyDescent="0.3">
      <c r="A375" s="52"/>
      <c r="B375" s="58" t="s">
        <v>304</v>
      </c>
      <c r="C375" s="55">
        <f t="shared" si="15"/>
        <v>6</v>
      </c>
      <c r="D375" s="55">
        <f t="shared" si="16"/>
        <v>33</v>
      </c>
      <c r="E375" s="55">
        <f t="shared" si="17"/>
        <v>25</v>
      </c>
      <c r="F375" s="55">
        <f t="shared" si="18"/>
        <v>15</v>
      </c>
      <c r="G375" s="55">
        <f t="shared" si="19"/>
        <v>15</v>
      </c>
      <c r="H375" s="55">
        <f t="shared" si="20"/>
        <v>35</v>
      </c>
      <c r="I375" s="55">
        <f t="shared" si="21"/>
        <v>1</v>
      </c>
      <c r="J375" s="60">
        <f t="shared" si="13"/>
        <v>18.664000000000001</v>
      </c>
      <c r="K375" s="52" t="str">
        <f t="shared" si="22"/>
        <v>Unido Perú</v>
      </c>
      <c r="L375" s="52">
        <f t="shared" si="26"/>
        <v>14</v>
      </c>
      <c r="M375" s="60">
        <f t="shared" si="23"/>
        <v>15.927000000000001</v>
      </c>
      <c r="N375" s="59" t="str">
        <f t="shared" si="24"/>
        <v>Peru Primero</v>
      </c>
      <c r="O375" s="15">
        <f t="shared" si="25"/>
        <v>6</v>
      </c>
      <c r="P375" s="15">
        <f t="shared" si="14"/>
        <v>32</v>
      </c>
      <c r="Q375" s="15">
        <f t="shared" si="14"/>
        <v>22</v>
      </c>
      <c r="R375" s="15">
        <f t="shared" si="14"/>
        <v>26</v>
      </c>
      <c r="S375" s="15">
        <f t="shared" si="14"/>
        <v>13</v>
      </c>
      <c r="T375" s="15">
        <f t="shared" si="14"/>
        <v>7</v>
      </c>
      <c r="U375" s="15">
        <f t="shared" si="14"/>
        <v>11</v>
      </c>
      <c r="V375" s="62">
        <f t="shared" si="14"/>
        <v>15.927000000000001</v>
      </c>
    </row>
    <row r="376" spans="1:22" x14ac:dyDescent="0.3">
      <c r="A376" s="52"/>
      <c r="B376" s="58" t="s">
        <v>447</v>
      </c>
      <c r="C376" s="55">
        <f t="shared" si="15"/>
        <v>19</v>
      </c>
      <c r="D376" s="55">
        <f t="shared" si="16"/>
        <v>5</v>
      </c>
      <c r="E376" s="55">
        <f t="shared" si="17"/>
        <v>9</v>
      </c>
      <c r="F376" s="55">
        <f t="shared" si="18"/>
        <v>5</v>
      </c>
      <c r="G376" s="55">
        <f t="shared" si="19"/>
        <v>14</v>
      </c>
      <c r="H376" s="55">
        <f t="shared" si="20"/>
        <v>35</v>
      </c>
      <c r="I376" s="55">
        <f t="shared" si="21"/>
        <v>19</v>
      </c>
      <c r="J376" s="60">
        <f t="shared" si="13"/>
        <v>14.865</v>
      </c>
      <c r="K376" s="52" t="str">
        <f t="shared" si="22"/>
        <v>Verde</v>
      </c>
      <c r="L376" s="52">
        <f t="shared" si="26"/>
        <v>15</v>
      </c>
      <c r="M376" s="60">
        <f t="shared" si="23"/>
        <v>16.524999999999999</v>
      </c>
      <c r="N376" s="59" t="str">
        <f t="shared" si="24"/>
        <v>Venceremos</v>
      </c>
      <c r="O376" s="15">
        <f t="shared" si="25"/>
        <v>35</v>
      </c>
      <c r="P376" s="15">
        <f t="shared" si="14"/>
        <v>15</v>
      </c>
      <c r="Q376" s="15">
        <f t="shared" si="14"/>
        <v>12</v>
      </c>
      <c r="R376" s="15">
        <f t="shared" si="14"/>
        <v>33</v>
      </c>
      <c r="S376" s="15">
        <f t="shared" si="14"/>
        <v>1</v>
      </c>
      <c r="T376" s="15">
        <f t="shared" si="14"/>
        <v>11</v>
      </c>
      <c r="U376" s="15">
        <f t="shared" si="14"/>
        <v>11</v>
      </c>
      <c r="V376" s="62">
        <f t="shared" si="14"/>
        <v>16.524999999999999</v>
      </c>
    </row>
    <row r="377" spans="1:22" x14ac:dyDescent="0.3">
      <c r="A377" s="52"/>
      <c r="B377" s="58" t="s">
        <v>448</v>
      </c>
      <c r="C377" s="55">
        <f t="shared" si="15"/>
        <v>2</v>
      </c>
      <c r="D377" s="55">
        <f t="shared" si="16"/>
        <v>19</v>
      </c>
      <c r="E377" s="55">
        <f t="shared" si="17"/>
        <v>19</v>
      </c>
      <c r="F377" s="55">
        <f t="shared" si="18"/>
        <v>25</v>
      </c>
      <c r="G377" s="55">
        <f t="shared" si="19"/>
        <v>12</v>
      </c>
      <c r="H377" s="55">
        <f t="shared" si="20"/>
        <v>35</v>
      </c>
      <c r="I377" s="55">
        <f t="shared" si="21"/>
        <v>4</v>
      </c>
      <c r="J377" s="60">
        <f t="shared" si="13"/>
        <v>14.166</v>
      </c>
      <c r="K377" s="52" t="str">
        <f t="shared" si="22"/>
        <v>Peru Federal</v>
      </c>
      <c r="L377" s="52">
        <f t="shared" si="26"/>
        <v>16</v>
      </c>
      <c r="M377" s="60">
        <f t="shared" si="23"/>
        <v>16.556000000000001</v>
      </c>
      <c r="N377" s="59" t="str">
        <f t="shared" si="24"/>
        <v>Obras</v>
      </c>
      <c r="O377" s="15">
        <f t="shared" si="25"/>
        <v>10</v>
      </c>
      <c r="P377" s="15">
        <f t="shared" si="14"/>
        <v>4</v>
      </c>
      <c r="Q377" s="15">
        <f t="shared" si="14"/>
        <v>7</v>
      </c>
      <c r="R377" s="15">
        <f t="shared" si="14"/>
        <v>11</v>
      </c>
      <c r="S377" s="15">
        <f t="shared" si="14"/>
        <v>27</v>
      </c>
      <c r="T377" s="15">
        <f t="shared" si="14"/>
        <v>35</v>
      </c>
      <c r="U377" s="15">
        <f t="shared" si="14"/>
        <v>35</v>
      </c>
      <c r="V377" s="62">
        <f t="shared" si="14"/>
        <v>16.556000000000001</v>
      </c>
    </row>
    <row r="378" spans="1:22" x14ac:dyDescent="0.3">
      <c r="A378" s="52"/>
      <c r="B378" s="58" t="s">
        <v>288</v>
      </c>
      <c r="C378" s="55">
        <f t="shared" si="15"/>
        <v>35</v>
      </c>
      <c r="D378" s="55">
        <f t="shared" si="16"/>
        <v>28</v>
      </c>
      <c r="E378" s="55">
        <f t="shared" si="17"/>
        <v>12</v>
      </c>
      <c r="F378" s="55">
        <f t="shared" si="18"/>
        <v>12</v>
      </c>
      <c r="G378" s="55">
        <f t="shared" si="19"/>
        <v>1</v>
      </c>
      <c r="H378" s="55">
        <f t="shared" si="20"/>
        <v>35</v>
      </c>
      <c r="I378" s="55">
        <f t="shared" si="21"/>
        <v>19</v>
      </c>
      <c r="J378" s="60">
        <f t="shared" si="13"/>
        <v>20.867000000000001</v>
      </c>
      <c r="K378" s="52" t="str">
        <f t="shared" si="22"/>
        <v>APRA</v>
      </c>
      <c r="L378" s="52">
        <f t="shared" si="26"/>
        <v>17</v>
      </c>
      <c r="M378" s="60">
        <f t="shared" si="23"/>
        <v>17.304000000000002</v>
      </c>
      <c r="N378" s="59" t="str">
        <f t="shared" si="24"/>
        <v>Peru Acción</v>
      </c>
      <c r="O378" s="15">
        <f t="shared" si="25"/>
        <v>10</v>
      </c>
      <c r="P378" s="15">
        <f t="shared" si="25"/>
        <v>10</v>
      </c>
      <c r="Q378" s="15">
        <f t="shared" si="25"/>
        <v>4</v>
      </c>
      <c r="R378" s="15">
        <f t="shared" si="25"/>
        <v>9</v>
      </c>
      <c r="S378" s="15">
        <f t="shared" si="25"/>
        <v>30</v>
      </c>
      <c r="T378" s="15">
        <f t="shared" si="25"/>
        <v>35</v>
      </c>
      <c r="U378" s="15">
        <f t="shared" si="25"/>
        <v>19</v>
      </c>
      <c r="V378" s="62">
        <f t="shared" si="25"/>
        <v>17.304000000000002</v>
      </c>
    </row>
    <row r="379" spans="1:22" x14ac:dyDescent="0.3">
      <c r="A379" s="52"/>
      <c r="B379" s="58" t="s">
        <v>443</v>
      </c>
      <c r="C379" s="55">
        <f t="shared" si="15"/>
        <v>35</v>
      </c>
      <c r="D379" s="55">
        <f t="shared" si="16"/>
        <v>6</v>
      </c>
      <c r="E379" s="55">
        <f t="shared" si="17"/>
        <v>2</v>
      </c>
      <c r="F379" s="55">
        <f t="shared" si="18"/>
        <v>13</v>
      </c>
      <c r="G379" s="55">
        <f t="shared" si="19"/>
        <v>35</v>
      </c>
      <c r="H379" s="55">
        <f t="shared" si="20"/>
        <v>35</v>
      </c>
      <c r="I379" s="55">
        <f t="shared" si="21"/>
        <v>35</v>
      </c>
      <c r="J379" s="60">
        <f t="shared" si="13"/>
        <v>24.817999999999998</v>
      </c>
      <c r="K379" s="52" t="str">
        <f t="shared" si="22"/>
        <v>FREPAP</v>
      </c>
      <c r="L379" s="52">
        <f t="shared" si="26"/>
        <v>18</v>
      </c>
      <c r="M379" s="60">
        <f t="shared" si="23"/>
        <v>17.526</v>
      </c>
      <c r="N379" s="59" t="str">
        <f t="shared" si="24"/>
        <v>Si Creo</v>
      </c>
      <c r="O379" s="15">
        <f t="shared" si="25"/>
        <v>16</v>
      </c>
      <c r="P379" s="15">
        <f t="shared" si="25"/>
        <v>14</v>
      </c>
      <c r="Q379" s="15">
        <f t="shared" si="25"/>
        <v>19</v>
      </c>
      <c r="R379" s="15">
        <f t="shared" si="25"/>
        <v>31</v>
      </c>
      <c r="S379" s="15">
        <f t="shared" si="25"/>
        <v>24</v>
      </c>
      <c r="T379" s="15">
        <f t="shared" si="25"/>
        <v>7</v>
      </c>
      <c r="U379" s="15">
        <f t="shared" si="25"/>
        <v>11</v>
      </c>
      <c r="V379" s="62">
        <f t="shared" si="25"/>
        <v>17.526</v>
      </c>
    </row>
    <row r="380" spans="1:22" x14ac:dyDescent="0.3">
      <c r="A380" s="52"/>
      <c r="B380" s="58" t="s">
        <v>444</v>
      </c>
      <c r="C380" s="55">
        <f t="shared" si="15"/>
        <v>35</v>
      </c>
      <c r="D380" s="55">
        <f t="shared" si="16"/>
        <v>21</v>
      </c>
      <c r="E380" s="55">
        <f t="shared" si="17"/>
        <v>9</v>
      </c>
      <c r="F380" s="55">
        <f t="shared" si="18"/>
        <v>35</v>
      </c>
      <c r="G380" s="55">
        <f t="shared" si="19"/>
        <v>29</v>
      </c>
      <c r="H380" s="55">
        <f t="shared" si="20"/>
        <v>35</v>
      </c>
      <c r="I380" s="55">
        <f t="shared" si="21"/>
        <v>11</v>
      </c>
      <c r="J380" s="60">
        <f t="shared" si="13"/>
        <v>26.919</v>
      </c>
      <c r="K380" s="52" t="str">
        <f t="shared" si="22"/>
        <v>Fuerza y Libertad</v>
      </c>
      <c r="L380" s="52">
        <f t="shared" si="26"/>
        <v>19</v>
      </c>
      <c r="M380" s="60">
        <f t="shared" si="23"/>
        <v>18.07</v>
      </c>
      <c r="N380" s="59" t="str">
        <f t="shared" si="24"/>
        <v>Primero La Gente</v>
      </c>
      <c r="O380" s="15">
        <f t="shared" si="25"/>
        <v>5</v>
      </c>
      <c r="P380" s="15">
        <f t="shared" si="25"/>
        <v>24</v>
      </c>
      <c r="Q380" s="15">
        <f t="shared" si="25"/>
        <v>19</v>
      </c>
      <c r="R380" s="15">
        <f t="shared" si="25"/>
        <v>18</v>
      </c>
      <c r="S380" s="15">
        <f t="shared" si="25"/>
        <v>21</v>
      </c>
      <c r="T380" s="15">
        <f t="shared" si="25"/>
        <v>35</v>
      </c>
      <c r="U380" s="15">
        <f t="shared" si="25"/>
        <v>9</v>
      </c>
      <c r="V380" s="62">
        <f t="shared" si="25"/>
        <v>18.07</v>
      </c>
    </row>
    <row r="381" spans="1:22" x14ac:dyDescent="0.3">
      <c r="A381" s="52"/>
      <c r="B381" s="58" t="s">
        <v>415</v>
      </c>
      <c r="C381" s="55">
        <f t="shared" si="15"/>
        <v>5</v>
      </c>
      <c r="D381" s="55">
        <f t="shared" si="16"/>
        <v>24</v>
      </c>
      <c r="E381" s="55">
        <f t="shared" si="17"/>
        <v>19</v>
      </c>
      <c r="F381" s="55">
        <f t="shared" si="18"/>
        <v>18</v>
      </c>
      <c r="G381" s="55">
        <f t="shared" si="19"/>
        <v>21</v>
      </c>
      <c r="H381" s="55">
        <f t="shared" si="20"/>
        <v>35</v>
      </c>
      <c r="I381" s="55">
        <f t="shared" si="21"/>
        <v>9</v>
      </c>
      <c r="J381" s="60">
        <f t="shared" si="13"/>
        <v>18.07</v>
      </c>
      <c r="K381" s="52" t="str">
        <f t="shared" si="22"/>
        <v>Primero La Gente</v>
      </c>
      <c r="L381" s="52">
        <f t="shared" si="26"/>
        <v>20</v>
      </c>
      <c r="M381" s="60">
        <f t="shared" si="23"/>
        <v>18.664000000000001</v>
      </c>
      <c r="N381" s="59" t="str">
        <f t="shared" si="24"/>
        <v>Unido Perú</v>
      </c>
      <c r="O381" s="15">
        <f t="shared" si="25"/>
        <v>6</v>
      </c>
      <c r="P381" s="15">
        <f t="shared" si="25"/>
        <v>33</v>
      </c>
      <c r="Q381" s="15">
        <f t="shared" si="25"/>
        <v>25</v>
      </c>
      <c r="R381" s="15">
        <f t="shared" si="25"/>
        <v>15</v>
      </c>
      <c r="S381" s="15">
        <f t="shared" si="25"/>
        <v>15</v>
      </c>
      <c r="T381" s="15">
        <f t="shared" si="25"/>
        <v>35</v>
      </c>
      <c r="U381" s="15">
        <f t="shared" si="25"/>
        <v>1</v>
      </c>
      <c r="V381" s="62">
        <f t="shared" si="25"/>
        <v>18.664000000000001</v>
      </c>
    </row>
    <row r="382" spans="1:22" x14ac:dyDescent="0.3">
      <c r="A382" s="52"/>
      <c r="B382" s="58" t="s">
        <v>250</v>
      </c>
      <c r="C382" s="55">
        <f t="shared" si="15"/>
        <v>10</v>
      </c>
      <c r="D382" s="55">
        <f t="shared" si="16"/>
        <v>21</v>
      </c>
      <c r="E382" s="55">
        <f t="shared" si="17"/>
        <v>31</v>
      </c>
      <c r="F382" s="55">
        <f t="shared" si="18"/>
        <v>32</v>
      </c>
      <c r="G382" s="55">
        <f t="shared" si="19"/>
        <v>1</v>
      </c>
      <c r="H382" s="55">
        <f t="shared" si="20"/>
        <v>35</v>
      </c>
      <c r="I382" s="55">
        <f t="shared" si="21"/>
        <v>11</v>
      </c>
      <c r="J382" s="60">
        <f t="shared" si="13"/>
        <v>15.721000000000002</v>
      </c>
      <c r="K382" s="52" t="str">
        <f t="shared" si="22"/>
        <v>Partido Morado</v>
      </c>
      <c r="L382" s="52">
        <f t="shared" si="26"/>
        <v>21</v>
      </c>
      <c r="M382" s="60">
        <f t="shared" si="23"/>
        <v>19.774000000000001</v>
      </c>
      <c r="N382" s="59" t="str">
        <f t="shared" si="24"/>
        <v>Unidad Nacional</v>
      </c>
      <c r="O382" s="15">
        <f t="shared" si="25"/>
        <v>19</v>
      </c>
      <c r="P382" s="15">
        <f t="shared" si="25"/>
        <v>26</v>
      </c>
      <c r="Q382" s="15">
        <f t="shared" si="25"/>
        <v>17</v>
      </c>
      <c r="R382" s="15">
        <f t="shared" si="25"/>
        <v>20</v>
      </c>
      <c r="S382" s="15">
        <f t="shared" si="25"/>
        <v>17</v>
      </c>
      <c r="T382" s="15">
        <f t="shared" si="25"/>
        <v>11</v>
      </c>
      <c r="U382" s="15">
        <f t="shared" si="25"/>
        <v>35</v>
      </c>
      <c r="V382" s="62">
        <f t="shared" si="25"/>
        <v>19.774000000000001</v>
      </c>
    </row>
    <row r="383" spans="1:22" x14ac:dyDescent="0.3">
      <c r="A383" s="52"/>
      <c r="B383" s="58" t="s">
        <v>457</v>
      </c>
      <c r="C383" s="55">
        <f t="shared" si="15"/>
        <v>10</v>
      </c>
      <c r="D383" s="55">
        <f t="shared" si="16"/>
        <v>3</v>
      </c>
      <c r="E383" s="55">
        <f t="shared" si="17"/>
        <v>2</v>
      </c>
      <c r="F383" s="55">
        <f t="shared" si="18"/>
        <v>14</v>
      </c>
      <c r="G383" s="55">
        <f t="shared" si="19"/>
        <v>33</v>
      </c>
      <c r="H383" s="55">
        <f t="shared" si="20"/>
        <v>11</v>
      </c>
      <c r="I383" s="55">
        <f t="shared" si="21"/>
        <v>19</v>
      </c>
      <c r="J383" s="60">
        <f t="shared" si="13"/>
        <v>14.321999999999999</v>
      </c>
      <c r="K383" s="52" t="str">
        <f t="shared" si="22"/>
        <v>Progresemos</v>
      </c>
      <c r="L383" s="52">
        <f t="shared" si="26"/>
        <v>22</v>
      </c>
      <c r="M383" s="60">
        <f t="shared" si="23"/>
        <v>20.109000000000002</v>
      </c>
      <c r="N383" s="59" t="str">
        <f t="shared" si="24"/>
        <v>Un Camino Diferente</v>
      </c>
      <c r="O383" s="15">
        <f t="shared" si="25"/>
        <v>35</v>
      </c>
      <c r="P383" s="15">
        <f t="shared" si="25"/>
        <v>1</v>
      </c>
      <c r="Q383" s="15">
        <f t="shared" si="25"/>
        <v>1</v>
      </c>
      <c r="R383" s="15">
        <f t="shared" si="25"/>
        <v>1</v>
      </c>
      <c r="S383" s="15">
        <f t="shared" si="25"/>
        <v>23</v>
      </c>
      <c r="T383" s="15">
        <f t="shared" si="25"/>
        <v>35</v>
      </c>
      <c r="U383" s="15">
        <f t="shared" si="25"/>
        <v>35</v>
      </c>
      <c r="V383" s="62">
        <f t="shared" si="25"/>
        <v>20.109000000000002</v>
      </c>
    </row>
    <row r="384" spans="1:22" x14ac:dyDescent="0.3">
      <c r="A384" s="52"/>
      <c r="B384" s="58" t="s">
        <v>3</v>
      </c>
      <c r="C384" s="55">
        <f t="shared" si="15"/>
        <v>35</v>
      </c>
      <c r="D384" s="55">
        <f t="shared" si="16"/>
        <v>29</v>
      </c>
      <c r="E384" s="55">
        <f t="shared" si="17"/>
        <v>35</v>
      </c>
      <c r="F384" s="55">
        <f t="shared" si="18"/>
        <v>34</v>
      </c>
      <c r="G384" s="55">
        <f t="shared" si="19"/>
        <v>22</v>
      </c>
      <c r="H384" s="55">
        <f t="shared" si="20"/>
        <v>11</v>
      </c>
      <c r="I384" s="55">
        <f t="shared" si="21"/>
        <v>11</v>
      </c>
      <c r="J384" s="60">
        <f t="shared" si="13"/>
        <v>26.923000000000002</v>
      </c>
      <c r="K384" s="52" t="str">
        <f t="shared" si="22"/>
        <v>Ahora Nación</v>
      </c>
      <c r="L384" s="52">
        <f t="shared" si="26"/>
        <v>23</v>
      </c>
      <c r="M384" s="60">
        <f t="shared" si="23"/>
        <v>20.867000000000001</v>
      </c>
      <c r="N384" s="59" t="str">
        <f t="shared" si="24"/>
        <v>APRA</v>
      </c>
      <c r="O384" s="15">
        <f t="shared" si="25"/>
        <v>35</v>
      </c>
      <c r="P384" s="15">
        <f t="shared" si="25"/>
        <v>28</v>
      </c>
      <c r="Q384" s="15">
        <f t="shared" si="25"/>
        <v>12</v>
      </c>
      <c r="R384" s="15">
        <f t="shared" si="25"/>
        <v>12</v>
      </c>
      <c r="S384" s="15">
        <f t="shared" si="25"/>
        <v>1</v>
      </c>
      <c r="T384" s="15">
        <f t="shared" si="25"/>
        <v>35</v>
      </c>
      <c r="U384" s="15">
        <f t="shared" si="25"/>
        <v>19</v>
      </c>
      <c r="V384" s="62">
        <f t="shared" si="25"/>
        <v>20.867000000000001</v>
      </c>
    </row>
    <row r="385" spans="1:22" x14ac:dyDescent="0.3">
      <c r="A385" s="52"/>
      <c r="B385" s="58" t="s">
        <v>459</v>
      </c>
      <c r="C385" s="55">
        <f t="shared" si="15"/>
        <v>19</v>
      </c>
      <c r="D385" s="55">
        <f t="shared" si="16"/>
        <v>26</v>
      </c>
      <c r="E385" s="55">
        <f t="shared" si="17"/>
        <v>17</v>
      </c>
      <c r="F385" s="55">
        <f t="shared" si="18"/>
        <v>20</v>
      </c>
      <c r="G385" s="55">
        <f t="shared" si="19"/>
        <v>17</v>
      </c>
      <c r="H385" s="55">
        <f t="shared" si="20"/>
        <v>11</v>
      </c>
      <c r="I385" s="55">
        <f t="shared" si="21"/>
        <v>35</v>
      </c>
      <c r="J385" s="60">
        <f t="shared" si="13"/>
        <v>19.774000000000001</v>
      </c>
      <c r="K385" s="52" t="str">
        <f t="shared" si="22"/>
        <v>Unidad Nacional</v>
      </c>
      <c r="L385" s="52">
        <f t="shared" si="26"/>
        <v>24</v>
      </c>
      <c r="M385" s="60">
        <f t="shared" si="23"/>
        <v>21.713000000000001</v>
      </c>
      <c r="N385" s="59" t="str">
        <f t="shared" si="24"/>
        <v>Fe en el Peru</v>
      </c>
      <c r="O385" s="15">
        <f t="shared" si="25"/>
        <v>35</v>
      </c>
      <c r="P385" s="15">
        <f t="shared" si="25"/>
        <v>11</v>
      </c>
      <c r="Q385" s="15">
        <f t="shared" si="25"/>
        <v>25</v>
      </c>
      <c r="R385" s="15">
        <f t="shared" si="25"/>
        <v>19</v>
      </c>
      <c r="S385" s="15">
        <f t="shared" si="25"/>
        <v>15</v>
      </c>
      <c r="T385" s="15">
        <f t="shared" si="25"/>
        <v>35</v>
      </c>
      <c r="U385" s="15">
        <f t="shared" si="25"/>
        <v>1</v>
      </c>
      <c r="V385" s="62">
        <f t="shared" si="25"/>
        <v>21.713000000000001</v>
      </c>
    </row>
    <row r="386" spans="1:22" x14ac:dyDescent="0.3">
      <c r="A386" s="52"/>
      <c r="B386" s="58" t="s">
        <v>353</v>
      </c>
      <c r="C386" s="55">
        <f t="shared" si="15"/>
        <v>35</v>
      </c>
      <c r="D386" s="55">
        <f t="shared" si="16"/>
        <v>15</v>
      </c>
      <c r="E386" s="55">
        <f t="shared" si="17"/>
        <v>12</v>
      </c>
      <c r="F386" s="55">
        <f t="shared" si="18"/>
        <v>33</v>
      </c>
      <c r="G386" s="55">
        <f t="shared" si="19"/>
        <v>1</v>
      </c>
      <c r="H386" s="55">
        <f t="shared" si="20"/>
        <v>11</v>
      </c>
      <c r="I386" s="55">
        <f t="shared" si="21"/>
        <v>11</v>
      </c>
      <c r="J386" s="60">
        <f t="shared" si="13"/>
        <v>16.524999999999999</v>
      </c>
      <c r="K386" s="52" t="str">
        <f t="shared" si="22"/>
        <v>Venceremos</v>
      </c>
      <c r="L386" s="52">
        <f t="shared" si="26"/>
        <v>25</v>
      </c>
      <c r="M386" s="60">
        <f t="shared" si="23"/>
        <v>22.71</v>
      </c>
      <c r="N386" s="59" t="str">
        <f t="shared" si="24"/>
        <v>Pais para Todos</v>
      </c>
      <c r="O386" s="15">
        <f t="shared" si="25"/>
        <v>16</v>
      </c>
      <c r="P386" s="15">
        <f t="shared" si="25"/>
        <v>34</v>
      </c>
      <c r="Q386" s="15">
        <f t="shared" si="25"/>
        <v>17</v>
      </c>
      <c r="R386" s="15">
        <f t="shared" si="25"/>
        <v>30</v>
      </c>
      <c r="S386" s="15">
        <f t="shared" si="25"/>
        <v>20</v>
      </c>
      <c r="T386" s="15">
        <f t="shared" si="25"/>
        <v>35</v>
      </c>
      <c r="U386" s="15">
        <f t="shared" si="25"/>
        <v>4</v>
      </c>
      <c r="V386" s="62">
        <f t="shared" si="25"/>
        <v>22.71</v>
      </c>
    </row>
    <row r="387" spans="1:22" x14ac:dyDescent="0.3">
      <c r="A387" s="52"/>
      <c r="B387" s="58" t="s">
        <v>454</v>
      </c>
      <c r="C387" s="55">
        <f t="shared" si="15"/>
        <v>16</v>
      </c>
      <c r="D387" s="55">
        <f t="shared" si="16"/>
        <v>14</v>
      </c>
      <c r="E387" s="55">
        <f t="shared" si="17"/>
        <v>19</v>
      </c>
      <c r="F387" s="55">
        <f t="shared" si="18"/>
        <v>31</v>
      </c>
      <c r="G387" s="55">
        <f t="shared" si="19"/>
        <v>24</v>
      </c>
      <c r="H387" s="55">
        <f t="shared" si="20"/>
        <v>7</v>
      </c>
      <c r="I387" s="55">
        <f t="shared" si="21"/>
        <v>11</v>
      </c>
      <c r="J387" s="60">
        <f t="shared" si="13"/>
        <v>17.526</v>
      </c>
      <c r="K387" s="52" t="str">
        <f t="shared" si="22"/>
        <v>Si Creo</v>
      </c>
      <c r="L387" s="52">
        <f t="shared" si="26"/>
        <v>26</v>
      </c>
      <c r="M387" s="60">
        <f t="shared" si="23"/>
        <v>23.057000000000002</v>
      </c>
      <c r="N387" s="59" t="str">
        <f t="shared" si="24"/>
        <v>PRIN</v>
      </c>
      <c r="O387" s="15">
        <f t="shared" si="25"/>
        <v>35</v>
      </c>
      <c r="P387" s="15">
        <f t="shared" si="25"/>
        <v>8</v>
      </c>
      <c r="Q387" s="15">
        <f t="shared" si="25"/>
        <v>15</v>
      </c>
      <c r="R387" s="15">
        <f t="shared" si="25"/>
        <v>17</v>
      </c>
      <c r="S387" s="15">
        <f t="shared" si="25"/>
        <v>26</v>
      </c>
      <c r="T387" s="15">
        <f t="shared" si="25"/>
        <v>35</v>
      </c>
      <c r="U387" s="15">
        <f t="shared" si="25"/>
        <v>7</v>
      </c>
      <c r="V387" s="62">
        <f t="shared" si="25"/>
        <v>23.057000000000002</v>
      </c>
    </row>
    <row r="388" spans="1:22" x14ac:dyDescent="0.3">
      <c r="A388" s="52"/>
      <c r="B388" s="58" t="s">
        <v>385</v>
      </c>
      <c r="C388" s="55">
        <f t="shared" si="15"/>
        <v>6</v>
      </c>
      <c r="D388" s="55">
        <f t="shared" si="16"/>
        <v>32</v>
      </c>
      <c r="E388" s="55">
        <f t="shared" si="17"/>
        <v>22</v>
      </c>
      <c r="F388" s="55">
        <f t="shared" si="18"/>
        <v>26</v>
      </c>
      <c r="G388" s="55">
        <f t="shared" si="19"/>
        <v>13</v>
      </c>
      <c r="H388" s="55">
        <f t="shared" si="20"/>
        <v>7</v>
      </c>
      <c r="I388" s="55">
        <f t="shared" si="21"/>
        <v>11</v>
      </c>
      <c r="J388" s="60">
        <f t="shared" si="13"/>
        <v>15.927000000000001</v>
      </c>
      <c r="K388" s="52" t="str">
        <f t="shared" si="22"/>
        <v>Peru Primero</v>
      </c>
      <c r="L388" s="52">
        <f t="shared" si="26"/>
        <v>27</v>
      </c>
      <c r="M388" s="60">
        <f t="shared" si="23"/>
        <v>23.608000000000001</v>
      </c>
      <c r="N388" s="59" t="str">
        <f t="shared" si="24"/>
        <v>PTE</v>
      </c>
      <c r="O388" s="15">
        <f t="shared" si="25"/>
        <v>35</v>
      </c>
      <c r="P388" s="15">
        <f t="shared" si="25"/>
        <v>7</v>
      </c>
      <c r="Q388" s="15">
        <f t="shared" si="25"/>
        <v>25</v>
      </c>
      <c r="R388" s="15">
        <f t="shared" si="25"/>
        <v>21</v>
      </c>
      <c r="S388" s="15">
        <f t="shared" si="25"/>
        <v>25</v>
      </c>
      <c r="T388" s="15">
        <f t="shared" si="25"/>
        <v>35</v>
      </c>
      <c r="U388" s="15">
        <f t="shared" si="25"/>
        <v>3</v>
      </c>
      <c r="V388" s="62">
        <f t="shared" si="25"/>
        <v>23.608000000000001</v>
      </c>
    </row>
    <row r="389" spans="1:22" x14ac:dyDescent="0.3">
      <c r="A389" s="52"/>
      <c r="B389" s="58" t="s">
        <v>442</v>
      </c>
      <c r="C389" s="55">
        <f t="shared" si="15"/>
        <v>35</v>
      </c>
      <c r="D389" s="55">
        <f t="shared" si="16"/>
        <v>25</v>
      </c>
      <c r="E389" s="55">
        <f t="shared" si="17"/>
        <v>6</v>
      </c>
      <c r="F389" s="55">
        <f t="shared" si="18"/>
        <v>2</v>
      </c>
      <c r="G389" s="55">
        <f t="shared" si="19"/>
        <v>1</v>
      </c>
      <c r="H389" s="55">
        <f t="shared" si="20"/>
        <v>7</v>
      </c>
      <c r="I389" s="55">
        <f t="shared" si="21"/>
        <v>6</v>
      </c>
      <c r="J389" s="60">
        <f t="shared" si="13"/>
        <v>15.728</v>
      </c>
      <c r="K389" s="52" t="str">
        <f t="shared" si="22"/>
        <v>Avanza Pais</v>
      </c>
      <c r="L389" s="52">
        <f t="shared" si="26"/>
        <v>28</v>
      </c>
      <c r="M389" s="60">
        <f t="shared" si="23"/>
        <v>23.805</v>
      </c>
      <c r="N389" s="59" t="str">
        <f t="shared" si="24"/>
        <v>Buen Gobierno</v>
      </c>
      <c r="O389" s="15">
        <f t="shared" si="25"/>
        <v>19</v>
      </c>
      <c r="P389" s="15">
        <f t="shared" si="25"/>
        <v>17</v>
      </c>
      <c r="Q389" s="15">
        <f t="shared" si="25"/>
        <v>25</v>
      </c>
      <c r="R389" s="15">
        <f t="shared" si="25"/>
        <v>23</v>
      </c>
      <c r="S389" s="15">
        <f t="shared" si="25"/>
        <v>27</v>
      </c>
      <c r="T389" s="15">
        <f t="shared" si="25"/>
        <v>35</v>
      </c>
      <c r="U389" s="15">
        <f t="shared" si="25"/>
        <v>35</v>
      </c>
      <c r="V389" s="62">
        <f t="shared" si="25"/>
        <v>23.805</v>
      </c>
    </row>
    <row r="390" spans="1:22" x14ac:dyDescent="0.3">
      <c r="A390" s="52"/>
      <c r="B390" s="58" t="s">
        <v>45</v>
      </c>
      <c r="C390" s="55">
        <f t="shared" si="15"/>
        <v>4</v>
      </c>
      <c r="D390" s="55">
        <f t="shared" si="16"/>
        <v>16</v>
      </c>
      <c r="E390" s="55">
        <f t="shared" si="17"/>
        <v>12</v>
      </c>
      <c r="F390" s="55">
        <f t="shared" si="18"/>
        <v>8</v>
      </c>
      <c r="G390" s="55">
        <f t="shared" si="19"/>
        <v>1</v>
      </c>
      <c r="H390" s="55">
        <f t="shared" si="20"/>
        <v>7</v>
      </c>
      <c r="I390" s="55">
        <f t="shared" si="21"/>
        <v>19</v>
      </c>
      <c r="J390" s="60">
        <f t="shared" si="13"/>
        <v>7.729000000000001</v>
      </c>
      <c r="K390" s="52" t="str">
        <f t="shared" si="22"/>
        <v>Renovación Popular</v>
      </c>
      <c r="L390" s="52">
        <f t="shared" si="26"/>
        <v>29</v>
      </c>
      <c r="M390" s="60">
        <f t="shared" si="23"/>
        <v>24.161999999999999</v>
      </c>
      <c r="N390" s="59" t="str">
        <f t="shared" si="24"/>
        <v>Frente de la Esperanza</v>
      </c>
      <c r="O390" s="15">
        <f t="shared" si="25"/>
        <v>35</v>
      </c>
      <c r="P390" s="15">
        <f t="shared" si="25"/>
        <v>18</v>
      </c>
      <c r="Q390" s="15">
        <f t="shared" si="25"/>
        <v>15</v>
      </c>
      <c r="R390" s="15">
        <f t="shared" si="25"/>
        <v>27</v>
      </c>
      <c r="S390" s="15">
        <f t="shared" si="25"/>
        <v>18</v>
      </c>
      <c r="T390" s="15">
        <f t="shared" si="25"/>
        <v>35</v>
      </c>
      <c r="U390" s="15">
        <f t="shared" si="25"/>
        <v>19</v>
      </c>
      <c r="V390" s="62">
        <f t="shared" si="25"/>
        <v>24.161999999999999</v>
      </c>
    </row>
    <row r="391" spans="1:22" x14ac:dyDescent="0.3">
      <c r="A391" s="52"/>
      <c r="B391" s="58" t="s">
        <v>449</v>
      </c>
      <c r="C391" s="55">
        <f t="shared" si="15"/>
        <v>10</v>
      </c>
      <c r="D391" s="55">
        <f t="shared" si="16"/>
        <v>20</v>
      </c>
      <c r="E391" s="55">
        <f t="shared" si="17"/>
        <v>22</v>
      </c>
      <c r="F391" s="55">
        <f t="shared" si="18"/>
        <v>24</v>
      </c>
      <c r="G391" s="55">
        <f t="shared" si="19"/>
        <v>1</v>
      </c>
      <c r="H391" s="55">
        <f t="shared" si="20"/>
        <v>6</v>
      </c>
      <c r="I391" s="55">
        <f t="shared" si="21"/>
        <v>11</v>
      </c>
      <c r="J391" s="60">
        <f t="shared" si="13"/>
        <v>11.329999999999998</v>
      </c>
      <c r="K391" s="52" t="str">
        <f t="shared" si="22"/>
        <v>Somos Perú</v>
      </c>
      <c r="L391" s="52">
        <f t="shared" si="26"/>
        <v>30</v>
      </c>
      <c r="M391" s="60">
        <f t="shared" si="23"/>
        <v>24.817999999999998</v>
      </c>
      <c r="N391" s="59" t="str">
        <f t="shared" si="24"/>
        <v>FREPAP</v>
      </c>
      <c r="O391" s="15">
        <f t="shared" si="25"/>
        <v>35</v>
      </c>
      <c r="P391" s="15">
        <f t="shared" si="25"/>
        <v>6</v>
      </c>
      <c r="Q391" s="15">
        <f t="shared" si="25"/>
        <v>2</v>
      </c>
      <c r="R391" s="15">
        <f t="shared" si="25"/>
        <v>13</v>
      </c>
      <c r="S391" s="15">
        <f t="shared" si="25"/>
        <v>35</v>
      </c>
      <c r="T391" s="15">
        <f t="shared" si="25"/>
        <v>35</v>
      </c>
      <c r="U391" s="15">
        <f t="shared" si="25"/>
        <v>35</v>
      </c>
      <c r="V391" s="62">
        <f t="shared" si="25"/>
        <v>24.817999999999998</v>
      </c>
    </row>
    <row r="392" spans="1:22" x14ac:dyDescent="0.3">
      <c r="A392" s="52"/>
      <c r="B392" s="58" t="s">
        <v>107</v>
      </c>
      <c r="C392" s="55">
        <f t="shared" si="15"/>
        <v>1</v>
      </c>
      <c r="D392" s="55">
        <f t="shared" si="16"/>
        <v>35</v>
      </c>
      <c r="E392" s="55">
        <f t="shared" si="17"/>
        <v>22</v>
      </c>
      <c r="F392" s="55">
        <f t="shared" si="18"/>
        <v>4</v>
      </c>
      <c r="G392" s="55">
        <f t="shared" si="19"/>
        <v>1</v>
      </c>
      <c r="H392" s="55">
        <f t="shared" si="20"/>
        <v>3</v>
      </c>
      <c r="I392" s="55">
        <f t="shared" si="21"/>
        <v>19</v>
      </c>
      <c r="J392" s="60">
        <f t="shared" si="13"/>
        <v>11.180999999999999</v>
      </c>
      <c r="K392" s="52" t="str">
        <f t="shared" si="22"/>
        <v>Alianza para el Progreso</v>
      </c>
      <c r="L392" s="52">
        <f t="shared" si="26"/>
        <v>31</v>
      </c>
      <c r="M392" s="60">
        <f t="shared" si="23"/>
        <v>26.052</v>
      </c>
      <c r="N392" s="59" t="str">
        <f t="shared" si="24"/>
        <v>PPP</v>
      </c>
      <c r="O392" s="15">
        <f t="shared" si="25"/>
        <v>35</v>
      </c>
      <c r="P392" s="15">
        <f t="shared" si="25"/>
        <v>13</v>
      </c>
      <c r="Q392" s="15">
        <f t="shared" si="25"/>
        <v>25</v>
      </c>
      <c r="R392" s="15">
        <f t="shared" si="25"/>
        <v>7</v>
      </c>
      <c r="S392" s="15">
        <f t="shared" si="25"/>
        <v>32</v>
      </c>
      <c r="T392" s="15">
        <f t="shared" si="25"/>
        <v>35</v>
      </c>
      <c r="U392" s="15">
        <f t="shared" si="25"/>
        <v>7</v>
      </c>
      <c r="V392" s="62">
        <f t="shared" si="25"/>
        <v>26.052</v>
      </c>
    </row>
    <row r="393" spans="1:22" x14ac:dyDescent="0.3">
      <c r="A393" s="52"/>
      <c r="B393" s="58" t="s">
        <v>138</v>
      </c>
      <c r="C393" s="55">
        <f t="shared" si="15"/>
        <v>10</v>
      </c>
      <c r="D393" s="55">
        <f t="shared" si="16"/>
        <v>12</v>
      </c>
      <c r="E393" s="55">
        <f t="shared" si="17"/>
        <v>9</v>
      </c>
      <c r="F393" s="55">
        <f t="shared" si="18"/>
        <v>28</v>
      </c>
      <c r="G393" s="55">
        <f t="shared" si="19"/>
        <v>1</v>
      </c>
      <c r="H393" s="55">
        <f t="shared" si="20"/>
        <v>3</v>
      </c>
      <c r="I393" s="55">
        <f t="shared" si="21"/>
        <v>35</v>
      </c>
      <c r="J393" s="60">
        <f t="shared" si="13"/>
        <v>9.532</v>
      </c>
      <c r="K393" s="52" t="str">
        <f t="shared" si="22"/>
        <v>Juntos por el Perú</v>
      </c>
      <c r="L393" s="52">
        <f t="shared" si="26"/>
        <v>32</v>
      </c>
      <c r="M393" s="60">
        <f t="shared" si="23"/>
        <v>26.919</v>
      </c>
      <c r="N393" s="59" t="str">
        <f t="shared" si="24"/>
        <v>Fuerza y Libertad</v>
      </c>
      <c r="O393" s="15">
        <f t="shared" si="25"/>
        <v>35</v>
      </c>
      <c r="P393" s="15">
        <f t="shared" si="25"/>
        <v>21</v>
      </c>
      <c r="Q393" s="15">
        <f t="shared" si="25"/>
        <v>9</v>
      </c>
      <c r="R393" s="15">
        <f t="shared" si="25"/>
        <v>35</v>
      </c>
      <c r="S393" s="15">
        <f t="shared" si="25"/>
        <v>29</v>
      </c>
      <c r="T393" s="15">
        <f t="shared" si="25"/>
        <v>35</v>
      </c>
      <c r="U393" s="15">
        <f t="shared" si="25"/>
        <v>11</v>
      </c>
      <c r="V393" s="62">
        <f t="shared" si="25"/>
        <v>26.919</v>
      </c>
    </row>
    <row r="394" spans="1:22" x14ac:dyDescent="0.3">
      <c r="A394" s="52"/>
      <c r="B394" s="58" t="s">
        <v>456</v>
      </c>
      <c r="C394" s="55">
        <f t="shared" si="15"/>
        <v>8</v>
      </c>
      <c r="D394" s="55">
        <f t="shared" si="16"/>
        <v>9</v>
      </c>
      <c r="E394" s="55">
        <f t="shared" si="17"/>
        <v>7</v>
      </c>
      <c r="F394" s="55">
        <f t="shared" si="18"/>
        <v>22</v>
      </c>
      <c r="G394" s="55">
        <f t="shared" si="19"/>
        <v>1</v>
      </c>
      <c r="H394" s="55">
        <f t="shared" si="20"/>
        <v>3</v>
      </c>
      <c r="I394" s="55">
        <f t="shared" si="21"/>
        <v>19</v>
      </c>
      <c r="J394" s="60">
        <f t="shared" si="13"/>
        <v>7.133</v>
      </c>
      <c r="K394" s="52" t="str">
        <f t="shared" si="22"/>
        <v>Podemos Perú</v>
      </c>
      <c r="L394" s="52">
        <f t="shared" si="26"/>
        <v>33</v>
      </c>
      <c r="M394" s="60">
        <f t="shared" si="23"/>
        <v>26.923000000000002</v>
      </c>
      <c r="N394" s="59" t="str">
        <f t="shared" si="24"/>
        <v>Ahora Nación</v>
      </c>
      <c r="O394" s="15">
        <f t="shared" si="25"/>
        <v>35</v>
      </c>
      <c r="P394" s="15">
        <f t="shared" si="25"/>
        <v>29</v>
      </c>
      <c r="Q394" s="15">
        <f t="shared" si="25"/>
        <v>35</v>
      </c>
      <c r="R394" s="15">
        <f t="shared" si="25"/>
        <v>34</v>
      </c>
      <c r="S394" s="15">
        <f t="shared" si="25"/>
        <v>22</v>
      </c>
      <c r="T394" s="15">
        <f t="shared" si="25"/>
        <v>11</v>
      </c>
      <c r="U394" s="15">
        <f t="shared" si="25"/>
        <v>11</v>
      </c>
      <c r="V394" s="62">
        <f t="shared" si="25"/>
        <v>26.923000000000002</v>
      </c>
    </row>
    <row r="395" spans="1:22" x14ac:dyDescent="0.3">
      <c r="A395" s="52"/>
      <c r="B395" s="58" t="s">
        <v>76</v>
      </c>
      <c r="C395" s="55">
        <f t="shared" si="15"/>
        <v>3</v>
      </c>
      <c r="D395" s="55">
        <f t="shared" si="16"/>
        <v>27</v>
      </c>
      <c r="E395" s="55">
        <f t="shared" si="17"/>
        <v>31</v>
      </c>
      <c r="F395" s="55">
        <f t="shared" si="18"/>
        <v>6</v>
      </c>
      <c r="G395" s="55">
        <f t="shared" si="19"/>
        <v>1</v>
      </c>
      <c r="H395" s="55">
        <f t="shared" si="20"/>
        <v>2</v>
      </c>
      <c r="I395" s="55">
        <f t="shared" si="21"/>
        <v>35</v>
      </c>
      <c r="J395" s="60">
        <f t="shared" si="13"/>
        <v>11.784000000000001</v>
      </c>
      <c r="K395" s="52" t="str">
        <f t="shared" si="22"/>
        <v>Fuerza Popular</v>
      </c>
      <c r="L395" s="52">
        <f t="shared" si="26"/>
        <v>34</v>
      </c>
      <c r="M395" s="60">
        <f t="shared" si="23"/>
        <v>29.952999999999999</v>
      </c>
      <c r="N395" s="59" t="str">
        <f t="shared" si="24"/>
        <v>Libertad Popular</v>
      </c>
      <c r="O395" s="15">
        <f t="shared" si="25"/>
        <v>35</v>
      </c>
      <c r="P395" s="15">
        <f t="shared" si="25"/>
        <v>31</v>
      </c>
      <c r="Q395" s="15">
        <f t="shared" si="25"/>
        <v>25</v>
      </c>
      <c r="R395" s="15">
        <f t="shared" si="25"/>
        <v>16</v>
      </c>
      <c r="S395" s="15">
        <f t="shared" si="25"/>
        <v>31</v>
      </c>
      <c r="T395" s="15">
        <f t="shared" si="25"/>
        <v>35</v>
      </c>
      <c r="U395" s="15">
        <f t="shared" si="25"/>
        <v>9</v>
      </c>
      <c r="V395" s="62">
        <f t="shared" si="25"/>
        <v>29.952999999999999</v>
      </c>
    </row>
    <row r="396" spans="1:22" x14ac:dyDescent="0.3">
      <c r="A396" s="52"/>
      <c r="B396" s="58" t="s">
        <v>140</v>
      </c>
      <c r="C396" s="55">
        <f t="shared" si="15"/>
        <v>8</v>
      </c>
      <c r="D396" s="55">
        <f t="shared" si="16"/>
        <v>23</v>
      </c>
      <c r="E396" s="55">
        <f t="shared" si="17"/>
        <v>31</v>
      </c>
      <c r="F396" s="55">
        <f t="shared" si="18"/>
        <v>10</v>
      </c>
      <c r="G396" s="55">
        <f t="shared" si="19"/>
        <v>1</v>
      </c>
      <c r="H396" s="55">
        <f t="shared" si="20"/>
        <v>1</v>
      </c>
      <c r="I396" s="55">
        <f t="shared" si="21"/>
        <v>35</v>
      </c>
      <c r="J396" s="60">
        <f t="shared" si="13"/>
        <v>12.335000000000001</v>
      </c>
      <c r="K396" s="52" t="str">
        <f t="shared" si="22"/>
        <v>Peru Libre</v>
      </c>
      <c r="L396" s="52">
        <f t="shared" si="26"/>
        <v>35</v>
      </c>
      <c r="M396" s="60">
        <f t="shared" si="23"/>
        <v>30.451000000000001</v>
      </c>
      <c r="N396" s="59" t="str">
        <f t="shared" si="24"/>
        <v>Integridad Democrática</v>
      </c>
      <c r="O396" s="15">
        <f t="shared" si="25"/>
        <v>35</v>
      </c>
      <c r="P396" s="15">
        <f t="shared" si="25"/>
        <v>30</v>
      </c>
      <c r="Q396" s="15">
        <f t="shared" si="25"/>
        <v>5</v>
      </c>
      <c r="R396" s="15">
        <f t="shared" si="25"/>
        <v>29</v>
      </c>
      <c r="S396" s="15">
        <f t="shared" si="25"/>
        <v>34</v>
      </c>
      <c r="T396" s="15">
        <f t="shared" si="25"/>
        <v>35</v>
      </c>
      <c r="U396" s="15">
        <f t="shared" si="25"/>
        <v>35</v>
      </c>
      <c r="V396" s="62">
        <f t="shared" si="25"/>
        <v>30.451000000000001</v>
      </c>
    </row>
    <row r="397" spans="1:22" x14ac:dyDescent="0.3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</row>
    <row r="398" spans="1:22" x14ac:dyDescent="0.3">
      <c r="C398">
        <v>2</v>
      </c>
      <c r="D398">
        <v>3</v>
      </c>
      <c r="E398">
        <v>4</v>
      </c>
      <c r="F398">
        <v>5</v>
      </c>
      <c r="G398">
        <v>6</v>
      </c>
      <c r="H398">
        <v>7</v>
      </c>
      <c r="I398">
        <v>8</v>
      </c>
    </row>
    <row r="399" spans="1:22" x14ac:dyDescent="0.3">
      <c r="B399" t="str">
        <f>+N396</f>
        <v>Integridad Democrática</v>
      </c>
      <c r="C399">
        <f t="shared" ref="C399:I399" si="27">+VLOOKUP($B399,$B$362:$I$396,C398,FALSE)</f>
        <v>35</v>
      </c>
      <c r="D399">
        <f t="shared" si="27"/>
        <v>30</v>
      </c>
      <c r="E399">
        <f t="shared" si="27"/>
        <v>5</v>
      </c>
      <c r="F399">
        <f t="shared" si="27"/>
        <v>29</v>
      </c>
      <c r="G399">
        <f t="shared" si="27"/>
        <v>34</v>
      </c>
      <c r="H399">
        <f t="shared" si="27"/>
        <v>35</v>
      </c>
      <c r="I399">
        <f t="shared" si="27"/>
        <v>35</v>
      </c>
    </row>
    <row r="401" spans="3:9" x14ac:dyDescent="0.3">
      <c r="C401" s="68"/>
      <c r="D401" s="68"/>
      <c r="E401" s="68"/>
      <c r="F401" s="68"/>
      <c r="G401" s="68"/>
      <c r="H401" s="68"/>
      <c r="I401" s="52"/>
    </row>
    <row r="402" spans="3:9" x14ac:dyDescent="0.3">
      <c r="C402" s="68"/>
      <c r="D402" s="68"/>
      <c r="E402" s="68"/>
      <c r="F402" s="68"/>
      <c r="G402" s="68"/>
      <c r="H402" s="68"/>
      <c r="I402" s="52"/>
    </row>
    <row r="403" spans="3:9" x14ac:dyDescent="0.3">
      <c r="C403" s="68"/>
      <c r="D403" s="68"/>
      <c r="E403" s="68"/>
      <c r="F403" s="68"/>
      <c r="G403" s="68"/>
      <c r="H403" s="68"/>
      <c r="I403" s="52"/>
    </row>
    <row r="404" spans="3:9" x14ac:dyDescent="0.3">
      <c r="C404" s="68"/>
      <c r="D404" s="68"/>
      <c r="E404" s="68"/>
      <c r="F404" s="68"/>
      <c r="G404" s="68"/>
      <c r="H404" s="68"/>
      <c r="I404" s="52"/>
    </row>
    <row r="405" spans="3:9" x14ac:dyDescent="0.3">
      <c r="C405" s="68"/>
      <c r="D405" s="68"/>
      <c r="E405" s="68"/>
      <c r="F405" s="68"/>
      <c r="G405" s="68"/>
      <c r="H405" s="68"/>
      <c r="I405" s="52"/>
    </row>
    <row r="406" spans="3:9" x14ac:dyDescent="0.3">
      <c r="C406" s="68"/>
      <c r="D406" s="68"/>
      <c r="E406" s="68"/>
      <c r="F406" s="68"/>
      <c r="G406" s="68"/>
      <c r="H406" s="68"/>
      <c r="I406" s="52"/>
    </row>
    <row r="407" spans="3:9" x14ac:dyDescent="0.3">
      <c r="C407" s="68"/>
      <c r="D407" s="68"/>
      <c r="E407" s="68"/>
      <c r="F407" s="68"/>
      <c r="G407" s="68"/>
      <c r="H407" s="68"/>
      <c r="I407" s="52"/>
    </row>
    <row r="408" spans="3:9" x14ac:dyDescent="0.3">
      <c r="C408" s="68"/>
      <c r="D408" s="68"/>
      <c r="E408" s="68"/>
      <c r="F408" s="68"/>
      <c r="G408" s="68"/>
      <c r="H408" s="68"/>
      <c r="I408" s="52"/>
    </row>
    <row r="409" spans="3:9" x14ac:dyDescent="0.3">
      <c r="C409" s="68"/>
      <c r="D409" s="68"/>
      <c r="E409" s="68"/>
      <c r="F409" s="68"/>
      <c r="G409" s="68"/>
      <c r="H409" s="68"/>
      <c r="I409" s="52"/>
    </row>
    <row r="410" spans="3:9" x14ac:dyDescent="0.3">
      <c r="C410" s="68"/>
      <c r="D410" s="68"/>
      <c r="E410" s="68"/>
      <c r="F410" s="68"/>
      <c r="G410" s="68"/>
      <c r="H410" s="68"/>
      <c r="I410" s="52"/>
    </row>
    <row r="411" spans="3:9" x14ac:dyDescent="0.3">
      <c r="C411" s="68"/>
      <c r="D411" s="68"/>
      <c r="E411" s="68"/>
      <c r="F411" s="68"/>
      <c r="G411" s="68"/>
      <c r="H411" s="68"/>
      <c r="I411" s="52"/>
    </row>
    <row r="412" spans="3:9" x14ac:dyDescent="0.3">
      <c r="C412" s="68"/>
      <c r="D412" s="68"/>
      <c r="E412" s="68"/>
      <c r="F412" s="68"/>
      <c r="G412" s="68"/>
      <c r="H412" s="68"/>
      <c r="I412" s="52"/>
    </row>
    <row r="413" spans="3:9" x14ac:dyDescent="0.3">
      <c r="C413" s="68"/>
      <c r="D413" s="68"/>
      <c r="E413" s="68"/>
      <c r="F413" s="68"/>
      <c r="G413" s="68"/>
      <c r="H413" s="68"/>
      <c r="I413" s="52"/>
    </row>
    <row r="414" spans="3:9" x14ac:dyDescent="0.3">
      <c r="C414" s="68"/>
      <c r="D414" s="68"/>
      <c r="E414" s="68"/>
      <c r="F414" s="68"/>
      <c r="G414" s="68"/>
      <c r="H414" s="68"/>
      <c r="I414" s="52"/>
    </row>
    <row r="415" spans="3:9" x14ac:dyDescent="0.3">
      <c r="C415" s="68"/>
      <c r="D415" s="68"/>
      <c r="E415" s="68"/>
      <c r="F415" s="68"/>
      <c r="G415" s="68"/>
      <c r="H415" s="68"/>
      <c r="I415" s="52"/>
    </row>
    <row r="416" spans="3:9" x14ac:dyDescent="0.3">
      <c r="C416" s="68"/>
      <c r="D416" s="68"/>
      <c r="E416" s="68"/>
      <c r="F416" s="68"/>
      <c r="G416" s="68"/>
      <c r="H416" s="68"/>
      <c r="I416" s="52"/>
    </row>
    <row r="417" spans="3:9" x14ac:dyDescent="0.3">
      <c r="C417" s="68"/>
      <c r="D417" s="68"/>
      <c r="E417" s="68"/>
      <c r="F417" s="68"/>
      <c r="G417" s="68"/>
      <c r="H417" s="68"/>
      <c r="I417" s="52"/>
    </row>
    <row r="418" spans="3:9" x14ac:dyDescent="0.3">
      <c r="C418" s="68"/>
      <c r="D418" s="68"/>
      <c r="E418" s="68"/>
      <c r="F418" s="68"/>
      <c r="G418" s="68"/>
      <c r="H418" s="68"/>
      <c r="I418" s="52"/>
    </row>
  </sheetData>
  <sortState xmlns:xlrd2="http://schemas.microsoft.com/office/spreadsheetml/2017/richdata2" ref="B324:C358">
    <sortCondition ref="C324:C358"/>
  </sortState>
  <mergeCells count="5">
    <mergeCell ref="G3:H3"/>
    <mergeCell ref="E3:F3"/>
    <mergeCell ref="C3:D3"/>
    <mergeCell ref="I3:J3"/>
    <mergeCell ref="C401:H418"/>
  </mergeCells>
  <dataValidations count="1">
    <dataValidation type="list" allowBlank="1" showInputMessage="1" showErrorMessage="1" sqref="B399" xr:uid="{E6AE2830-85F0-4417-88D5-5A3787885478}">
      <formula1>$B$362:$B$396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632E-B19E-463F-BC68-8A3EF20EF2C2}">
  <dimension ref="A2:O398"/>
  <sheetViews>
    <sheetView topLeftCell="A359" zoomScale="80" zoomScaleNormal="80" workbookViewId="0">
      <selection activeCell="B362" sqref="B362"/>
    </sheetView>
  </sheetViews>
  <sheetFormatPr baseColWidth="10" defaultRowHeight="14.4" x14ac:dyDescent="0.3"/>
  <cols>
    <col min="2" max="2" width="20.5546875" bestFit="1" customWidth="1"/>
    <col min="3" max="5" width="13.77734375" customWidth="1"/>
    <col min="6" max="6" width="6.21875" customWidth="1"/>
    <col min="7" max="8" width="13.77734375" customWidth="1"/>
    <col min="9" max="9" width="18.33203125" customWidth="1"/>
    <col min="10" max="10" width="15.109375" bestFit="1" customWidth="1"/>
    <col min="11" max="12" width="13.77734375" customWidth="1"/>
    <col min="13" max="14" width="20.5546875" bestFit="1" customWidth="1"/>
  </cols>
  <sheetData>
    <row r="2" spans="1:15" x14ac:dyDescent="0.3">
      <c r="D2">
        <f ca="1">+C7/D7</f>
        <v>0.28999999999999998</v>
      </c>
      <c r="F2">
        <v>5</v>
      </c>
      <c r="G2">
        <f>1130*4</f>
        <v>4520</v>
      </c>
    </row>
    <row r="3" spans="1:15" x14ac:dyDescent="0.3">
      <c r="C3" s="67" t="s">
        <v>41</v>
      </c>
      <c r="D3" s="67"/>
      <c r="E3" s="67" t="s">
        <v>176</v>
      </c>
      <c r="F3" s="67"/>
      <c r="G3" s="67" t="s">
        <v>439</v>
      </c>
      <c r="H3" s="67"/>
      <c r="I3" s="67" t="s">
        <v>440</v>
      </c>
      <c r="J3" s="67"/>
    </row>
    <row r="4" spans="1:15" x14ac:dyDescent="0.3">
      <c r="C4" s="11" t="s">
        <v>257</v>
      </c>
      <c r="D4" s="11" t="s">
        <v>258</v>
      </c>
      <c r="E4" s="11" t="s">
        <v>174</v>
      </c>
      <c r="F4" s="11" t="s">
        <v>175</v>
      </c>
      <c r="G4" s="11" t="s">
        <v>174</v>
      </c>
      <c r="H4" s="11" t="s">
        <v>175</v>
      </c>
      <c r="I4" s="11" t="s">
        <v>174</v>
      </c>
      <c r="J4" s="11" t="s">
        <v>175</v>
      </c>
      <c r="K4" s="11" t="s">
        <v>173</v>
      </c>
      <c r="L4" s="11" t="s">
        <v>234</v>
      </c>
      <c r="M4" s="11" t="s">
        <v>234</v>
      </c>
      <c r="N4" s="11" t="s">
        <v>414</v>
      </c>
      <c r="O4" s="11" t="s">
        <v>904</v>
      </c>
    </row>
    <row r="5" spans="1:15" x14ac:dyDescent="0.3">
      <c r="B5" s="15" t="s">
        <v>32</v>
      </c>
      <c r="C5" s="15">
        <f>+F5+1</f>
        <v>7</v>
      </c>
      <c r="D5" s="15">
        <f>+C5+1</f>
        <v>8</v>
      </c>
      <c r="E5" s="15">
        <f>+L5+1</f>
        <v>5</v>
      </c>
      <c r="F5" s="15">
        <f>+E5+1</f>
        <v>6</v>
      </c>
      <c r="G5" s="15">
        <v>1</v>
      </c>
      <c r="H5" s="15">
        <f>+G5+1</f>
        <v>2</v>
      </c>
      <c r="I5" s="15">
        <f>+D5+1</f>
        <v>9</v>
      </c>
      <c r="J5" s="15">
        <f>+I5+1</f>
        <v>10</v>
      </c>
      <c r="K5" s="15">
        <f>+H5+1</f>
        <v>3</v>
      </c>
      <c r="L5" s="15">
        <f t="shared" ref="L5:O5" si="0">+K5+1</f>
        <v>4</v>
      </c>
      <c r="M5" s="15">
        <f>+J5+1</f>
        <v>11</v>
      </c>
      <c r="N5" s="15">
        <f t="shared" si="0"/>
        <v>12</v>
      </c>
      <c r="O5" s="15">
        <f t="shared" si="0"/>
        <v>13</v>
      </c>
    </row>
    <row r="6" spans="1:15" x14ac:dyDescent="0.3">
      <c r="A6">
        <v>1</v>
      </c>
      <c r="B6" t="s">
        <v>3</v>
      </c>
      <c r="C6" s="47">
        <f ca="1">+VLOOKUP($B6,Resumen2!$B:$N,'Op4'!C$5+1,FALSE)</f>
        <v>0</v>
      </c>
      <c r="D6" s="49">
        <f ca="1">+VLOOKUP($B6,Resumen2!$B:$N,'Op4'!D$5+1,FALSE)*100</f>
        <v>0</v>
      </c>
      <c r="E6" s="48">
        <f ca="1">+VLOOKUP($B6,Resumen2!$B:$N,'Op4'!E$5+1,FALSE)</f>
        <v>7.3928571428571432</v>
      </c>
      <c r="F6" s="48">
        <f ca="1">+VLOOKUP($B6,Resumen2!$B:$N,'Op4'!F$5+1,FALSE)</f>
        <v>4.7713596611315117</v>
      </c>
      <c r="G6" s="46">
        <f ca="1">+VLOOKUP($B6,Resumen2!$B:$N,'Op4'!G$5+1,FALSE)</f>
        <v>8509.7649107142861</v>
      </c>
      <c r="H6" s="46">
        <f ca="1">+VLOOKUP($B6,Resumen2!$B:$N,'Op4'!H$5+1,FALSE)</f>
        <v>8326.9528239522315</v>
      </c>
      <c r="I6" s="46">
        <f ca="1">+VLOOKUP($B6,Resumen2!$B:$N,'Op4'!I$5+1,FALSE)</f>
        <v>6872.4074382716044</v>
      </c>
      <c r="J6" s="46">
        <f ca="1">+VLOOKUP($B6,Resumen2!$B:$N,'Op4'!J$5+1,FALSE)</f>
        <v>5479.2326649434781</v>
      </c>
      <c r="K6" s="47">
        <f ca="1">+VLOOKUP($B6,Resumen2!$B:$N,'Op4'!K$5+1,FALSE)</f>
        <v>0</v>
      </c>
      <c r="L6" s="48">
        <f ca="1">+VLOOKUP($B6,Resumen2!$B:$N,'Op4'!L$5+1,FALSE)</f>
        <v>0</v>
      </c>
      <c r="M6" s="46">
        <f ca="1">+VLOOKUP($B6,Resumen2!$B:$N,'Op4'!M$5+1,FALSE)</f>
        <v>28</v>
      </c>
      <c r="N6" s="46">
        <f ca="1">+VLOOKUP($B6,Resumen2!$B:$N,'Op4'!N$5+1,FALSE)</f>
        <v>28</v>
      </c>
      <c r="O6" s="46">
        <f ca="1">+VLOOKUP($B6,Resumen!B:Q,16,FALSE)</f>
        <v>0.27777777777777779</v>
      </c>
    </row>
    <row r="7" spans="1:15" x14ac:dyDescent="0.3">
      <c r="A7">
        <f>+A6+1</f>
        <v>2</v>
      </c>
      <c r="B7" t="s">
        <v>107</v>
      </c>
      <c r="C7" s="47">
        <f ca="1">+VLOOKUP($B7,Resumen2!$B:$N,'Op4'!C$5+1,FALSE)</f>
        <v>7</v>
      </c>
      <c r="D7" s="49">
        <f ca="1">+VLOOKUP($B7,Resumen2!$B:$N,'Op4'!D$5+1,FALSE)*100</f>
        <v>24.137931034482758</v>
      </c>
      <c r="E7" s="48">
        <f ca="1">+VLOOKUP($B7,Resumen2!$B:$N,'Op4'!E$5+1,FALSE)</f>
        <v>8.4137931034482758</v>
      </c>
      <c r="F7" s="48">
        <f ca="1">+VLOOKUP($B7,Resumen2!$B:$N,'Op4'!F$5+1,FALSE)</f>
        <v>4.9245539419417055</v>
      </c>
      <c r="G7" s="46">
        <f ca="1">+VLOOKUP($B7,Resumen2!$B:$N,'Op4'!G$5+1,FALSE)</f>
        <v>42399.069827586209</v>
      </c>
      <c r="H7" s="46">
        <f ca="1">+VLOOKUP($B7,Resumen2!$B:$N,'Op4'!H$5+1,FALSE)</f>
        <v>150040.03445523279</v>
      </c>
      <c r="I7" s="46">
        <f ca="1">+VLOOKUP($B7,Resumen2!$B:$N,'Op4'!I$5+1,FALSE)</f>
        <v>16393.700999999997</v>
      </c>
      <c r="J7" s="46">
        <f ca="1">+VLOOKUP($B7,Resumen2!$B:$N,'Op4'!J$5+1,FALSE)</f>
        <v>12570.0676278916</v>
      </c>
      <c r="K7" s="47">
        <f ca="1">+VLOOKUP($B7,Resumen2!$B:$N,'Op4'!K$5+1,FALSE)</f>
        <v>3</v>
      </c>
      <c r="L7" s="48">
        <f ca="1">+VLOOKUP($B7,Resumen2!$B:$N,'Op4'!L$5+1,FALSE)</f>
        <v>0.10344827586206896</v>
      </c>
      <c r="M7" s="46">
        <f ca="1">+VLOOKUP($B7,Resumen2!$B:$N,'Op4'!M$5+1,FALSE)</f>
        <v>29</v>
      </c>
      <c r="N7" s="46">
        <f ca="1">+VLOOKUP($B7,Resumen2!$B:$N,'Op4'!N$5+1,FALSE)</f>
        <v>26</v>
      </c>
      <c r="O7" s="46">
        <f ca="1">+VLOOKUP($B7,Resumen!B:Q,16,FALSE)</f>
        <v>1</v>
      </c>
    </row>
    <row r="8" spans="1:15" x14ac:dyDescent="0.3">
      <c r="A8">
        <f>+A7+1</f>
        <v>3</v>
      </c>
      <c r="B8" t="s">
        <v>288</v>
      </c>
      <c r="C8" s="47">
        <f ca="1">+VLOOKUP($B8,Resumen2!$B:$N,'Op4'!C$5+1,FALSE)</f>
        <v>0</v>
      </c>
      <c r="D8" s="49">
        <f ca="1">+VLOOKUP($B8,Resumen2!$B:$N,'Op4'!D$5+1,FALSE)*100</f>
        <v>0</v>
      </c>
      <c r="E8" s="48">
        <f ca="1">+VLOOKUP($B8,Resumen2!$B:$N,'Op4'!E$5+1,FALSE)</f>
        <v>7.2758620689655169</v>
      </c>
      <c r="F8" s="48">
        <f ca="1">+VLOOKUP($B8,Resumen2!$B:$N,'Op4'!F$5+1,FALSE)</f>
        <v>4.1567204769087747</v>
      </c>
      <c r="G8" s="46">
        <f ca="1">+VLOOKUP($B8,Resumen2!$B:$N,'Op4'!G$5+1,FALSE)</f>
        <v>9421.012270114943</v>
      </c>
      <c r="H8" s="46">
        <f ca="1">+VLOOKUP($B8,Resumen2!$B:$N,'Op4'!H$5+1,FALSE)</f>
        <v>12702.091483704875</v>
      </c>
      <c r="I8" s="46">
        <f ca="1">+VLOOKUP($B8,Resumen2!$B:$N,'Op4'!I$5+1,FALSE)</f>
        <v>10545.747103174603</v>
      </c>
      <c r="J8" s="46">
        <f ca="1">+VLOOKUP($B8,Resumen2!$B:$N,'Op4'!J$5+1,FALSE)</f>
        <v>10193.437487627149</v>
      </c>
      <c r="K8" s="47">
        <f ca="1">+VLOOKUP($B8,Resumen2!$B:$N,'Op4'!K$5+1,FALSE)</f>
        <v>7</v>
      </c>
      <c r="L8" s="48">
        <f ca="1">+VLOOKUP($B8,Resumen2!$B:$N,'Op4'!L$5+1,FALSE)</f>
        <v>0.2413793103448276</v>
      </c>
      <c r="M8" s="46">
        <f ca="1">+VLOOKUP($B8,Resumen2!$B:$N,'Op4'!M$5+1,FALSE)</f>
        <v>29</v>
      </c>
      <c r="N8" s="46">
        <f ca="1">+VLOOKUP($B8,Resumen2!$B:$N,'Op4'!N$5+1,FALSE)</f>
        <v>22</v>
      </c>
      <c r="O8" s="46">
        <f ca="1">+VLOOKUP($B8,Resumen!B:Q,16,FALSE)</f>
        <v>1</v>
      </c>
    </row>
    <row r="9" spans="1:15" x14ac:dyDescent="0.3">
      <c r="A9">
        <f>+A8+1</f>
        <v>4</v>
      </c>
      <c r="B9" t="s">
        <v>442</v>
      </c>
      <c r="C9" s="47">
        <f ca="1">+VLOOKUP($B9,Resumen2!$B:$N,'Op4'!C$5+1,FALSE)</f>
        <v>0</v>
      </c>
      <c r="D9" s="49">
        <f ca="1">+VLOOKUP($B9,Resumen2!$B:$N,'Op4'!D$5+1,FALSE)*100</f>
        <v>0</v>
      </c>
      <c r="E9" s="48">
        <f ca="1">+VLOOKUP($B9,Resumen2!$B:$N,'Op4'!E$5+1,FALSE)</f>
        <v>6.56</v>
      </c>
      <c r="F9" s="48">
        <f ca="1">+VLOOKUP($B9,Resumen2!$B:$N,'Op4'!F$5+1,FALSE)</f>
        <v>4.5650848842053318</v>
      </c>
      <c r="G9" s="46">
        <f ca="1">+VLOOKUP($B9,Resumen2!$B:$N,'Op4'!G$5+1,FALSE)</f>
        <v>14076.754433333332</v>
      </c>
      <c r="H9" s="46">
        <f ca="1">+VLOOKUP($B9,Resumen2!$B:$N,'Op4'!H$5+1,FALSE)</f>
        <v>17844.180331972078</v>
      </c>
      <c r="I9" s="46">
        <f ca="1">+VLOOKUP($B9,Resumen2!$B:$N,'Op4'!I$5+1,FALSE)</f>
        <v>20119.150773809524</v>
      </c>
      <c r="J9" s="46">
        <f ca="1">+VLOOKUP($B9,Resumen2!$B:$N,'Op4'!J$5+1,FALSE)</f>
        <v>12384.043207336654</v>
      </c>
      <c r="K9" s="47">
        <f ca="1">+VLOOKUP($B9,Resumen2!$B:$N,'Op4'!K$5+1,FALSE)</f>
        <v>10</v>
      </c>
      <c r="L9" s="48">
        <f ca="1">+VLOOKUP($B9,Resumen2!$B:$N,'Op4'!L$5+1,FALSE)</f>
        <v>0.4</v>
      </c>
      <c r="M9" s="46">
        <f ca="1">+VLOOKUP($B9,Resumen2!$B:$N,'Op4'!M$5+1,FALSE)</f>
        <v>25</v>
      </c>
      <c r="N9" s="46">
        <f ca="1">+VLOOKUP($B9,Resumen2!$B:$N,'Op4'!N$5+1,FALSE)</f>
        <v>15</v>
      </c>
      <c r="O9" s="46">
        <f ca="1">+VLOOKUP($B9,Resumen!B:Q,16,FALSE)</f>
        <v>1</v>
      </c>
    </row>
    <row r="10" spans="1:15" x14ac:dyDescent="0.3">
      <c r="A10">
        <f>+A9+1</f>
        <v>5</v>
      </c>
      <c r="B10" t="s">
        <v>177</v>
      </c>
      <c r="C10" s="47">
        <f ca="1">+VLOOKUP($B10,Resumen2!$B:$N,'Op4'!C$5+1,FALSE)</f>
        <v>1</v>
      </c>
      <c r="D10" s="49">
        <f ca="1">+VLOOKUP($B10,Resumen2!$B:$N,'Op4'!D$5+1,FALSE)*100</f>
        <v>3.3333333333333335</v>
      </c>
      <c r="E10" s="48">
        <f ca="1">+VLOOKUP($B10,Resumen2!$B:$N,'Op4'!E$5+1,FALSE)</f>
        <v>6</v>
      </c>
      <c r="F10" s="48">
        <f ca="1">+VLOOKUP($B10,Resumen2!$B:$N,'Op4'!F$5+1,FALSE)</f>
        <v>3.2589399588167338</v>
      </c>
      <c r="G10" s="46">
        <f ca="1">+VLOOKUP($B10,Resumen2!$B:$N,'Op4'!G$5+1,FALSE)</f>
        <v>6373.2588888888868</v>
      </c>
      <c r="H10" s="46">
        <f ca="1">+VLOOKUP($B10,Resumen2!$B:$N,'Op4'!H$5+1,FALSE)</f>
        <v>8562.9171462189261</v>
      </c>
      <c r="I10" s="46">
        <f ca="1">+VLOOKUP($B10,Resumen2!$B:$N,'Op4'!I$5+1,FALSE)</f>
        <v>5266.1580246913582</v>
      </c>
      <c r="J10" s="46">
        <f ca="1">+VLOOKUP($B10,Resumen2!$B:$N,'Op4'!J$5+1,FALSE)</f>
        <v>5446.8125705588864</v>
      </c>
      <c r="K10" s="47">
        <f ca="1">+VLOOKUP($B10,Resumen2!$B:$N,'Op4'!K$5+1,FALSE)</f>
        <v>2</v>
      </c>
      <c r="L10" s="48">
        <f ca="1">+VLOOKUP($B10,Resumen2!$B:$N,'Op4'!L$5+1,FALSE)</f>
        <v>6.6666666666666666E-2</v>
      </c>
      <c r="M10" s="46">
        <f ca="1">+VLOOKUP($B10,Resumen2!$B:$N,'Op4'!M$5+1,FALSE)</f>
        <v>30</v>
      </c>
      <c r="N10" s="46">
        <f ca="1">+VLOOKUP($B10,Resumen2!$B:$N,'Op4'!N$5+1,FALSE)</f>
        <v>28</v>
      </c>
      <c r="O10" s="46">
        <f ca="1">+VLOOKUP($B10,Resumen!B:Q,16,FALSE)</f>
        <v>0.18333333333333332</v>
      </c>
    </row>
    <row r="11" spans="1:15" x14ac:dyDescent="0.3">
      <c r="A11">
        <f t="shared" ref="A11:A43" si="1">+A10+1</f>
        <v>6</v>
      </c>
      <c r="B11" t="s">
        <v>187</v>
      </c>
      <c r="C11" s="47">
        <f ca="1">+VLOOKUP($B11,Resumen2!$B:$N,'Op4'!C$5+1,FALSE)</f>
        <v>1</v>
      </c>
      <c r="D11" s="49">
        <f ca="1">+VLOOKUP($B11,Resumen2!$B:$N,'Op4'!D$5+1,FALSE)*100</f>
        <v>3.5714285714285712</v>
      </c>
      <c r="E11" s="48">
        <f ca="1">+VLOOKUP($B11,Resumen2!$B:$N,'Op4'!E$5+1,FALSE)</f>
        <v>3.4285714285714284</v>
      </c>
      <c r="F11" s="48">
        <f ca="1">+VLOOKUP($B11,Resumen2!$B:$N,'Op4'!F$5+1,FALSE)</f>
        <v>3.2366943748507482</v>
      </c>
      <c r="G11" s="46">
        <f ca="1">+VLOOKUP($B11,Resumen2!$B:$N,'Op4'!G$5+1,FALSE)</f>
        <v>3355.883928571428</v>
      </c>
      <c r="H11" s="46">
        <f ca="1">+VLOOKUP($B11,Resumen2!$B:$N,'Op4'!H$5+1,FALSE)</f>
        <v>6460.0595167974634</v>
      </c>
      <c r="I11" s="46">
        <f ca="1">+VLOOKUP($B11,Resumen2!$B:$N,'Op4'!I$5+1,FALSE)</f>
        <v>1885.5771604938273</v>
      </c>
      <c r="J11" s="46">
        <f ca="1">+VLOOKUP($B11,Resumen2!$B:$N,'Op4'!J$5+1,FALSE)</f>
        <v>1651.3348034160881</v>
      </c>
      <c r="K11" s="47">
        <f ca="1">+VLOOKUP($B11,Resumen2!$B:$N,'Op4'!K$5+1,FALSE)</f>
        <v>0</v>
      </c>
      <c r="L11" s="48">
        <f ca="1">+VLOOKUP($B11,Resumen2!$B:$N,'Op4'!L$5+1,FALSE)</f>
        <v>0</v>
      </c>
      <c r="M11" s="46">
        <f ca="1">+VLOOKUP($B11,Resumen2!$B:$N,'Op4'!M$5+1,FALSE)</f>
        <v>28</v>
      </c>
      <c r="N11" s="46">
        <f ca="1">+VLOOKUP($B11,Resumen2!$B:$N,'Op4'!N$5+1,FALSE)</f>
        <v>28</v>
      </c>
      <c r="O11" s="46">
        <f ca="1">+VLOOKUP($B11,Resumen!B:Q,16,FALSE)</f>
        <v>0.29090909090909089</v>
      </c>
    </row>
    <row r="12" spans="1:15" x14ac:dyDescent="0.3">
      <c r="A12">
        <f t="shared" si="1"/>
        <v>7</v>
      </c>
      <c r="B12" t="s">
        <v>445</v>
      </c>
      <c r="C12" s="47">
        <f ca="1">+VLOOKUP($B12,Resumen2!$B:$N,'Op4'!C$5+1,FALSE)</f>
        <v>0</v>
      </c>
      <c r="D12" s="49">
        <f ca="1">+VLOOKUP($B12,Resumen2!$B:$N,'Op4'!D$5+1,FALSE)*100</f>
        <v>0</v>
      </c>
      <c r="E12" s="48">
        <f ca="1">+VLOOKUP($B12,Resumen2!$B:$N,'Op4'!E$5+1,FALSE)</f>
        <v>0</v>
      </c>
      <c r="F12" s="48">
        <f ca="1">+VLOOKUP($B12,Resumen2!$B:$N,'Op4'!F$5+1,FALSE)</f>
        <v>0</v>
      </c>
      <c r="G12" s="46">
        <f ca="1">+VLOOKUP($B12,Resumen2!$B:$N,'Op4'!G$5+1,FALSE)</f>
        <v>0</v>
      </c>
      <c r="H12" s="46">
        <f ca="1">+VLOOKUP($B12,Resumen2!$B:$N,'Op4'!H$5+1,FALSE)</f>
        <v>0</v>
      </c>
      <c r="I12" s="46">
        <f ca="1">+VLOOKUP($B12,Resumen2!$B:$N,'Op4'!I$5+1,FALSE)</f>
        <v>0</v>
      </c>
      <c r="J12" s="46">
        <f ca="1">+VLOOKUP($B12,Resumen2!$B:$N,'Op4'!J$5+1,FALSE)</f>
        <v>0</v>
      </c>
      <c r="K12" s="47">
        <f ca="1">+VLOOKUP($B12,Resumen2!$B:$N,'Op4'!K$5+1,FALSE)</f>
        <v>0</v>
      </c>
      <c r="L12" s="48">
        <f ca="1">+VLOOKUP($B12,Resumen2!$B:$N,'Op4'!L$5+1,FALSE)</f>
        <v>0</v>
      </c>
      <c r="M12" s="46">
        <f ca="1">+VLOOKUP($B12,Resumen2!$B:$N,'Op4'!M$5+1,FALSE)</f>
        <v>0</v>
      </c>
      <c r="N12" s="46">
        <f ca="1">+VLOOKUP($B12,Resumen2!$B:$N,'Op4'!N$5+1,FALSE)</f>
        <v>0</v>
      </c>
      <c r="O12" s="46">
        <f ca="1">+VLOOKUP($B12,Resumen!B:Q,16,FALSE)</f>
        <v>0</v>
      </c>
    </row>
    <row r="13" spans="1:15" x14ac:dyDescent="0.3">
      <c r="A13">
        <f t="shared" si="1"/>
        <v>8</v>
      </c>
      <c r="B13" t="s">
        <v>441</v>
      </c>
      <c r="C13" s="47">
        <f ca="1">+VLOOKUP($B13,Resumen2!$B:$N,'Op4'!C$5+1,FALSE)</f>
        <v>0</v>
      </c>
      <c r="D13" s="49">
        <f ca="1">+VLOOKUP($B13,Resumen2!$B:$N,'Op4'!D$5+1,FALSE)*100</f>
        <v>0</v>
      </c>
      <c r="E13" s="48">
        <f ca="1">+VLOOKUP($B13,Resumen2!$B:$N,'Op4'!E$5+1,FALSE)</f>
        <v>4.9333333333333336</v>
      </c>
      <c r="F13" s="48">
        <f ca="1">+VLOOKUP($B13,Resumen2!$B:$N,'Op4'!F$5+1,FALSE)</f>
        <v>3.8999389494611081</v>
      </c>
      <c r="G13" s="46">
        <f ca="1">+VLOOKUP($B13,Resumen2!$B:$N,'Op4'!G$5+1,FALSE)</f>
        <v>4809.5549999999985</v>
      </c>
      <c r="H13" s="46">
        <f ca="1">+VLOOKUP($B13,Resumen2!$B:$N,'Op4'!H$5+1,FALSE)</f>
        <v>4477.7625215328317</v>
      </c>
      <c r="I13" s="46">
        <f ca="1">+VLOOKUP($B13,Resumen2!$B:$N,'Op4'!I$5+1,FALSE)</f>
        <v>4705.0479166666664</v>
      </c>
      <c r="J13" s="46">
        <f ca="1">+VLOOKUP($B13,Resumen2!$B:$N,'Op4'!J$5+1,FALSE)</f>
        <v>3248.5511724423136</v>
      </c>
      <c r="K13" s="47">
        <f ca="1">+VLOOKUP($B13,Resumen2!$B:$N,'Op4'!K$5+1,FALSE)</f>
        <v>2</v>
      </c>
      <c r="L13" s="48">
        <f ca="1">+VLOOKUP($B13,Resumen2!$B:$N,'Op4'!L$5+1,FALSE)</f>
        <v>0.1111111111111111</v>
      </c>
      <c r="M13" s="46">
        <f ca="1">+VLOOKUP($B13,Resumen2!$B:$N,'Op4'!M$5+1,FALSE)</f>
        <v>18</v>
      </c>
      <c r="N13" s="46">
        <f ca="1">+VLOOKUP($B13,Resumen2!$B:$N,'Op4'!N$5+1,FALSE)</f>
        <v>16</v>
      </c>
      <c r="O13" s="46">
        <f ca="1">+VLOOKUP($B13,Resumen!B:Q,16,FALSE)</f>
        <v>0.35714285714285715</v>
      </c>
    </row>
    <row r="14" spans="1:15" x14ac:dyDescent="0.3">
      <c r="A14">
        <f t="shared" si="1"/>
        <v>9</v>
      </c>
      <c r="B14" t="s">
        <v>450</v>
      </c>
      <c r="C14" s="47">
        <f ca="1">+VLOOKUP($B14,Resumen2!$B:$N,'Op4'!C$5+1,FALSE)</f>
        <v>0</v>
      </c>
      <c r="D14" s="49">
        <f ca="1">+VLOOKUP($B14,Resumen2!$B:$N,'Op4'!D$5+1,FALSE)*100</f>
        <v>0</v>
      </c>
      <c r="E14" s="48">
        <f ca="1">+VLOOKUP($B14,Resumen2!$B:$N,'Op4'!E$5+1,FALSE)</f>
        <v>6.1379310344827589</v>
      </c>
      <c r="F14" s="48">
        <f ca="1">+VLOOKUP($B14,Resumen2!$B:$N,'Op4'!F$5+1,FALSE)</f>
        <v>4.3402117947912773</v>
      </c>
      <c r="G14" s="46">
        <f ca="1">+VLOOKUP($B14,Resumen2!$B:$N,'Op4'!G$5+1,FALSE)</f>
        <v>5274.1465517241386</v>
      </c>
      <c r="H14" s="46">
        <f ca="1">+VLOOKUP($B14,Resumen2!$B:$N,'Op4'!H$5+1,FALSE)</f>
        <v>5161.1086188841455</v>
      </c>
      <c r="I14" s="46">
        <f ca="1">+VLOOKUP($B14,Resumen2!$B:$N,'Op4'!I$5+1,FALSE)</f>
        <v>6193.193181818182</v>
      </c>
      <c r="J14" s="46">
        <f ca="1">+VLOOKUP($B14,Resumen2!$B:$N,'Op4'!J$5+1,FALSE)</f>
        <v>4524.0368363389607</v>
      </c>
      <c r="K14" s="47">
        <f ca="1">+VLOOKUP($B14,Resumen2!$B:$N,'Op4'!K$5+1,FALSE)</f>
        <v>6</v>
      </c>
      <c r="L14" s="48">
        <f ca="1">+VLOOKUP($B14,Resumen2!$B:$N,'Op4'!L$5+1,FALSE)</f>
        <v>0.20689655172413793</v>
      </c>
      <c r="M14" s="46">
        <f ca="1">+VLOOKUP($B14,Resumen2!$B:$N,'Op4'!M$5+1,FALSE)</f>
        <v>29</v>
      </c>
      <c r="N14" s="46">
        <f ca="1">+VLOOKUP($B14,Resumen2!$B:$N,'Op4'!N$5+1,FALSE)</f>
        <v>23</v>
      </c>
      <c r="O14" s="46">
        <f ca="1">+VLOOKUP($B14,Resumen!B:Q,16,FALSE)</f>
        <v>0.31034482758620691</v>
      </c>
    </row>
    <row r="15" spans="1:15" x14ac:dyDescent="0.3">
      <c r="A15">
        <f t="shared" si="1"/>
        <v>10</v>
      </c>
      <c r="B15" t="s">
        <v>443</v>
      </c>
      <c r="C15" s="47">
        <f ca="1">+VLOOKUP($B15,Resumen2!$B:$N,'Op4'!C$5+1,FALSE)</f>
        <v>0</v>
      </c>
      <c r="D15" s="49">
        <f ca="1">+VLOOKUP($B15,Resumen2!$B:$N,'Op4'!D$5+1,FALSE)*100</f>
        <v>0</v>
      </c>
      <c r="E15" s="48">
        <f ca="1">+VLOOKUP($B15,Resumen2!$B:$N,'Op4'!E$5+1,FALSE)</f>
        <v>3.9333333333333331</v>
      </c>
      <c r="F15" s="48">
        <f ca="1">+VLOOKUP($B15,Resumen2!$B:$N,'Op4'!F$5+1,FALSE)</f>
        <v>4.03376553208241</v>
      </c>
      <c r="G15" s="46">
        <f ca="1">+VLOOKUP($B15,Resumen2!$B:$N,'Op4'!G$5+1,FALSE)</f>
        <v>1215.6089722222221</v>
      </c>
      <c r="H15" s="46">
        <f ca="1">+VLOOKUP($B15,Resumen2!$B:$N,'Op4'!H$5+1,FALSE)</f>
        <v>2435.3155698890537</v>
      </c>
      <c r="I15" s="46">
        <f ca="1">+VLOOKUP($B15,Resumen2!$B:$N,'Op4'!I$5+1,FALSE)</f>
        <v>3958.9379761904761</v>
      </c>
      <c r="J15" s="46">
        <f ca="1">+VLOOKUP($B15,Resumen2!$B:$N,'Op4'!J$5+1,FALSE)</f>
        <v>2234.1508777454997</v>
      </c>
      <c r="K15" s="47">
        <f ca="1">+VLOOKUP($B15,Resumen2!$B:$N,'Op4'!K$5+1,FALSE)</f>
        <v>22</v>
      </c>
      <c r="L15" s="48">
        <f ca="1">+VLOOKUP($B15,Resumen2!$B:$N,'Op4'!L$5+1,FALSE)</f>
        <v>0.73333333333333328</v>
      </c>
      <c r="M15" s="46">
        <f ca="1">+VLOOKUP($B15,Resumen2!$B:$N,'Op4'!M$5+1,FALSE)</f>
        <v>30</v>
      </c>
      <c r="N15" s="46">
        <f ca="1">+VLOOKUP($B15,Resumen2!$B:$N,'Op4'!N$5+1,FALSE)</f>
        <v>8</v>
      </c>
      <c r="O15" s="46">
        <f ca="1">+VLOOKUP($B15,Resumen!B:Q,16,FALSE)</f>
        <v>0</v>
      </c>
    </row>
    <row r="16" spans="1:15" x14ac:dyDescent="0.3">
      <c r="A16">
        <f t="shared" si="1"/>
        <v>11</v>
      </c>
      <c r="B16" t="s">
        <v>76</v>
      </c>
      <c r="C16" s="47">
        <f ca="1">+VLOOKUP($B16,Resumen2!$B:$N,'Op4'!C$5+1,FALSE)</f>
        <v>6</v>
      </c>
      <c r="D16" s="49">
        <f ca="1">+VLOOKUP($B16,Resumen2!$B:$N,'Op4'!D$5+1,FALSE)*100</f>
        <v>20</v>
      </c>
      <c r="E16" s="48">
        <f ca="1">+VLOOKUP($B16,Resumen2!$B:$N,'Op4'!E$5+1,FALSE)</f>
        <v>6.833333333333333</v>
      </c>
      <c r="F16" s="48">
        <f ca="1">+VLOOKUP($B16,Resumen2!$B:$N,'Op4'!F$5+1,FALSE)</f>
        <v>3.7608081792241865</v>
      </c>
      <c r="G16" s="46">
        <f ca="1">+VLOOKUP($B16,Resumen2!$B:$N,'Op4'!G$5+1,FALSE)</f>
        <v>16195.718083333331</v>
      </c>
      <c r="H16" s="46">
        <f ca="1">+VLOOKUP($B16,Resumen2!$B:$N,'Op4'!H$5+1,FALSE)</f>
        <v>14402.227228310208</v>
      </c>
      <c r="I16" s="46">
        <f ca="1">+VLOOKUP($B16,Resumen2!$B:$N,'Op4'!I$5+1,FALSE)</f>
        <v>15141.925555555556</v>
      </c>
      <c r="J16" s="46">
        <f ca="1">+VLOOKUP($B16,Resumen2!$B:$N,'Op4'!J$5+1,FALSE)</f>
        <v>10657.682886582295</v>
      </c>
      <c r="K16" s="47">
        <f ca="1">+VLOOKUP($B16,Resumen2!$B:$N,'Op4'!K$5+1,FALSE)</f>
        <v>1</v>
      </c>
      <c r="L16" s="48">
        <f ca="1">+VLOOKUP($B16,Resumen2!$B:$N,'Op4'!L$5+1,FALSE)</f>
        <v>3.3333333333333333E-2</v>
      </c>
      <c r="M16" s="46">
        <f ca="1">+VLOOKUP($B16,Resumen2!$B:$N,'Op4'!M$5+1,FALSE)</f>
        <v>30</v>
      </c>
      <c r="N16" s="46">
        <f ca="1">+VLOOKUP($B16,Resumen2!$B:$N,'Op4'!N$5+1,FALSE)</f>
        <v>29</v>
      </c>
      <c r="O16" s="46">
        <f ca="1">+VLOOKUP($B16,Resumen!B:Q,16,FALSE)</f>
        <v>1</v>
      </c>
    </row>
    <row r="17" spans="1:15" x14ac:dyDescent="0.3">
      <c r="A17">
        <f t="shared" si="1"/>
        <v>12</v>
      </c>
      <c r="B17" t="s">
        <v>444</v>
      </c>
      <c r="C17" s="47">
        <f ca="1">+VLOOKUP($B17,Resumen2!$B:$N,'Op4'!C$5+1,FALSE)</f>
        <v>0</v>
      </c>
      <c r="D17" s="49">
        <f ca="1">+VLOOKUP($B17,Resumen2!$B:$N,'Op4'!D$5+1,FALSE)*100</f>
        <v>0</v>
      </c>
      <c r="E17" s="48">
        <f ca="1">+VLOOKUP($B17,Resumen2!$B:$N,'Op4'!E$5+1,FALSE)</f>
        <v>6.3571428571428568</v>
      </c>
      <c r="F17" s="48">
        <f ca="1">+VLOOKUP($B17,Resumen2!$B:$N,'Op4'!F$5+1,FALSE)</f>
        <v>5.2367242072960476</v>
      </c>
      <c r="G17" s="46">
        <f ca="1">+VLOOKUP($B17,Resumen2!$B:$N,'Op4'!G$5+1,FALSE)</f>
        <v>6745.8043452380953</v>
      </c>
      <c r="H17" s="46">
        <f ca="1">+VLOOKUP($B17,Resumen2!$B:$N,'Op4'!H$5+1,FALSE)</f>
        <v>12148.142065017279</v>
      </c>
      <c r="I17" s="46">
        <f ca="1">+VLOOKUP($B17,Resumen2!$B:$N,'Op4'!I$5+1,FALSE)</f>
        <v>6684.7399561403508</v>
      </c>
      <c r="J17" s="46">
        <f ca="1">+VLOOKUP($B17,Resumen2!$B:$N,'Op4'!J$5+1,FALSE)</f>
        <v>5683.9066392226923</v>
      </c>
      <c r="K17" s="47">
        <f ca="1">+VLOOKUP($B17,Resumen2!$B:$N,'Op4'!K$5+1,FALSE)</f>
        <v>8</v>
      </c>
      <c r="L17" s="48">
        <f ca="1">+VLOOKUP($B17,Resumen2!$B:$N,'Op4'!L$5+1,FALSE)</f>
        <v>0.2857142857142857</v>
      </c>
      <c r="M17" s="46">
        <f ca="1">+VLOOKUP($B17,Resumen2!$B:$N,'Op4'!M$5+1,FALSE)</f>
        <v>28</v>
      </c>
      <c r="N17" s="46">
        <f ca="1">+VLOOKUP($B17,Resumen2!$B:$N,'Op4'!N$5+1,FALSE)</f>
        <v>20</v>
      </c>
      <c r="O17" s="46">
        <f ca="1">+VLOOKUP($B17,Resumen!B:Q,16,FALSE)</f>
        <v>0.18181818181818182</v>
      </c>
    </row>
    <row r="18" spans="1:15" x14ac:dyDescent="0.3">
      <c r="A18">
        <f t="shared" si="1"/>
        <v>13</v>
      </c>
      <c r="B18" t="s">
        <v>235</v>
      </c>
      <c r="C18" s="47">
        <f ca="1">+VLOOKUP($B18,Resumen2!$B:$N,'Op4'!C$5+1,FALSE)</f>
        <v>0</v>
      </c>
      <c r="D18" s="49">
        <f ca="1">+VLOOKUP($B18,Resumen2!$B:$N,'Op4'!D$5+1,FALSE)*100</f>
        <v>0</v>
      </c>
      <c r="E18" s="48">
        <f ca="1">+VLOOKUP($B18,Resumen2!$B:$N,'Op4'!E$5+1,FALSE)</f>
        <v>7.4333333333333336</v>
      </c>
      <c r="F18" s="48">
        <f ca="1">+VLOOKUP($B18,Resumen2!$B:$N,'Op4'!F$5+1,FALSE)</f>
        <v>4.9527653949557573</v>
      </c>
      <c r="G18" s="46">
        <f ca="1">+VLOOKUP($B18,Resumen2!$B:$N,'Op4'!G$5+1,FALSE)</f>
        <v>3869.7260277777777</v>
      </c>
      <c r="H18" s="46">
        <f ca="1">+VLOOKUP($B18,Resumen2!$B:$N,'Op4'!H$5+1,FALSE)</f>
        <v>5453.1101628896276</v>
      </c>
      <c r="I18" s="46">
        <f ca="1">+VLOOKUP($B18,Resumen2!$B:$N,'Op4'!I$5+1,FALSE)</f>
        <v>6195.9687222222228</v>
      </c>
      <c r="J18" s="46">
        <f ca="1">+VLOOKUP($B18,Resumen2!$B:$N,'Op4'!J$5+1,FALSE)</f>
        <v>3777.0186915426539</v>
      </c>
      <c r="K18" s="47">
        <f ca="1">+VLOOKUP($B18,Resumen2!$B:$N,'Op4'!K$5+1,FALSE)</f>
        <v>14</v>
      </c>
      <c r="L18" s="48">
        <f ca="1">+VLOOKUP($B18,Resumen2!$B:$N,'Op4'!L$5+1,FALSE)</f>
        <v>0.46666666666666667</v>
      </c>
      <c r="M18" s="46">
        <f ca="1">+VLOOKUP($B18,Resumen2!$B:$N,'Op4'!M$5+1,FALSE)</f>
        <v>30</v>
      </c>
      <c r="N18" s="46">
        <f ca="1">+VLOOKUP($B18,Resumen2!$B:$N,'Op4'!N$5+1,FALSE)</f>
        <v>16</v>
      </c>
      <c r="O18" s="46">
        <f ca="1">+VLOOKUP($B18,Resumen!B:Q,16,FALSE)</f>
        <v>0.11666666666666667</v>
      </c>
    </row>
    <row r="19" spans="1:15" x14ac:dyDescent="0.3">
      <c r="A19">
        <f t="shared" si="1"/>
        <v>14</v>
      </c>
      <c r="B19" t="s">
        <v>138</v>
      </c>
      <c r="C19" s="47">
        <f ca="1">+VLOOKUP($B19,Resumen2!$B:$N,'Op4'!C$5+1,FALSE)</f>
        <v>2</v>
      </c>
      <c r="D19" s="49">
        <f ca="1">+VLOOKUP($B19,Resumen2!$B:$N,'Op4'!D$5+1,FALSE)*100</f>
        <v>6.666666666666667</v>
      </c>
      <c r="E19" s="48">
        <f ca="1">+VLOOKUP($B19,Resumen2!$B:$N,'Op4'!E$5+1,FALSE)</f>
        <v>5</v>
      </c>
      <c r="F19" s="48">
        <f ca="1">+VLOOKUP($B19,Resumen2!$B:$N,'Op4'!F$5+1,FALSE)</f>
        <v>3.850660489694794</v>
      </c>
      <c r="G19" s="46">
        <f ca="1">+VLOOKUP($B19,Resumen2!$B:$N,'Op4'!G$5+1,FALSE)</f>
        <v>8226.7181111111113</v>
      </c>
      <c r="H19" s="46">
        <f ca="1">+VLOOKUP($B19,Resumen2!$B:$N,'Op4'!H$5+1,FALSE)</f>
        <v>16506.917090772229</v>
      </c>
      <c r="I19" s="46">
        <f ca="1">+VLOOKUP($B19,Resumen2!$B:$N,'Op4'!I$5+1,FALSE)</f>
        <v>7985.3433333333342</v>
      </c>
      <c r="J19" s="46">
        <f ca="1">+VLOOKUP($B19,Resumen2!$B:$N,'Op4'!J$5+1,FALSE)</f>
        <v>10804.793561604609</v>
      </c>
      <c r="K19" s="47">
        <f ca="1">+VLOOKUP($B19,Resumen2!$B:$N,'Op4'!K$5+1,FALSE)</f>
        <v>8</v>
      </c>
      <c r="L19" s="48">
        <f ca="1">+VLOOKUP($B19,Resumen2!$B:$N,'Op4'!L$5+1,FALSE)</f>
        <v>0.26666666666666666</v>
      </c>
      <c r="M19" s="46">
        <f ca="1">+VLOOKUP($B19,Resumen2!$B:$N,'Op4'!M$5+1,FALSE)</f>
        <v>30</v>
      </c>
      <c r="N19" s="46">
        <f ca="1">+VLOOKUP($B19,Resumen2!$B:$N,'Op4'!N$5+1,FALSE)</f>
        <v>22</v>
      </c>
      <c r="O19" s="46">
        <f ca="1">+VLOOKUP($B19,Resumen!B:Q,16,FALSE)</f>
        <v>1</v>
      </c>
    </row>
    <row r="20" spans="1:15" x14ac:dyDescent="0.3">
      <c r="A20">
        <f t="shared" si="1"/>
        <v>15</v>
      </c>
      <c r="B20" t="s">
        <v>333</v>
      </c>
      <c r="C20" s="47">
        <f ca="1">+VLOOKUP($B20,Resumen2!$B:$N,'Op4'!C$5+1,FALSE)</f>
        <v>0</v>
      </c>
      <c r="D20" s="49">
        <f ca="1">+VLOOKUP($B20,Resumen2!$B:$N,'Op4'!D$5+1,FALSE)*100</f>
        <v>0</v>
      </c>
      <c r="E20" s="48">
        <f ca="1">+VLOOKUP($B20,Resumen2!$B:$N,'Op4'!E$5+1,FALSE)</f>
        <v>7.5185185185185182</v>
      </c>
      <c r="F20" s="48">
        <f ca="1">+VLOOKUP($B20,Resumen2!$B:$N,'Op4'!F$5+1,FALSE)</f>
        <v>5.4938453001823939</v>
      </c>
      <c r="G20" s="46">
        <f ca="1">+VLOOKUP($B20,Resumen2!$B:$N,'Op4'!G$5+1,FALSE)</f>
        <v>9145.1447839506181</v>
      </c>
      <c r="H20" s="46">
        <f ca="1">+VLOOKUP($B20,Resumen2!$B:$N,'Op4'!H$5+1,FALSE)</f>
        <v>10920.547831238981</v>
      </c>
      <c r="I20" s="46">
        <f ca="1">+VLOOKUP($B20,Resumen2!$B:$N,'Op4'!I$5+1,FALSE)</f>
        <v>9840.3712152777789</v>
      </c>
      <c r="J20" s="46">
        <f ca="1">+VLOOKUP($B20,Resumen2!$B:$N,'Op4'!J$5+1,FALSE)</f>
        <v>11266.098485222665</v>
      </c>
      <c r="K20" s="47">
        <f ca="1">+VLOOKUP($B20,Resumen2!$B:$N,'Op4'!K$5+1,FALSE)</f>
        <v>2</v>
      </c>
      <c r="L20" s="48">
        <f ca="1">+VLOOKUP($B20,Resumen2!$B:$N,'Op4'!L$5+1,FALSE)</f>
        <v>7.407407407407407E-2</v>
      </c>
      <c r="M20" s="46">
        <f ca="1">+VLOOKUP($B20,Resumen2!$B:$N,'Op4'!M$5+1,FALSE)</f>
        <v>27</v>
      </c>
      <c r="N20" s="46">
        <f ca="1">+VLOOKUP($B20,Resumen2!$B:$N,'Op4'!N$5+1,FALSE)</f>
        <v>25</v>
      </c>
      <c r="O20" s="46">
        <f ca="1">+VLOOKUP($B20,Resumen!B:Q,16,FALSE)</f>
        <v>0.14035087719298245</v>
      </c>
    </row>
    <row r="21" spans="1:15" x14ac:dyDescent="0.3">
      <c r="A21">
        <f t="shared" si="1"/>
        <v>16</v>
      </c>
      <c r="B21" t="s">
        <v>210</v>
      </c>
      <c r="C21" s="47">
        <f ca="1">+VLOOKUP($B21,Resumen2!$B:$N,'Op4'!C$5+1,FALSE)</f>
        <v>2</v>
      </c>
      <c r="D21" s="49">
        <f ca="1">+VLOOKUP($B21,Resumen2!$B:$N,'Op4'!D$5+1,FALSE)*100</f>
        <v>6.666666666666667</v>
      </c>
      <c r="E21" s="48">
        <f ca="1">+VLOOKUP($B21,Resumen2!$B:$N,'Op4'!E$5+1,FALSE)</f>
        <v>3.7</v>
      </c>
      <c r="F21" s="48">
        <f ca="1">+VLOOKUP($B21,Resumen2!$B:$N,'Op4'!F$5+1,FALSE)</f>
        <v>2.2916640543349791</v>
      </c>
      <c r="G21" s="46">
        <f ca="1">+VLOOKUP($B21,Resumen2!$B:$N,'Op4'!G$5+1,FALSE)</f>
        <v>2769.8313611111107</v>
      </c>
      <c r="H21" s="46">
        <f ca="1">+VLOOKUP($B21,Resumen2!$B:$N,'Op4'!H$5+1,FALSE)</f>
        <v>5039.9981360640923</v>
      </c>
      <c r="I21" s="46">
        <f ca="1">+VLOOKUP($B21,Resumen2!$B:$N,'Op4'!I$5+1,FALSE)</f>
        <v>3308.4868421052633</v>
      </c>
      <c r="J21" s="46">
        <f ca="1">+VLOOKUP($B21,Resumen2!$B:$N,'Op4'!J$5+1,FALSE)</f>
        <v>4320.5012131959584</v>
      </c>
      <c r="K21" s="47">
        <f ca="1">+VLOOKUP($B21,Resumen2!$B:$N,'Op4'!K$5+1,FALSE)</f>
        <v>9</v>
      </c>
      <c r="L21" s="48">
        <f ca="1">+VLOOKUP($B21,Resumen2!$B:$N,'Op4'!L$5+1,FALSE)</f>
        <v>0.3</v>
      </c>
      <c r="M21" s="46">
        <f ca="1">+VLOOKUP($B21,Resumen2!$B:$N,'Op4'!M$5+1,FALSE)</f>
        <v>30</v>
      </c>
      <c r="N21" s="46">
        <f ca="1">+VLOOKUP($B21,Resumen2!$B:$N,'Op4'!N$5+1,FALSE)</f>
        <v>21</v>
      </c>
      <c r="O21" s="46">
        <f ca="1">+VLOOKUP($B21,Resumen!B:Q,16,FALSE)</f>
        <v>0.18333333333333332</v>
      </c>
    </row>
    <row r="22" spans="1:15" x14ac:dyDescent="0.3">
      <c r="A22">
        <f t="shared" si="1"/>
        <v>17</v>
      </c>
      <c r="B22" t="s">
        <v>318</v>
      </c>
      <c r="C22" s="47">
        <f ca="1">+VLOOKUP($B22,Resumen2!$B:$N,'Op4'!C$5+1,FALSE)</f>
        <v>1</v>
      </c>
      <c r="D22" s="49">
        <f ca="1">+VLOOKUP($B22,Resumen2!$B:$N,'Op4'!D$5+1,FALSE)*100</f>
        <v>4.1666666666666661</v>
      </c>
      <c r="E22" s="48">
        <f ca="1">+VLOOKUP($B22,Resumen2!$B:$N,'Op4'!E$5+1,FALSE)</f>
        <v>7.958333333333333</v>
      </c>
      <c r="F22" s="48">
        <f ca="1">+VLOOKUP($B22,Resumen2!$B:$N,'Op4'!F$5+1,FALSE)</f>
        <v>5.7519687870794494</v>
      </c>
      <c r="G22" s="46">
        <f ca="1">+VLOOKUP($B22,Resumen2!$B:$N,'Op4'!G$5+1,FALSE)</f>
        <v>7261.4848611111111</v>
      </c>
      <c r="H22" s="46">
        <f ca="1">+VLOOKUP($B22,Resumen2!$B:$N,'Op4'!H$5+1,FALSE)</f>
        <v>10930.684274431864</v>
      </c>
      <c r="I22" s="46">
        <f ca="1">+VLOOKUP($B22,Resumen2!$B:$N,'Op4'!I$5+1,FALSE)</f>
        <v>7635.3224074074078</v>
      </c>
      <c r="J22" s="46">
        <f ca="1">+VLOOKUP($B22,Resumen2!$B:$N,'Op4'!J$5+1,FALSE)</f>
        <v>7237.4903543068503</v>
      </c>
      <c r="K22" s="47">
        <f ca="1">+VLOOKUP($B22,Resumen2!$B:$N,'Op4'!K$5+1,FALSE)</f>
        <v>5</v>
      </c>
      <c r="L22" s="48">
        <f ca="1">+VLOOKUP($B22,Resumen2!$B:$N,'Op4'!L$5+1,FALSE)</f>
        <v>0.20833333333333334</v>
      </c>
      <c r="M22" s="46">
        <f ca="1">+VLOOKUP($B22,Resumen2!$B:$N,'Op4'!M$5+1,FALSE)</f>
        <v>24</v>
      </c>
      <c r="N22" s="46">
        <f ca="1">+VLOOKUP($B22,Resumen2!$B:$N,'Op4'!N$5+1,FALSE)</f>
        <v>19</v>
      </c>
      <c r="O22" s="46">
        <f ca="1">+VLOOKUP($B22,Resumen!B:Q,16,FALSE)</f>
        <v>0.28846153846153844</v>
      </c>
    </row>
    <row r="23" spans="1:15" x14ac:dyDescent="0.3">
      <c r="A23">
        <f t="shared" si="1"/>
        <v>18</v>
      </c>
      <c r="B23" t="s">
        <v>250</v>
      </c>
      <c r="C23" s="47">
        <f ca="1">+VLOOKUP($B23,Resumen2!$B:$N,'Op4'!C$5+1,FALSE)</f>
        <v>2</v>
      </c>
      <c r="D23" s="49">
        <f ca="1">+VLOOKUP($B23,Resumen2!$B:$N,'Op4'!D$5+1,FALSE)*100</f>
        <v>7.1428571428571423</v>
      </c>
      <c r="E23" s="48">
        <f ca="1">+VLOOKUP($B23,Resumen2!$B:$N,'Op4'!E$5+1,FALSE)</f>
        <v>6.3571428571428568</v>
      </c>
      <c r="F23" s="48">
        <f ca="1">+VLOOKUP($B23,Resumen2!$B:$N,'Op4'!F$5+1,FALSE)</f>
        <v>3.0455101830616611</v>
      </c>
      <c r="G23" s="46">
        <f ca="1">+VLOOKUP($B23,Resumen2!$B:$N,'Op4'!G$5+1,FALSE)</f>
        <v>8654.14857142857</v>
      </c>
      <c r="H23" s="46">
        <f ca="1">+VLOOKUP($B23,Resumen2!$B:$N,'Op4'!H$5+1,FALSE)</f>
        <v>10863.373378260436</v>
      </c>
      <c r="I23" s="46">
        <f ca="1">+VLOOKUP($B23,Resumen2!$B:$N,'Op4'!I$5+1,FALSE)</f>
        <v>6928.5958974358964</v>
      </c>
      <c r="J23" s="46">
        <f ca="1">+VLOOKUP($B23,Resumen2!$B:$N,'Op4'!J$5+1,FALSE)</f>
        <v>7778.2237003948585</v>
      </c>
      <c r="K23" s="47">
        <f ca="1">+VLOOKUP($B23,Resumen2!$B:$N,'Op4'!K$5+1,FALSE)</f>
        <v>1</v>
      </c>
      <c r="L23" s="48">
        <f ca="1">+VLOOKUP($B23,Resumen2!$B:$N,'Op4'!L$5+1,FALSE)</f>
        <v>3.5714285714285712E-2</v>
      </c>
      <c r="M23" s="46">
        <f ca="1">+VLOOKUP($B23,Resumen2!$B:$N,'Op4'!M$5+1,FALSE)</f>
        <v>28</v>
      </c>
      <c r="N23" s="46">
        <f ca="1">+VLOOKUP($B23,Resumen2!$B:$N,'Op4'!N$5+1,FALSE)</f>
        <v>27</v>
      </c>
      <c r="O23" s="46">
        <f ca="1">+VLOOKUP($B23,Resumen!B:Q,16,FALSE)</f>
        <v>1</v>
      </c>
    </row>
    <row r="24" spans="1:15" x14ac:dyDescent="0.3">
      <c r="A24">
        <f t="shared" si="1"/>
        <v>19</v>
      </c>
      <c r="B24" t="s">
        <v>452</v>
      </c>
      <c r="C24" s="47">
        <f ca="1">+VLOOKUP($B24,Resumen2!$B:$N,'Op4'!C$5+1,FALSE)</f>
        <v>2</v>
      </c>
      <c r="D24" s="49">
        <f ca="1">+VLOOKUP($B24,Resumen2!$B:$N,'Op4'!D$5+1,FALSE)*100</f>
        <v>6.8965517241379306</v>
      </c>
      <c r="E24" s="48">
        <f ca="1">+VLOOKUP($B24,Resumen2!$B:$N,'Op4'!E$5+1,FALSE)</f>
        <v>4.6551724137931032</v>
      </c>
      <c r="F24" s="48">
        <f ca="1">+VLOOKUP($B24,Resumen2!$B:$N,'Op4'!F$5+1,FALSE)</f>
        <v>4.2365405535730405</v>
      </c>
      <c r="G24" s="46">
        <f ca="1">+VLOOKUP($B24,Resumen2!$B:$N,'Op4'!G$5+1,FALSE)</f>
        <v>2006.7844827586205</v>
      </c>
      <c r="H24" s="46">
        <f ca="1">+VLOOKUP($B24,Resumen2!$B:$N,'Op4'!H$5+1,FALSE)</f>
        <v>3854.6396621935719</v>
      </c>
      <c r="I24" s="46">
        <f ca="1">+VLOOKUP($B24,Resumen2!$B:$N,'Op4'!I$5+1,FALSE)</f>
        <v>3201.0320512820513</v>
      </c>
      <c r="J24" s="46">
        <f ca="1">+VLOOKUP($B24,Resumen2!$B:$N,'Op4'!J$5+1,FALSE)</f>
        <v>3222.4010690677187</v>
      </c>
      <c r="K24" s="47">
        <f ca="1">+VLOOKUP($B24,Resumen2!$B:$N,'Op4'!K$5+1,FALSE)</f>
        <v>15</v>
      </c>
      <c r="L24" s="48">
        <f ca="1">+VLOOKUP($B24,Resumen2!$B:$N,'Op4'!L$5+1,FALSE)</f>
        <v>0.51724137931034486</v>
      </c>
      <c r="M24" s="46">
        <f ca="1">+VLOOKUP($B24,Resumen2!$B:$N,'Op4'!M$5+1,FALSE)</f>
        <v>29</v>
      </c>
      <c r="N24" s="46">
        <f ca="1">+VLOOKUP($B24,Resumen2!$B:$N,'Op4'!N$5+1,FALSE)</f>
        <v>14</v>
      </c>
      <c r="O24" s="46">
        <f ca="1">+VLOOKUP($B24,Resumen!B:Q,16,FALSE)</f>
        <v>0.17241379310344829</v>
      </c>
    </row>
    <row r="25" spans="1:15" x14ac:dyDescent="0.3">
      <c r="A25">
        <f t="shared" si="1"/>
        <v>20</v>
      </c>
      <c r="B25" t="s">
        <v>448</v>
      </c>
      <c r="C25" s="47">
        <f ca="1">+VLOOKUP($B25,Resumen2!$B:$N,'Op4'!C$5+1,FALSE)</f>
        <v>5</v>
      </c>
      <c r="D25" s="49">
        <f ca="1">+VLOOKUP($B25,Resumen2!$B:$N,'Op4'!D$5+1,FALSE)*100</f>
        <v>20.833333333333336</v>
      </c>
      <c r="E25" s="48">
        <f ca="1">+VLOOKUP($B25,Resumen2!$B:$N,'Op4'!E$5+1,FALSE)</f>
        <v>6.166666666666667</v>
      </c>
      <c r="F25" s="48">
        <f ca="1">+VLOOKUP($B25,Resumen2!$B:$N,'Op4'!F$5+1,FALSE)</f>
        <v>3.3449074422323632</v>
      </c>
      <c r="G25" s="46">
        <f ca="1">+VLOOKUP($B25,Resumen2!$B:$N,'Op4'!G$5+1,FALSE)</f>
        <v>6968.4734027777777</v>
      </c>
      <c r="H25" s="46">
        <f ca="1">+VLOOKUP($B25,Resumen2!$B:$N,'Op4'!H$5+1,FALSE)</f>
        <v>12427.861468943123</v>
      </c>
      <c r="I25" s="46">
        <f ca="1">+VLOOKUP($B25,Resumen2!$B:$N,'Op4'!I$5+1,FALSE)</f>
        <v>5808.3085087719301</v>
      </c>
      <c r="J25" s="46">
        <f ca="1">+VLOOKUP($B25,Resumen2!$B:$N,'Op4'!J$5+1,FALSE)</f>
        <v>6834.8304713003454</v>
      </c>
      <c r="K25" s="47">
        <f ca="1">+VLOOKUP($B25,Resumen2!$B:$N,'Op4'!K$5+1,FALSE)</f>
        <v>4</v>
      </c>
      <c r="L25" s="48">
        <f ca="1">+VLOOKUP($B25,Resumen2!$B:$N,'Op4'!L$5+1,FALSE)</f>
        <v>0.16666666666666666</v>
      </c>
      <c r="M25" s="46">
        <f ca="1">+VLOOKUP($B25,Resumen2!$B:$N,'Op4'!M$5+1,FALSE)</f>
        <v>24</v>
      </c>
      <c r="N25" s="46">
        <f ca="1">+VLOOKUP($B25,Resumen2!$B:$N,'Op4'!N$5+1,FALSE)</f>
        <v>20</v>
      </c>
      <c r="O25" s="46">
        <f ca="1">+VLOOKUP($B25,Resumen!B:Q,16,FALSE)</f>
        <v>0.48</v>
      </c>
    </row>
    <row r="26" spans="1:15" x14ac:dyDescent="0.3">
      <c r="A26">
        <f t="shared" si="1"/>
        <v>21</v>
      </c>
      <c r="B26" t="s">
        <v>140</v>
      </c>
      <c r="C26" s="47">
        <f ca="1">+VLOOKUP($B26,Resumen2!$B:$N,'Op4'!C$5+1,FALSE)</f>
        <v>3</v>
      </c>
      <c r="D26" s="49">
        <f ca="1">+VLOOKUP($B26,Resumen2!$B:$N,'Op4'!D$5+1,FALSE)*100</f>
        <v>10</v>
      </c>
      <c r="E26" s="48">
        <f ca="1">+VLOOKUP($B26,Resumen2!$B:$N,'Op4'!E$5+1,FALSE)</f>
        <v>6.4</v>
      </c>
      <c r="F26" s="48">
        <f ca="1">+VLOOKUP($B26,Resumen2!$B:$N,'Op4'!F$5+1,FALSE)</f>
        <v>4.1322950123346134</v>
      </c>
      <c r="G26" s="46">
        <f ca="1">+VLOOKUP($B26,Resumen2!$B:$N,'Op4'!G$5+1,FALSE)</f>
        <v>12131.860972222221</v>
      </c>
      <c r="H26" s="46">
        <f ca="1">+VLOOKUP($B26,Resumen2!$B:$N,'Op4'!H$5+1,FALSE)</f>
        <v>12582.361409083285</v>
      </c>
      <c r="I26" s="46">
        <f ca="1">+VLOOKUP($B26,Resumen2!$B:$N,'Op4'!I$5+1,FALSE)</f>
        <v>11726.846279761903</v>
      </c>
      <c r="J26" s="46">
        <f ca="1">+VLOOKUP($B26,Resumen2!$B:$N,'Op4'!J$5+1,FALSE)</f>
        <v>12000.67295421742</v>
      </c>
      <c r="K26" s="47">
        <f ca="1">+VLOOKUP($B26,Resumen2!$B:$N,'Op4'!K$5+1,FALSE)</f>
        <v>1</v>
      </c>
      <c r="L26" s="48">
        <f ca="1">+VLOOKUP($B26,Resumen2!$B:$N,'Op4'!L$5+1,FALSE)</f>
        <v>3.3333333333333333E-2</v>
      </c>
      <c r="M26" s="46">
        <f ca="1">+VLOOKUP($B26,Resumen2!$B:$N,'Op4'!M$5+1,FALSE)</f>
        <v>30</v>
      </c>
      <c r="N26" s="46">
        <f ca="1">+VLOOKUP($B26,Resumen2!$B:$N,'Op4'!N$5+1,FALSE)</f>
        <v>29</v>
      </c>
      <c r="O26" s="46">
        <f ca="1">+VLOOKUP($B26,Resumen!B:Q,16,FALSE)</f>
        <v>1</v>
      </c>
    </row>
    <row r="27" spans="1:15" x14ac:dyDescent="0.3">
      <c r="A27">
        <f t="shared" si="1"/>
        <v>22</v>
      </c>
      <c r="B27" t="s">
        <v>455</v>
      </c>
      <c r="C27" s="47">
        <f ca="1">+VLOOKUP($B27,Resumen2!$B:$N,'Op4'!C$5+1,FALSE)</f>
        <v>0</v>
      </c>
      <c r="D27" s="49">
        <f ca="1">+VLOOKUP($B27,Resumen2!$B:$N,'Op4'!D$5+1,FALSE)*100</f>
        <v>0</v>
      </c>
      <c r="E27" s="48">
        <f ca="1">+VLOOKUP($B27,Resumen2!$B:$N,'Op4'!E$5+1,FALSE)</f>
        <v>0</v>
      </c>
      <c r="F27" s="48">
        <f ca="1">+VLOOKUP($B27,Resumen2!$B:$N,'Op4'!F$5+1,FALSE)</f>
        <v>0</v>
      </c>
      <c r="G27" s="46">
        <f ca="1">+VLOOKUP($B27,Resumen2!$B:$N,'Op4'!G$5+1,FALSE)</f>
        <v>0</v>
      </c>
      <c r="H27" s="46">
        <f ca="1">+VLOOKUP($B27,Resumen2!$B:$N,'Op4'!H$5+1,FALSE)</f>
        <v>0</v>
      </c>
      <c r="I27" s="46">
        <f ca="1">+VLOOKUP($B27,Resumen2!$B:$N,'Op4'!I$5+1,FALSE)</f>
        <v>0</v>
      </c>
      <c r="J27" s="46">
        <f ca="1">+VLOOKUP($B27,Resumen2!$B:$N,'Op4'!J$5+1,FALSE)</f>
        <v>0</v>
      </c>
      <c r="K27" s="47">
        <f ca="1">+VLOOKUP($B27,Resumen2!$B:$N,'Op4'!K$5+1,FALSE)</f>
        <v>0</v>
      </c>
      <c r="L27" s="48">
        <f ca="1">+VLOOKUP($B27,Resumen2!$B:$N,'Op4'!L$5+1,FALSE)</f>
        <v>0</v>
      </c>
      <c r="M27" s="46">
        <f ca="1">+VLOOKUP($B27,Resumen2!$B:$N,'Op4'!M$5+1,FALSE)</f>
        <v>0</v>
      </c>
      <c r="N27" s="46">
        <f ca="1">+VLOOKUP($B27,Resumen2!$B:$N,'Op4'!N$5+1,FALSE)</f>
        <v>0</v>
      </c>
      <c r="O27" s="46">
        <f ca="1">+VLOOKUP($B27,Resumen!B:Q,16,FALSE)</f>
        <v>0</v>
      </c>
    </row>
    <row r="28" spans="1:15" x14ac:dyDescent="0.3">
      <c r="A28">
        <f t="shared" si="1"/>
        <v>23</v>
      </c>
      <c r="B28" t="s">
        <v>385</v>
      </c>
      <c r="C28" s="47">
        <f ca="1">+VLOOKUP($B28,Resumen2!$B:$N,'Op4'!C$5+1,FALSE)</f>
        <v>3</v>
      </c>
      <c r="D28" s="49">
        <f ca="1">+VLOOKUP($B28,Resumen2!$B:$N,'Op4'!D$5+1,FALSE)*100</f>
        <v>10.714285714285714</v>
      </c>
      <c r="E28" s="48">
        <f ca="1">+VLOOKUP($B28,Resumen2!$B:$N,'Op4'!E$5+1,FALSE)</f>
        <v>7.9285714285714288</v>
      </c>
      <c r="F28" s="48">
        <f ca="1">+VLOOKUP($B28,Resumen2!$B:$N,'Op4'!F$5+1,FALSE)</f>
        <v>3.8866206537067787</v>
      </c>
      <c r="G28" s="46">
        <f ca="1">+VLOOKUP($B28,Resumen2!$B:$N,'Op4'!G$5+1,FALSE)</f>
        <v>8740.4684523809519</v>
      </c>
      <c r="H28" s="46">
        <f ca="1">+VLOOKUP($B28,Resumen2!$B:$N,'Op4'!H$5+1,FALSE)</f>
        <v>9730.7655569014078</v>
      </c>
      <c r="I28" s="46">
        <f ca="1">+VLOOKUP($B28,Resumen2!$B:$N,'Op4'!I$5+1,FALSE)</f>
        <v>8821.5954861111113</v>
      </c>
      <c r="J28" s="46">
        <f ca="1">+VLOOKUP($B28,Resumen2!$B:$N,'Op4'!J$5+1,FALSE)</f>
        <v>8228.2428243725226</v>
      </c>
      <c r="K28" s="47">
        <f ca="1">+VLOOKUP($B28,Resumen2!$B:$N,'Op4'!K$5+1,FALSE)</f>
        <v>3</v>
      </c>
      <c r="L28" s="48">
        <f ca="1">+VLOOKUP($B28,Resumen2!$B:$N,'Op4'!L$5+1,FALSE)</f>
        <v>0.10714285714285714</v>
      </c>
      <c r="M28" s="46">
        <f ca="1">+VLOOKUP($B28,Resumen2!$B:$N,'Op4'!M$5+1,FALSE)</f>
        <v>28</v>
      </c>
      <c r="N28" s="46">
        <f ca="1">+VLOOKUP($B28,Resumen2!$B:$N,'Op4'!N$5+1,FALSE)</f>
        <v>25</v>
      </c>
      <c r="O28" s="46">
        <f ca="1">+VLOOKUP($B28,Resumen!B:Q,16,FALSE)</f>
        <v>0.45614035087719296</v>
      </c>
    </row>
    <row r="29" spans="1:15" x14ac:dyDescent="0.3">
      <c r="A29">
        <f t="shared" si="1"/>
        <v>24</v>
      </c>
      <c r="B29" t="s">
        <v>456</v>
      </c>
      <c r="C29" s="47">
        <f ca="1">+VLOOKUP($B29,Resumen2!$B:$N,'Op4'!C$5+1,FALSE)</f>
        <v>3</v>
      </c>
      <c r="D29" s="49">
        <f ca="1">+VLOOKUP($B29,Resumen2!$B:$N,'Op4'!D$5+1,FALSE)*100</f>
        <v>10.344827586206897</v>
      </c>
      <c r="E29" s="48">
        <f ca="1">+VLOOKUP($B29,Resumen2!$B:$N,'Op4'!E$5+1,FALSE)</f>
        <v>4.5517241379310347</v>
      </c>
      <c r="F29" s="48">
        <f ca="1">+VLOOKUP($B29,Resumen2!$B:$N,'Op4'!F$5+1,FALSE)</f>
        <v>3.7281382456026391</v>
      </c>
      <c r="G29" s="46">
        <f ca="1">+VLOOKUP($B29,Resumen2!$B:$N,'Op4'!G$5+1,FALSE)</f>
        <v>39105.942701149419</v>
      </c>
      <c r="H29" s="46">
        <f ca="1">+VLOOKUP($B29,Resumen2!$B:$N,'Op4'!H$5+1,FALSE)</f>
        <v>175592.72558756568</v>
      </c>
      <c r="I29" s="46">
        <f ca="1">+VLOOKUP($B29,Resumen2!$B:$N,'Op4'!I$5+1,FALSE)</f>
        <v>9165.9559166666677</v>
      </c>
      <c r="J29" s="46">
        <f ca="1">+VLOOKUP($B29,Resumen2!$B:$N,'Op4'!J$5+1,FALSE)</f>
        <v>10401.253476313128</v>
      </c>
      <c r="K29" s="47">
        <f ca="1">+VLOOKUP($B29,Resumen2!$B:$N,'Op4'!K$5+1,FALSE)</f>
        <v>9</v>
      </c>
      <c r="L29" s="48">
        <f ca="1">+VLOOKUP($B29,Resumen2!$B:$N,'Op4'!L$5+1,FALSE)</f>
        <v>0.31034482758620691</v>
      </c>
      <c r="M29" s="46">
        <f ca="1">+VLOOKUP($B29,Resumen2!$B:$N,'Op4'!M$5+1,FALSE)</f>
        <v>29</v>
      </c>
      <c r="N29" s="46">
        <f ca="1">+VLOOKUP($B29,Resumen2!$B:$N,'Op4'!N$5+1,FALSE)</f>
        <v>20</v>
      </c>
      <c r="O29" s="46">
        <f ca="1">+VLOOKUP($B29,Resumen!B:Q,16,FALSE)</f>
        <v>1</v>
      </c>
    </row>
    <row r="30" spans="1:15" x14ac:dyDescent="0.3">
      <c r="A30">
        <f t="shared" si="1"/>
        <v>25</v>
      </c>
      <c r="B30" t="s">
        <v>451</v>
      </c>
      <c r="C30" s="47">
        <f ca="1">+VLOOKUP($B30,Resumen2!$B:$N,'Op4'!C$5+1,FALSE)</f>
        <v>0</v>
      </c>
      <c r="D30" s="49">
        <f ca="1">+VLOOKUP($B30,Resumen2!$B:$N,'Op4'!D$5+1,FALSE)*100</f>
        <v>0</v>
      </c>
      <c r="E30" s="48">
        <f ca="1">+VLOOKUP($B30,Resumen2!$B:$N,'Op4'!E$5+1,FALSE)</f>
        <v>5.115384615384615</v>
      </c>
      <c r="F30" s="48">
        <f ca="1">+VLOOKUP($B30,Resumen2!$B:$N,'Op4'!F$5+1,FALSE)</f>
        <v>4.1407914516616078</v>
      </c>
      <c r="G30" s="46">
        <f ca="1">+VLOOKUP($B30,Resumen2!$B:$N,'Op4'!G$5+1,FALSE)</f>
        <v>3655.7755128205131</v>
      </c>
      <c r="H30" s="46">
        <f ca="1">+VLOOKUP($B30,Resumen2!$B:$N,'Op4'!H$5+1,FALSE)</f>
        <v>4488.2364514916781</v>
      </c>
      <c r="I30" s="46">
        <f ca="1">+VLOOKUP($B30,Resumen2!$B:$N,'Op4'!I$5+1,FALSE)</f>
        <v>2747.6182608695658</v>
      </c>
      <c r="J30" s="46">
        <f ca="1">+VLOOKUP($B30,Resumen2!$B:$N,'Op4'!J$5+1,FALSE)</f>
        <v>2178.6243797945576</v>
      </c>
      <c r="K30" s="47">
        <f ca="1">+VLOOKUP($B30,Resumen2!$B:$N,'Op4'!K$5+1,FALSE)</f>
        <v>2</v>
      </c>
      <c r="L30" s="48">
        <f ca="1">+VLOOKUP($B30,Resumen2!$B:$N,'Op4'!L$5+1,FALSE)</f>
        <v>7.6923076923076927E-2</v>
      </c>
      <c r="M30" s="46">
        <f ca="1">+VLOOKUP($B30,Resumen2!$B:$N,'Op4'!M$5+1,FALSE)</f>
        <v>26</v>
      </c>
      <c r="N30" s="46">
        <f ca="1">+VLOOKUP($B30,Resumen2!$B:$N,'Op4'!N$5+1,FALSE)</f>
        <v>24</v>
      </c>
      <c r="O30" s="46">
        <f ca="1">+VLOOKUP($B30,Resumen!B:Q,16,FALSE)</f>
        <v>0.13207547169811321</v>
      </c>
    </row>
    <row r="31" spans="1:15" x14ac:dyDescent="0.3">
      <c r="A31">
        <f t="shared" si="1"/>
        <v>26</v>
      </c>
      <c r="B31" t="s">
        <v>415</v>
      </c>
      <c r="C31" s="47">
        <f ca="1">+VLOOKUP($B31,Resumen2!$B:$N,'Op4'!C$5+1,FALSE)</f>
        <v>4</v>
      </c>
      <c r="D31" s="49">
        <f ca="1">+VLOOKUP($B31,Resumen2!$B:$N,'Op4'!D$5+1,FALSE)*100</f>
        <v>14.814814814814813</v>
      </c>
      <c r="E31" s="48">
        <f ca="1">+VLOOKUP($B31,Resumen2!$B:$N,'Op4'!E$5+1,FALSE)</f>
        <v>6.5555555555555554</v>
      </c>
      <c r="F31" s="48">
        <f ca="1">+VLOOKUP($B31,Resumen2!$B:$N,'Op4'!F$5+1,FALSE)</f>
        <v>3.1784530990033666</v>
      </c>
      <c r="G31" s="46">
        <f ca="1">+VLOOKUP($B31,Resumen2!$B:$N,'Op4'!G$5+1,FALSE)</f>
        <v>21686.197561728393</v>
      </c>
      <c r="H31" s="46">
        <f ca="1">+VLOOKUP($B31,Resumen2!$B:$N,'Op4'!H$5+1,FALSE)</f>
        <v>71085.079207753559</v>
      </c>
      <c r="I31" s="46">
        <f ca="1">+VLOOKUP($B31,Resumen2!$B:$N,'Op4'!I$5+1,FALSE)</f>
        <v>9599.9621590909082</v>
      </c>
      <c r="J31" s="46">
        <f ca="1">+VLOOKUP($B31,Resumen2!$B:$N,'Op4'!J$5+1,FALSE)</f>
        <v>8256.9106321265954</v>
      </c>
      <c r="K31" s="47">
        <f ca="1">+VLOOKUP($B31,Resumen2!$B:$N,'Op4'!K$5+1,FALSE)</f>
        <v>4</v>
      </c>
      <c r="L31" s="48">
        <f ca="1">+VLOOKUP($B31,Resumen2!$B:$N,'Op4'!L$5+1,FALSE)</f>
        <v>0.14814814814814814</v>
      </c>
      <c r="M31" s="46">
        <f ca="1">+VLOOKUP($B31,Resumen2!$B:$N,'Op4'!M$5+1,FALSE)</f>
        <v>27</v>
      </c>
      <c r="N31" s="46">
        <f ca="1">+VLOOKUP($B31,Resumen2!$B:$N,'Op4'!N$5+1,FALSE)</f>
        <v>23</v>
      </c>
      <c r="O31" s="46">
        <f ca="1">+VLOOKUP($B31,Resumen!B:Q,16,FALSE)</f>
        <v>0.2857142857142857</v>
      </c>
    </row>
    <row r="32" spans="1:15" x14ac:dyDescent="0.3">
      <c r="A32">
        <f t="shared" si="1"/>
        <v>27</v>
      </c>
      <c r="B32" t="s">
        <v>453</v>
      </c>
      <c r="C32" s="47">
        <f ca="1">+VLOOKUP($B32,Resumen2!$B:$N,'Op4'!C$5+1,FALSE)</f>
        <v>0</v>
      </c>
      <c r="D32" s="49">
        <f ca="1">+VLOOKUP($B32,Resumen2!$B:$N,'Op4'!D$5+1,FALSE)*100</f>
        <v>0</v>
      </c>
      <c r="E32" s="48">
        <f ca="1">+VLOOKUP($B32,Resumen2!$B:$N,'Op4'!E$5+1,FALSE)</f>
        <v>4.4230769230769234</v>
      </c>
      <c r="F32" s="48">
        <f ca="1">+VLOOKUP($B32,Resumen2!$B:$N,'Op4'!F$5+1,FALSE)</f>
        <v>2.7301732827507772</v>
      </c>
      <c r="G32" s="46">
        <f ca="1">+VLOOKUP($B32,Resumen2!$B:$N,'Op4'!G$5+1,FALSE)</f>
        <v>4237.8200320512824</v>
      </c>
      <c r="H32" s="46">
        <f ca="1">+VLOOKUP($B32,Resumen2!$B:$N,'Op4'!H$5+1,FALSE)</f>
        <v>7281.7562301858061</v>
      </c>
      <c r="I32" s="46">
        <f ca="1">+VLOOKUP($B32,Resumen2!$B:$N,'Op4'!I$5+1,FALSE)</f>
        <v>4132.4554824561401</v>
      </c>
      <c r="J32" s="46">
        <f ca="1">+VLOOKUP($B32,Resumen2!$B:$N,'Op4'!J$5+1,FALSE)</f>
        <v>5084.2462205913107</v>
      </c>
      <c r="K32" s="47">
        <f ca="1">+VLOOKUP($B32,Resumen2!$B:$N,'Op4'!K$5+1,FALSE)</f>
        <v>6</v>
      </c>
      <c r="L32" s="48">
        <f ca="1">+VLOOKUP($B32,Resumen2!$B:$N,'Op4'!L$5+1,FALSE)</f>
        <v>0.23076923076923078</v>
      </c>
      <c r="M32" s="46">
        <f ca="1">+VLOOKUP($B32,Resumen2!$B:$N,'Op4'!M$5+1,FALSE)</f>
        <v>26</v>
      </c>
      <c r="N32" s="46">
        <f ca="1">+VLOOKUP($B32,Resumen2!$B:$N,'Op4'!N$5+1,FALSE)</f>
        <v>20</v>
      </c>
      <c r="O32" s="46">
        <f ca="1">+VLOOKUP($B32,Resumen!B:Q,16,FALSE)</f>
        <v>0.2</v>
      </c>
    </row>
    <row r="33" spans="1:15" x14ac:dyDescent="0.3">
      <c r="A33">
        <f t="shared" si="1"/>
        <v>28</v>
      </c>
      <c r="B33" t="s">
        <v>457</v>
      </c>
      <c r="C33" s="47">
        <f ca="1">+VLOOKUP($B33,Resumen2!$B:$N,'Op4'!C$5+1,FALSE)</f>
        <v>2</v>
      </c>
      <c r="D33" s="49">
        <f ca="1">+VLOOKUP($B33,Resumen2!$B:$N,'Op4'!D$5+1,FALSE)*100</f>
        <v>6.8965517241379306</v>
      </c>
      <c r="E33" s="48">
        <f ca="1">+VLOOKUP($B33,Resumen2!$B:$N,'Op4'!E$5+1,FALSE)</f>
        <v>3.4827586206896552</v>
      </c>
      <c r="F33" s="48">
        <f ca="1">+VLOOKUP($B33,Resumen2!$B:$N,'Op4'!F$5+1,FALSE)</f>
        <v>3.6017921100392352</v>
      </c>
      <c r="G33" s="46">
        <f ca="1">+VLOOKUP($B33,Resumen2!$B:$N,'Op4'!G$5+1,FALSE)</f>
        <v>3332.6196551724142</v>
      </c>
      <c r="H33" s="46">
        <f ca="1">+VLOOKUP($B33,Resumen2!$B:$N,'Op4'!H$5+1,FALSE)</f>
        <v>8810.5719791461979</v>
      </c>
      <c r="I33" s="46">
        <f ca="1">+VLOOKUP($B33,Resumen2!$B:$N,'Op4'!I$5+1,FALSE)</f>
        <v>10289.161666666667</v>
      </c>
      <c r="J33" s="46">
        <f ca="1">+VLOOKUP($B33,Resumen2!$B:$N,'Op4'!J$5+1,FALSE)</f>
        <v>11328.179484722505</v>
      </c>
      <c r="K33" s="47">
        <f ca="1">+VLOOKUP($B33,Resumen2!$B:$N,'Op4'!K$5+1,FALSE)</f>
        <v>22</v>
      </c>
      <c r="L33" s="48">
        <f ca="1">+VLOOKUP($B33,Resumen2!$B:$N,'Op4'!L$5+1,FALSE)</f>
        <v>0.75862068965517238</v>
      </c>
      <c r="M33" s="46">
        <f ca="1">+VLOOKUP($B33,Resumen2!$B:$N,'Op4'!M$5+1,FALSE)</f>
        <v>29</v>
      </c>
      <c r="N33" s="46">
        <f ca="1">+VLOOKUP($B33,Resumen2!$B:$N,'Op4'!N$5+1,FALSE)</f>
        <v>7</v>
      </c>
      <c r="O33" s="46">
        <f ca="1">+VLOOKUP($B33,Resumen!B:Q,16,FALSE)</f>
        <v>0.12280701754385964</v>
      </c>
    </row>
    <row r="34" spans="1:15" x14ac:dyDescent="0.3">
      <c r="A34">
        <f t="shared" si="1"/>
        <v>29</v>
      </c>
      <c r="B34" t="s">
        <v>446</v>
      </c>
      <c r="C34" s="47">
        <f ca="1">+VLOOKUP($B34,Resumen2!$B:$N,'Op4'!C$5+1,FALSE)</f>
        <v>0</v>
      </c>
      <c r="D34" s="49">
        <f ca="1">+VLOOKUP($B34,Resumen2!$B:$N,'Op4'!D$5+1,FALSE)*100</f>
        <v>0</v>
      </c>
      <c r="E34" s="48">
        <f ca="1">+VLOOKUP($B34,Resumen2!$B:$N,'Op4'!E$5+1,FALSE)</f>
        <v>4.3043478260869561</v>
      </c>
      <c r="F34" s="48">
        <f ca="1">+VLOOKUP($B34,Resumen2!$B:$N,'Op4'!F$5+1,FALSE)</f>
        <v>2.3244702741347263</v>
      </c>
      <c r="G34" s="46">
        <f ca="1">+VLOOKUP($B34,Resumen2!$B:$N,'Op4'!G$5+1,FALSE)</f>
        <v>5187.0457246376809</v>
      </c>
      <c r="H34" s="46">
        <f ca="1">+VLOOKUP($B34,Resumen2!$B:$N,'Op4'!H$5+1,FALSE)</f>
        <v>6176.7890326958332</v>
      </c>
      <c r="I34" s="46">
        <f ca="1">+VLOOKUP($B34,Resumen2!$B:$N,'Op4'!I$5+1,FALSE)</f>
        <v>4911.6059649122799</v>
      </c>
      <c r="J34" s="46">
        <f ca="1">+VLOOKUP($B34,Resumen2!$B:$N,'Op4'!J$5+1,FALSE)</f>
        <v>4247.8175673085689</v>
      </c>
      <c r="K34" s="47">
        <f ca="1">+VLOOKUP($B34,Resumen2!$B:$N,'Op4'!K$5+1,FALSE)</f>
        <v>2</v>
      </c>
      <c r="L34" s="48">
        <f ca="1">+VLOOKUP($B34,Resumen2!$B:$N,'Op4'!L$5+1,FALSE)</f>
        <v>8.6956521739130432E-2</v>
      </c>
      <c r="M34" s="46">
        <f ca="1">+VLOOKUP($B34,Resumen2!$B:$N,'Op4'!M$5+1,FALSE)</f>
        <v>23</v>
      </c>
      <c r="N34" s="46">
        <f ca="1">+VLOOKUP($B34,Resumen2!$B:$N,'Op4'!N$5+1,FALSE)</f>
        <v>21</v>
      </c>
      <c r="O34" s="46">
        <f ca="1">+VLOOKUP($B34,Resumen!B:Q,16,FALSE)</f>
        <v>0.21276595744680851</v>
      </c>
    </row>
    <row r="35" spans="1:15" x14ac:dyDescent="0.3">
      <c r="A35">
        <f t="shared" si="1"/>
        <v>30</v>
      </c>
      <c r="B35" t="s">
        <v>45</v>
      </c>
      <c r="C35" s="47">
        <f ca="1">+VLOOKUP($B35,Resumen2!$B:$N,'Op4'!C$5+1,FALSE)</f>
        <v>5</v>
      </c>
      <c r="D35" s="49">
        <f ca="1">+VLOOKUP($B35,Resumen2!$B:$N,'Op4'!D$5+1,FALSE)*100</f>
        <v>17.241379310344829</v>
      </c>
      <c r="E35" s="48">
        <f ca="1">+VLOOKUP($B35,Resumen2!$B:$N,'Op4'!E$5+1,FALSE)</f>
        <v>5.8275862068965516</v>
      </c>
      <c r="F35" s="48">
        <f ca="1">+VLOOKUP($B35,Resumen2!$B:$N,'Op4'!F$5+1,FALSE)</f>
        <v>3.6942906289613338</v>
      </c>
      <c r="G35" s="46">
        <f ca="1">+VLOOKUP($B35,Resumen2!$B:$N,'Op4'!G$5+1,FALSE)</f>
        <v>15310.844109195406</v>
      </c>
      <c r="H35" s="46">
        <f ca="1">+VLOOKUP($B35,Resumen2!$B:$N,'Op4'!H$5+1,FALSE)</f>
        <v>29497.025197436116</v>
      </c>
      <c r="I35" s="46">
        <f ca="1">+VLOOKUP($B35,Resumen2!$B:$N,'Op4'!I$5+1,FALSE)</f>
        <v>13614.284722222223</v>
      </c>
      <c r="J35" s="46">
        <f ca="1">+VLOOKUP($B35,Resumen2!$B:$N,'Op4'!J$5+1,FALSE)</f>
        <v>10648.482328466114</v>
      </c>
      <c r="K35" s="47">
        <f ca="1">+VLOOKUP($B35,Resumen2!$B:$N,'Op4'!K$5+1,FALSE)</f>
        <v>7</v>
      </c>
      <c r="L35" s="48">
        <f ca="1">+VLOOKUP($B35,Resumen2!$B:$N,'Op4'!L$5+1,FALSE)</f>
        <v>0.2413793103448276</v>
      </c>
      <c r="M35" s="46">
        <f ca="1">+VLOOKUP($B35,Resumen2!$B:$N,'Op4'!M$5+1,FALSE)</f>
        <v>29</v>
      </c>
      <c r="N35" s="46">
        <f ca="1">+VLOOKUP($B35,Resumen2!$B:$N,'Op4'!N$5+1,FALSE)</f>
        <v>22</v>
      </c>
      <c r="O35" s="46">
        <f ca="1">+VLOOKUP($B35,Resumen!B:Q,16,FALSE)</f>
        <v>1</v>
      </c>
    </row>
    <row r="36" spans="1:15" x14ac:dyDescent="0.3">
      <c r="A36">
        <f t="shared" si="1"/>
        <v>31</v>
      </c>
      <c r="B36" t="s">
        <v>500</v>
      </c>
      <c r="C36" s="47">
        <f ca="1">+VLOOKUP($B36,Resumen2!$B:$N,'Op4'!C$5+1,FALSE)</f>
        <v>0</v>
      </c>
      <c r="D36" s="49">
        <f ca="1">+VLOOKUP($B36,Resumen2!$B:$N,'Op4'!D$5+1,FALSE)*100</f>
        <v>0</v>
      </c>
      <c r="E36" s="48">
        <f ca="1">+VLOOKUP($B36,Resumen2!$B:$N,'Op4'!E$5+1,FALSE)</f>
        <v>0</v>
      </c>
      <c r="F36" s="48">
        <f ca="1">+VLOOKUP($B36,Resumen2!$B:$N,'Op4'!F$5+1,FALSE)</f>
        <v>0</v>
      </c>
      <c r="G36" s="46">
        <f ca="1">+VLOOKUP($B36,Resumen2!$B:$N,'Op4'!G$5+1,FALSE)</f>
        <v>0</v>
      </c>
      <c r="H36" s="46">
        <f ca="1">+VLOOKUP($B36,Resumen2!$B:$N,'Op4'!H$5+1,FALSE)</f>
        <v>0</v>
      </c>
      <c r="I36" s="46">
        <f ca="1">+VLOOKUP($B36,Resumen2!$B:$N,'Op4'!I$5+1,FALSE)</f>
        <v>0</v>
      </c>
      <c r="J36" s="46">
        <f ca="1">+VLOOKUP($B36,Resumen2!$B:$N,'Op4'!J$5+1,FALSE)</f>
        <v>0</v>
      </c>
      <c r="K36" s="47">
        <f ca="1">+VLOOKUP($B36,Resumen2!$B:$N,'Op4'!K$5+1,FALSE)</f>
        <v>0</v>
      </c>
      <c r="L36" s="48">
        <f ca="1">+VLOOKUP($B36,Resumen2!$B:$N,'Op4'!L$5+1,FALSE)</f>
        <v>0</v>
      </c>
      <c r="M36" s="46">
        <f ca="1">+VLOOKUP($B36,Resumen2!$B:$N,'Op4'!M$5+1,FALSE)</f>
        <v>0</v>
      </c>
      <c r="N36" s="46">
        <f ca="1">+VLOOKUP($B36,Resumen2!$B:$N,'Op4'!N$5+1,FALSE)</f>
        <v>0</v>
      </c>
      <c r="O36" s="46">
        <f ca="1">+VLOOKUP($B36,Resumen!B:Q,16,FALSE)</f>
        <v>0</v>
      </c>
    </row>
    <row r="37" spans="1:15" x14ac:dyDescent="0.3">
      <c r="A37">
        <f t="shared" si="1"/>
        <v>32</v>
      </c>
      <c r="B37" t="s">
        <v>454</v>
      </c>
      <c r="C37" s="47">
        <f ca="1">+VLOOKUP($B37,Resumen2!$B:$N,'Op4'!C$5+1,FALSE)</f>
        <v>1</v>
      </c>
      <c r="D37" s="49">
        <f ca="1">+VLOOKUP($B37,Resumen2!$B:$N,'Op4'!D$5+1,FALSE)*100</f>
        <v>3.5714285714285712</v>
      </c>
      <c r="E37" s="48">
        <f ca="1">+VLOOKUP($B37,Resumen2!$B:$N,'Op4'!E$5+1,FALSE)</f>
        <v>5.6428571428571432</v>
      </c>
      <c r="F37" s="48">
        <f ca="1">+VLOOKUP($B37,Resumen2!$B:$N,'Op4'!F$5+1,FALSE)</f>
        <v>2.9840847683606282</v>
      </c>
      <c r="G37" s="46">
        <f ca="1">+VLOOKUP($B37,Resumen2!$B:$N,'Op4'!G$5+1,FALSE)</f>
        <v>6754.4303571428545</v>
      </c>
      <c r="H37" s="46">
        <f ca="1">+VLOOKUP($B37,Resumen2!$B:$N,'Op4'!H$5+1,FALSE)</f>
        <v>11672.216442303865</v>
      </c>
      <c r="I37" s="46">
        <f ca="1">+VLOOKUP($B37,Resumen2!$B:$N,'Op4'!I$5+1,FALSE)</f>
        <v>6318.5275362318844</v>
      </c>
      <c r="J37" s="46">
        <f ca="1">+VLOOKUP($B37,Resumen2!$B:$N,'Op4'!J$5+1,FALSE)</f>
        <v>9815.150013433431</v>
      </c>
      <c r="K37" s="47">
        <f ca="1">+VLOOKUP($B37,Resumen2!$B:$N,'Op4'!K$5+1,FALSE)</f>
        <v>4</v>
      </c>
      <c r="L37" s="48">
        <f ca="1">+VLOOKUP($B37,Resumen2!$B:$N,'Op4'!L$5+1,FALSE)</f>
        <v>0.14285714285714285</v>
      </c>
      <c r="M37" s="46">
        <f ca="1">+VLOOKUP($B37,Resumen2!$B:$N,'Op4'!M$5+1,FALSE)</f>
        <v>28</v>
      </c>
      <c r="N37" s="46">
        <f ca="1">+VLOOKUP($B37,Resumen2!$B:$N,'Op4'!N$5+1,FALSE)</f>
        <v>24</v>
      </c>
      <c r="O37" s="46">
        <f ca="1">+VLOOKUP($B37,Resumen!B:Q,16,FALSE)</f>
        <v>0.21428571428571427</v>
      </c>
    </row>
    <row r="38" spans="1:15" x14ac:dyDescent="0.3">
      <c r="A38">
        <f t="shared" si="1"/>
        <v>33</v>
      </c>
      <c r="B38" t="s">
        <v>449</v>
      </c>
      <c r="C38" s="47">
        <f ca="1">+VLOOKUP($B38,Resumen2!$B:$N,'Op4'!C$5+1,FALSE)</f>
        <v>2</v>
      </c>
      <c r="D38" s="49">
        <f ca="1">+VLOOKUP($B38,Resumen2!$B:$N,'Op4'!D$5+1,FALSE)*100</f>
        <v>7.1428571428571423</v>
      </c>
      <c r="E38" s="48">
        <f ca="1">+VLOOKUP($B38,Resumen2!$B:$N,'Op4'!E$5+1,FALSE)</f>
        <v>6.25</v>
      </c>
      <c r="F38" s="48">
        <f ca="1">+VLOOKUP($B38,Resumen2!$B:$N,'Op4'!F$5+1,FALSE)</f>
        <v>3.8837267325770144</v>
      </c>
      <c r="G38" s="46">
        <f ca="1">+VLOOKUP($B38,Resumen2!$B:$N,'Op4'!G$5+1,FALSE)</f>
        <v>9184.3301488095258</v>
      </c>
      <c r="H38" s="46">
        <f ca="1">+VLOOKUP($B38,Resumen2!$B:$N,'Op4'!H$5+1,FALSE)</f>
        <v>11278.689789166687</v>
      </c>
      <c r="I38" s="46">
        <f ca="1">+VLOOKUP($B38,Resumen2!$B:$N,'Op4'!I$5+1,FALSE)</f>
        <v>9126.2532291666685</v>
      </c>
      <c r="J38" s="46">
        <f ca="1">+VLOOKUP($B38,Resumen2!$B:$N,'Op4'!J$5+1,FALSE)</f>
        <v>10094.300404731206</v>
      </c>
      <c r="K38" s="47">
        <f ca="1">+VLOOKUP($B38,Resumen2!$B:$N,'Op4'!K$5+1,FALSE)</f>
        <v>3</v>
      </c>
      <c r="L38" s="48">
        <f ca="1">+VLOOKUP($B38,Resumen2!$B:$N,'Op4'!L$5+1,FALSE)</f>
        <v>0.10714285714285714</v>
      </c>
      <c r="M38" s="46">
        <f ca="1">+VLOOKUP($B38,Resumen2!$B:$N,'Op4'!M$5+1,FALSE)</f>
        <v>28</v>
      </c>
      <c r="N38" s="46">
        <f ca="1">+VLOOKUP($B38,Resumen2!$B:$N,'Op4'!N$5+1,FALSE)</f>
        <v>25</v>
      </c>
      <c r="O38" s="46">
        <f ca="1">+VLOOKUP($B38,Resumen!B:Q,16,FALSE)</f>
        <v>1</v>
      </c>
    </row>
    <row r="39" spans="1:15" x14ac:dyDescent="0.3">
      <c r="A39">
        <f t="shared" si="1"/>
        <v>34</v>
      </c>
      <c r="B39" t="s">
        <v>458</v>
      </c>
      <c r="C39" s="47">
        <f ca="1">+VLOOKUP($B39,Resumen2!$B:$N,'Op4'!C$5+1,FALSE)</f>
        <v>0</v>
      </c>
      <c r="D39" s="49">
        <f ca="1">+VLOOKUP($B39,Resumen2!$B:$N,'Op4'!D$5+1,FALSE)*100</f>
        <v>0</v>
      </c>
      <c r="E39" s="48">
        <f ca="1">+VLOOKUP($B39,Resumen2!$B:$N,'Op4'!E$5+1,FALSE)</f>
        <v>3.2666666666666666</v>
      </c>
      <c r="F39" s="48">
        <f ca="1">+VLOOKUP($B39,Resumen2!$B:$N,'Op4'!F$5+1,FALSE)</f>
        <v>2.7659672291340831</v>
      </c>
      <c r="G39" s="46">
        <f ca="1">+VLOOKUP($B39,Resumen2!$B:$N,'Op4'!G$5+1,FALSE)</f>
        <v>301.32402777777776</v>
      </c>
      <c r="H39" s="46">
        <f ca="1">+VLOOKUP($B39,Resumen2!$B:$N,'Op4'!H$5+1,FALSE)</f>
        <v>1162.1498604334397</v>
      </c>
      <c r="I39" s="46">
        <f ca="1">+VLOOKUP($B39,Resumen2!$B:$N,'Op4'!I$5+1,FALSE)</f>
        <v>1179.9069444444442</v>
      </c>
      <c r="J39" s="46">
        <f ca="1">+VLOOKUP($B39,Resumen2!$B:$N,'Op4'!J$5+1,FALSE)</f>
        <v>1931.9058651886305</v>
      </c>
      <c r="K39" s="47">
        <f ca="1">+VLOOKUP($B39,Resumen2!$B:$N,'Op4'!K$5+1,FALSE)</f>
        <v>26</v>
      </c>
      <c r="L39" s="48">
        <f ca="1">+VLOOKUP($B39,Resumen2!$B:$N,'Op4'!L$5+1,FALSE)</f>
        <v>0.8666666666666667</v>
      </c>
      <c r="M39" s="46">
        <f ca="1">+VLOOKUP($B39,Resumen2!$B:$N,'Op4'!M$5+1,FALSE)</f>
        <v>30</v>
      </c>
      <c r="N39" s="46">
        <f ca="1">+VLOOKUP($B39,Resumen2!$B:$N,'Op4'!N$5+1,FALSE)</f>
        <v>4</v>
      </c>
      <c r="O39" s="46">
        <f ca="1">+VLOOKUP($B39,Resumen!B:Q,16,FALSE)</f>
        <v>0.25</v>
      </c>
    </row>
    <row r="40" spans="1:15" x14ac:dyDescent="0.3">
      <c r="A40">
        <f t="shared" si="1"/>
        <v>35</v>
      </c>
      <c r="B40" t="s">
        <v>459</v>
      </c>
      <c r="C40" s="47">
        <f ca="1">+VLOOKUP($B40,Resumen2!$B:$N,'Op4'!C$5+1,FALSE)</f>
        <v>1</v>
      </c>
      <c r="D40" s="49">
        <f ca="1">+VLOOKUP($B40,Resumen2!$B:$N,'Op4'!D$5+1,FALSE)*100</f>
        <v>3.3333333333333335</v>
      </c>
      <c r="E40" s="48">
        <f ca="1">+VLOOKUP($B40,Resumen2!$B:$N,'Op4'!E$5+1,FALSE)</f>
        <v>6.666666666666667</v>
      </c>
      <c r="F40" s="48">
        <f ca="1">+VLOOKUP($B40,Resumen2!$B:$N,'Op4'!F$5+1,FALSE)</f>
        <v>4.5511145533990813</v>
      </c>
      <c r="G40" s="46">
        <f ca="1">+VLOOKUP($B40,Resumen2!$B:$N,'Op4'!G$5+1,FALSE)</f>
        <v>9451.9023888888896</v>
      </c>
      <c r="H40" s="46">
        <f ca="1">+VLOOKUP($B40,Resumen2!$B:$N,'Op4'!H$5+1,FALSE)</f>
        <v>13072.385660374532</v>
      </c>
      <c r="I40" s="46">
        <f ca="1">+VLOOKUP($B40,Resumen2!$B:$N,'Op4'!I$5+1,FALSE)</f>
        <v>9506.6952083333326</v>
      </c>
      <c r="J40" s="46">
        <f ca="1">+VLOOKUP($B40,Resumen2!$B:$N,'Op4'!J$5+1,FALSE)</f>
        <v>10210.971838267498</v>
      </c>
      <c r="K40" s="47">
        <f ca="1">+VLOOKUP($B40,Resumen2!$B:$N,'Op4'!K$5+1,FALSE)</f>
        <v>5</v>
      </c>
      <c r="L40" s="48">
        <f ca="1">+VLOOKUP($B40,Resumen2!$B:$N,'Op4'!L$5+1,FALSE)</f>
        <v>0.16666666666666666</v>
      </c>
      <c r="M40" s="46">
        <f ca="1">+VLOOKUP($B40,Resumen2!$B:$N,'Op4'!M$5+1,FALSE)</f>
        <v>30</v>
      </c>
      <c r="N40" s="46">
        <f ca="1">+VLOOKUP($B40,Resumen2!$B:$N,'Op4'!N$5+1,FALSE)</f>
        <v>25</v>
      </c>
      <c r="O40" s="46">
        <f ca="1">+VLOOKUP($B40,Resumen!B:Q,16,FALSE)</f>
        <v>0.33333333333333331</v>
      </c>
    </row>
    <row r="41" spans="1:15" x14ac:dyDescent="0.3">
      <c r="A41">
        <f t="shared" si="1"/>
        <v>36</v>
      </c>
      <c r="B41" t="s">
        <v>304</v>
      </c>
      <c r="C41" s="47">
        <f ca="1">+VLOOKUP($B41,Resumen2!$B:$N,'Op4'!C$5+1,FALSE)</f>
        <v>2</v>
      </c>
      <c r="D41" s="49">
        <f ca="1">+VLOOKUP($B41,Resumen2!$B:$N,'Op4'!D$5+1,FALSE)*100</f>
        <v>11.111111111111111</v>
      </c>
      <c r="E41" s="48">
        <f ca="1">+VLOOKUP($B41,Resumen2!$B:$N,'Op4'!E$5+1,FALSE)</f>
        <v>7.9444444444444446</v>
      </c>
      <c r="F41" s="48">
        <f ca="1">+VLOOKUP($B41,Resumen2!$B:$N,'Op4'!F$5+1,FALSE)</f>
        <v>5.3848613748307192</v>
      </c>
      <c r="G41" s="46">
        <f ca="1">+VLOOKUP($B41,Resumen2!$B:$N,'Op4'!G$5+1,FALSE)</f>
        <v>4439.0219907407409</v>
      </c>
      <c r="H41" s="46">
        <f ca="1">+VLOOKUP($B41,Resumen2!$B:$N,'Op4'!H$5+1,FALSE)</f>
        <v>3820.4286069941568</v>
      </c>
      <c r="I41" s="46">
        <f ca="1">+VLOOKUP($B41,Resumen2!$B:$N,'Op4'!I$5+1,FALSE)</f>
        <v>4105.0597222222223</v>
      </c>
      <c r="J41" s="46">
        <f ca="1">+VLOOKUP($B41,Resumen2!$B:$N,'Op4'!J$5+1,FALSE)</f>
        <v>2638.2567393916775</v>
      </c>
      <c r="K41" s="47">
        <f ca="1">+VLOOKUP($B41,Resumen2!$B:$N,'Op4'!K$5+1,FALSE)</f>
        <v>2</v>
      </c>
      <c r="L41" s="48">
        <f ca="1">+VLOOKUP($B41,Resumen2!$B:$N,'Op4'!L$5+1,FALSE)</f>
        <v>0.1111111111111111</v>
      </c>
      <c r="M41" s="46">
        <f ca="1">+VLOOKUP($B41,Resumen2!$B:$N,'Op4'!M$5+1,FALSE)</f>
        <v>18</v>
      </c>
      <c r="N41" s="46">
        <f ca="1">+VLOOKUP($B41,Resumen2!$B:$N,'Op4'!N$5+1,FALSE)</f>
        <v>16</v>
      </c>
      <c r="O41" s="46">
        <f ca="1">+VLOOKUP($B41,Resumen!B:Q,16,FALSE)</f>
        <v>0.35714285714285715</v>
      </c>
    </row>
    <row r="42" spans="1:15" x14ac:dyDescent="0.3">
      <c r="A42">
        <f t="shared" si="1"/>
        <v>37</v>
      </c>
      <c r="B42" t="s">
        <v>353</v>
      </c>
      <c r="C42" s="47">
        <f ca="1">+VLOOKUP($B42,Resumen2!$B:$N,'Op4'!C$5+1,FALSE)</f>
        <v>0</v>
      </c>
      <c r="D42" s="49">
        <f ca="1">+VLOOKUP($B42,Resumen2!$B:$N,'Op4'!D$5+1,FALSE)*100</f>
        <v>0</v>
      </c>
      <c r="E42" s="48">
        <f ca="1">+VLOOKUP($B42,Resumen2!$B:$N,'Op4'!E$5+1,FALSE)</f>
        <v>5.7142857142857144</v>
      </c>
      <c r="F42" s="48">
        <f ca="1">+VLOOKUP($B42,Resumen2!$B:$N,'Op4'!F$5+1,FALSE)</f>
        <v>3.8089285249183273</v>
      </c>
      <c r="G42" s="46">
        <f ca="1">+VLOOKUP($B42,Resumen2!$B:$N,'Op4'!G$5+1,FALSE)</f>
        <v>7024.084404761903</v>
      </c>
      <c r="H42" s="46">
        <f ca="1">+VLOOKUP($B42,Resumen2!$B:$N,'Op4'!H$5+1,FALSE)</f>
        <v>13559.35564730359</v>
      </c>
      <c r="I42" s="46">
        <f ca="1">+VLOOKUP($B42,Resumen2!$B:$N,'Op4'!I$5+1,FALSE)</f>
        <v>6629.4893750000001</v>
      </c>
      <c r="J42" s="46">
        <f ca="1">+VLOOKUP($B42,Resumen2!$B:$N,'Op4'!J$5+1,FALSE)</f>
        <v>8459.6169861501839</v>
      </c>
      <c r="K42" s="47">
        <f ca="1">+VLOOKUP($B42,Resumen2!$B:$N,'Op4'!K$5+1,FALSE)</f>
        <v>7</v>
      </c>
      <c r="L42" s="48">
        <f ca="1">+VLOOKUP($B42,Resumen2!$B:$N,'Op4'!L$5+1,FALSE)</f>
        <v>0.25</v>
      </c>
      <c r="M42" s="46">
        <f ca="1">+VLOOKUP($B42,Resumen2!$B:$N,'Op4'!M$5+1,FALSE)</f>
        <v>28</v>
      </c>
      <c r="N42" s="46">
        <f ca="1">+VLOOKUP($B42,Resumen2!$B:$N,'Op4'!N$5+1,FALSE)</f>
        <v>21</v>
      </c>
      <c r="O42" s="46">
        <f ca="1">+VLOOKUP($B42,Resumen!B:Q,16,FALSE)</f>
        <v>1</v>
      </c>
    </row>
    <row r="43" spans="1:15" x14ac:dyDescent="0.3">
      <c r="A43">
        <f t="shared" si="1"/>
        <v>38</v>
      </c>
      <c r="B43" t="s">
        <v>447</v>
      </c>
      <c r="C43" s="47">
        <f ca="1">+VLOOKUP($B43,Resumen2!$B:$N,'Op4'!C$5+1,FALSE)</f>
        <v>1</v>
      </c>
      <c r="D43" s="49">
        <f ca="1">+VLOOKUP($B43,Resumen2!$B:$N,'Op4'!D$5+1,FALSE)*100</f>
        <v>3.4482758620689653</v>
      </c>
      <c r="E43" s="48">
        <f ca="1">+VLOOKUP($B43,Resumen2!$B:$N,'Op4'!E$5+1,FALSE)</f>
        <v>3.8275862068965516</v>
      </c>
      <c r="F43" s="48">
        <f ca="1">+VLOOKUP($B43,Resumen2!$B:$N,'Op4'!F$5+1,FALSE)</f>
        <v>3.5362304942373854</v>
      </c>
      <c r="G43" s="46">
        <f ca="1">+VLOOKUP($B43,Resumen2!$B:$N,'Op4'!G$5+1,FALSE)</f>
        <v>2099.0719827586208</v>
      </c>
      <c r="H43" s="46">
        <f ca="1">+VLOOKUP($B43,Resumen2!$B:$N,'Op4'!H$5+1,FALSE)</f>
        <v>3078.8422910222635</v>
      </c>
      <c r="I43" s="46">
        <f ca="1">+VLOOKUP($B43,Resumen2!$B:$N,'Op4'!I$5+1,FALSE)</f>
        <v>2283.5168750000003</v>
      </c>
      <c r="J43" s="46">
        <f ca="1">+VLOOKUP($B43,Resumen2!$B:$N,'Op4'!J$5+1,FALSE)</f>
        <v>1743.9210874863356</v>
      </c>
      <c r="K43" s="47">
        <f ca="1">+VLOOKUP($B43,Resumen2!$B:$N,'Op4'!K$5+1,FALSE)</f>
        <v>8</v>
      </c>
      <c r="L43" s="48">
        <f ca="1">+VLOOKUP($B43,Resumen2!$B:$N,'Op4'!L$5+1,FALSE)</f>
        <v>0.27586206896551724</v>
      </c>
      <c r="M43" s="46">
        <f ca="1">+VLOOKUP($B43,Resumen2!$B:$N,'Op4'!M$5+1,FALSE)</f>
        <v>29</v>
      </c>
      <c r="N43" s="46">
        <f ca="1">+VLOOKUP($B43,Resumen2!$B:$N,'Op4'!N$5+1,FALSE)</f>
        <v>21</v>
      </c>
      <c r="O43" s="46">
        <f ca="1">+VLOOKUP($B43,Resumen!B:Q,16,FALSE)</f>
        <v>0.42</v>
      </c>
    </row>
    <row r="44" spans="1:15" x14ac:dyDescent="0.3">
      <c r="F44" s="52"/>
      <c r="G44" s="52"/>
      <c r="H44" s="52"/>
      <c r="I44" s="52"/>
      <c r="J44" s="52"/>
      <c r="K44" s="52"/>
      <c r="L44" s="52"/>
      <c r="M44" s="52"/>
    </row>
    <row r="45" spans="1:15" x14ac:dyDescent="0.3">
      <c r="A45">
        <v>1</v>
      </c>
      <c r="B45" t="s">
        <v>3</v>
      </c>
      <c r="C45" s="47">
        <v>0</v>
      </c>
      <c r="D45" s="49">
        <v>0</v>
      </c>
      <c r="E45" s="43">
        <f>36-A45</f>
        <v>35</v>
      </c>
      <c r="M45" s="52"/>
      <c r="O45" s="63">
        <f>100-D45</f>
        <v>100</v>
      </c>
    </row>
    <row r="46" spans="1:15" x14ac:dyDescent="0.3">
      <c r="A46">
        <v>1</v>
      </c>
      <c r="B46" t="s">
        <v>288</v>
      </c>
      <c r="C46" s="47">
        <v>0</v>
      </c>
      <c r="D46" s="49">
        <v>0</v>
      </c>
      <c r="E46" s="43">
        <f t="shared" ref="E46:E79" si="2">36-A46</f>
        <v>35</v>
      </c>
      <c r="M46" s="52"/>
      <c r="O46" s="63">
        <f t="shared" ref="O46:O79" si="3">100-D46</f>
        <v>100</v>
      </c>
    </row>
    <row r="47" spans="1:15" x14ac:dyDescent="0.3">
      <c r="A47">
        <v>1</v>
      </c>
      <c r="B47" t="s">
        <v>442</v>
      </c>
      <c r="C47" s="47">
        <v>0</v>
      </c>
      <c r="D47" s="49">
        <v>0</v>
      </c>
      <c r="E47" s="43">
        <f t="shared" si="2"/>
        <v>35</v>
      </c>
      <c r="M47" s="52"/>
      <c r="O47" s="63">
        <f t="shared" si="3"/>
        <v>100</v>
      </c>
    </row>
    <row r="48" spans="1:15" x14ac:dyDescent="0.3">
      <c r="A48">
        <v>1</v>
      </c>
      <c r="B48" t="s">
        <v>441</v>
      </c>
      <c r="C48" s="47">
        <v>0</v>
      </c>
      <c r="D48" s="49">
        <v>0</v>
      </c>
      <c r="E48" s="43">
        <f t="shared" si="2"/>
        <v>35</v>
      </c>
      <c r="M48" s="52"/>
      <c r="O48" s="63">
        <f t="shared" si="3"/>
        <v>100</v>
      </c>
    </row>
    <row r="49" spans="1:15" x14ac:dyDescent="0.3">
      <c r="A49">
        <v>1</v>
      </c>
      <c r="B49" t="s">
        <v>450</v>
      </c>
      <c r="C49" s="47">
        <v>0</v>
      </c>
      <c r="D49" s="49">
        <v>0</v>
      </c>
      <c r="E49" s="43">
        <f t="shared" si="2"/>
        <v>35</v>
      </c>
      <c r="M49" s="52"/>
      <c r="O49" s="63">
        <f t="shared" si="3"/>
        <v>100</v>
      </c>
    </row>
    <row r="50" spans="1:15" x14ac:dyDescent="0.3">
      <c r="A50">
        <v>1</v>
      </c>
      <c r="B50" t="s">
        <v>443</v>
      </c>
      <c r="C50" s="47">
        <v>0</v>
      </c>
      <c r="D50" s="49">
        <v>0</v>
      </c>
      <c r="E50" s="43">
        <f t="shared" si="2"/>
        <v>35</v>
      </c>
      <c r="M50" s="52"/>
      <c r="O50" s="63">
        <f t="shared" si="3"/>
        <v>100</v>
      </c>
    </row>
    <row r="51" spans="1:15" x14ac:dyDescent="0.3">
      <c r="A51">
        <v>1</v>
      </c>
      <c r="B51" t="s">
        <v>444</v>
      </c>
      <c r="C51" s="47">
        <v>0</v>
      </c>
      <c r="D51" s="49">
        <v>0</v>
      </c>
      <c r="E51" s="43">
        <f t="shared" si="2"/>
        <v>35</v>
      </c>
      <c r="M51" s="52"/>
      <c r="O51" s="63">
        <f t="shared" si="3"/>
        <v>100</v>
      </c>
    </row>
    <row r="52" spans="1:15" x14ac:dyDescent="0.3">
      <c r="A52">
        <v>1</v>
      </c>
      <c r="B52" t="s">
        <v>235</v>
      </c>
      <c r="C52" s="47">
        <v>0</v>
      </c>
      <c r="D52" s="49">
        <v>0</v>
      </c>
      <c r="E52" s="43">
        <f t="shared" si="2"/>
        <v>35</v>
      </c>
      <c r="M52" s="52"/>
      <c r="O52" s="63">
        <f t="shared" si="3"/>
        <v>100</v>
      </c>
    </row>
    <row r="53" spans="1:15" x14ac:dyDescent="0.3">
      <c r="A53">
        <v>1</v>
      </c>
      <c r="B53" t="s">
        <v>333</v>
      </c>
      <c r="C53" s="47">
        <v>0</v>
      </c>
      <c r="D53" s="49">
        <v>0</v>
      </c>
      <c r="E53" s="43">
        <f t="shared" si="2"/>
        <v>35</v>
      </c>
      <c r="M53" s="52"/>
      <c r="O53" s="63">
        <f t="shared" si="3"/>
        <v>100</v>
      </c>
    </row>
    <row r="54" spans="1:15" x14ac:dyDescent="0.3">
      <c r="A54">
        <v>1</v>
      </c>
      <c r="B54" t="s">
        <v>451</v>
      </c>
      <c r="C54" s="47">
        <v>0</v>
      </c>
      <c r="D54" s="49">
        <v>0</v>
      </c>
      <c r="E54" s="43">
        <f t="shared" si="2"/>
        <v>35</v>
      </c>
      <c r="M54" s="52"/>
      <c r="O54" s="63">
        <f t="shared" si="3"/>
        <v>100</v>
      </c>
    </row>
    <row r="55" spans="1:15" x14ac:dyDescent="0.3">
      <c r="A55">
        <v>1</v>
      </c>
      <c r="B55" t="s">
        <v>453</v>
      </c>
      <c r="C55" s="47">
        <v>0</v>
      </c>
      <c r="D55" s="49">
        <v>0</v>
      </c>
      <c r="E55" s="43">
        <f t="shared" si="2"/>
        <v>35</v>
      </c>
      <c r="M55" s="52"/>
      <c r="O55" s="63">
        <f t="shared" si="3"/>
        <v>100</v>
      </c>
    </row>
    <row r="56" spans="1:15" x14ac:dyDescent="0.3">
      <c r="A56">
        <v>1</v>
      </c>
      <c r="B56" t="s">
        <v>446</v>
      </c>
      <c r="C56" s="47">
        <v>0</v>
      </c>
      <c r="D56" s="49">
        <v>0</v>
      </c>
      <c r="E56" s="43">
        <f t="shared" si="2"/>
        <v>35</v>
      </c>
      <c r="M56" s="52"/>
      <c r="O56" s="63">
        <f t="shared" si="3"/>
        <v>100</v>
      </c>
    </row>
    <row r="57" spans="1:15" x14ac:dyDescent="0.3">
      <c r="A57">
        <v>1</v>
      </c>
      <c r="B57" t="s">
        <v>458</v>
      </c>
      <c r="C57" s="47">
        <v>0</v>
      </c>
      <c r="D57" s="49">
        <v>0</v>
      </c>
      <c r="E57" s="43">
        <f t="shared" si="2"/>
        <v>35</v>
      </c>
      <c r="M57" s="52"/>
      <c r="O57" s="63">
        <f t="shared" si="3"/>
        <v>100</v>
      </c>
    </row>
    <row r="58" spans="1:15" x14ac:dyDescent="0.3">
      <c r="A58">
        <v>1</v>
      </c>
      <c r="B58" t="s">
        <v>353</v>
      </c>
      <c r="C58" s="47">
        <v>0</v>
      </c>
      <c r="D58" s="49">
        <v>0</v>
      </c>
      <c r="E58" s="43">
        <f t="shared" si="2"/>
        <v>35</v>
      </c>
      <c r="M58" s="52"/>
      <c r="O58" s="63">
        <f t="shared" si="3"/>
        <v>100</v>
      </c>
    </row>
    <row r="59" spans="1:15" x14ac:dyDescent="0.3">
      <c r="A59">
        <v>17</v>
      </c>
      <c r="B59" t="s">
        <v>177</v>
      </c>
      <c r="C59" s="47">
        <v>1</v>
      </c>
      <c r="D59" s="49">
        <v>3.3333333333333335</v>
      </c>
      <c r="E59" s="43">
        <f t="shared" si="2"/>
        <v>19</v>
      </c>
      <c r="M59" s="52"/>
      <c r="O59" s="63">
        <f t="shared" si="3"/>
        <v>96.666666666666671</v>
      </c>
    </row>
    <row r="60" spans="1:15" x14ac:dyDescent="0.3">
      <c r="A60">
        <v>17</v>
      </c>
      <c r="B60" t="s">
        <v>459</v>
      </c>
      <c r="C60" s="47">
        <v>1</v>
      </c>
      <c r="D60" s="49">
        <v>3.3333333333333335</v>
      </c>
      <c r="E60" s="43">
        <f t="shared" si="2"/>
        <v>19</v>
      </c>
      <c r="M60" s="52"/>
      <c r="O60" s="63">
        <f t="shared" si="3"/>
        <v>96.666666666666671</v>
      </c>
    </row>
    <row r="61" spans="1:15" x14ac:dyDescent="0.3">
      <c r="A61">
        <v>17</v>
      </c>
      <c r="B61" t="s">
        <v>447</v>
      </c>
      <c r="C61" s="47">
        <v>1</v>
      </c>
      <c r="D61" s="49">
        <v>3.4482758620689653</v>
      </c>
      <c r="E61" s="43">
        <f t="shared" si="2"/>
        <v>19</v>
      </c>
      <c r="M61" s="52"/>
      <c r="O61" s="63">
        <f t="shared" si="3"/>
        <v>96.551724137931032</v>
      </c>
    </row>
    <row r="62" spans="1:15" x14ac:dyDescent="0.3">
      <c r="A62">
        <v>20</v>
      </c>
      <c r="B62" t="s">
        <v>187</v>
      </c>
      <c r="C62" s="47">
        <v>1</v>
      </c>
      <c r="D62" s="49">
        <v>3.5714285714285712</v>
      </c>
      <c r="E62" s="43">
        <f t="shared" si="2"/>
        <v>16</v>
      </c>
      <c r="M62" s="52"/>
      <c r="O62" s="63">
        <f t="shared" si="3"/>
        <v>96.428571428571431</v>
      </c>
    </row>
    <row r="63" spans="1:15" x14ac:dyDescent="0.3">
      <c r="A63">
        <v>20</v>
      </c>
      <c r="B63" t="s">
        <v>454</v>
      </c>
      <c r="C63" s="47">
        <v>1</v>
      </c>
      <c r="D63" s="49">
        <v>3.5714285714285712</v>
      </c>
      <c r="E63" s="43">
        <f t="shared" si="2"/>
        <v>16</v>
      </c>
      <c r="M63" s="52"/>
      <c r="O63" s="63">
        <f t="shared" si="3"/>
        <v>96.428571428571431</v>
      </c>
    </row>
    <row r="64" spans="1:15" x14ac:dyDescent="0.3">
      <c r="A64">
        <v>20</v>
      </c>
      <c r="B64" t="s">
        <v>318</v>
      </c>
      <c r="C64" s="47">
        <v>1</v>
      </c>
      <c r="D64" s="49">
        <v>4.1666666666666661</v>
      </c>
      <c r="E64" s="43">
        <f t="shared" si="2"/>
        <v>16</v>
      </c>
      <c r="M64" s="52"/>
      <c r="O64" s="63">
        <f t="shared" si="3"/>
        <v>95.833333333333329</v>
      </c>
    </row>
    <row r="65" spans="1:15" x14ac:dyDescent="0.3">
      <c r="A65">
        <v>26</v>
      </c>
      <c r="B65" t="s">
        <v>138</v>
      </c>
      <c r="C65" s="47">
        <v>2</v>
      </c>
      <c r="D65" s="49">
        <v>6.666666666666667</v>
      </c>
      <c r="E65" s="43">
        <f t="shared" si="2"/>
        <v>10</v>
      </c>
      <c r="M65" s="52"/>
      <c r="O65" s="63">
        <f t="shared" si="3"/>
        <v>93.333333333333329</v>
      </c>
    </row>
    <row r="66" spans="1:15" x14ac:dyDescent="0.3">
      <c r="A66">
        <v>26</v>
      </c>
      <c r="B66" t="s">
        <v>210</v>
      </c>
      <c r="C66" s="47">
        <v>2</v>
      </c>
      <c r="D66" s="49">
        <v>6.666666666666667</v>
      </c>
      <c r="E66" s="43">
        <f t="shared" si="2"/>
        <v>10</v>
      </c>
      <c r="M66" s="52"/>
      <c r="O66" s="63">
        <f t="shared" si="3"/>
        <v>93.333333333333329</v>
      </c>
    </row>
    <row r="67" spans="1:15" x14ac:dyDescent="0.3">
      <c r="A67">
        <v>26</v>
      </c>
      <c r="B67" t="s">
        <v>452</v>
      </c>
      <c r="C67" s="47">
        <v>2</v>
      </c>
      <c r="D67" s="49">
        <v>6.8965517241379306</v>
      </c>
      <c r="E67" s="43">
        <f t="shared" si="2"/>
        <v>10</v>
      </c>
      <c r="M67" s="52"/>
      <c r="O67" s="63">
        <f t="shared" si="3"/>
        <v>93.103448275862064</v>
      </c>
    </row>
    <row r="68" spans="1:15" x14ac:dyDescent="0.3">
      <c r="A68">
        <v>26</v>
      </c>
      <c r="B68" t="s">
        <v>457</v>
      </c>
      <c r="C68" s="47">
        <v>2</v>
      </c>
      <c r="D68" s="49">
        <v>6.8965517241379306</v>
      </c>
      <c r="E68" s="43">
        <f t="shared" si="2"/>
        <v>10</v>
      </c>
      <c r="M68" s="52"/>
      <c r="O68" s="63">
        <f t="shared" si="3"/>
        <v>93.103448275862064</v>
      </c>
    </row>
    <row r="69" spans="1:15" x14ac:dyDescent="0.3">
      <c r="A69">
        <v>26</v>
      </c>
      <c r="B69" t="s">
        <v>250</v>
      </c>
      <c r="C69" s="47">
        <v>2</v>
      </c>
      <c r="D69" s="49">
        <v>7.1428571428571423</v>
      </c>
      <c r="E69" s="43">
        <f t="shared" si="2"/>
        <v>10</v>
      </c>
      <c r="M69" s="52"/>
      <c r="O69" s="63">
        <f t="shared" si="3"/>
        <v>92.857142857142861</v>
      </c>
    </row>
    <row r="70" spans="1:15" x14ac:dyDescent="0.3">
      <c r="A70">
        <v>26</v>
      </c>
      <c r="B70" t="s">
        <v>449</v>
      </c>
      <c r="C70" s="47">
        <v>2</v>
      </c>
      <c r="D70" s="49">
        <v>7.1428571428571423</v>
      </c>
      <c r="E70" s="43">
        <f t="shared" si="2"/>
        <v>10</v>
      </c>
      <c r="M70" s="52"/>
      <c r="O70" s="63">
        <f t="shared" si="3"/>
        <v>92.857142857142861</v>
      </c>
    </row>
    <row r="71" spans="1:15" x14ac:dyDescent="0.3">
      <c r="A71">
        <v>28</v>
      </c>
      <c r="B71" t="s">
        <v>140</v>
      </c>
      <c r="C71" s="47">
        <v>3</v>
      </c>
      <c r="D71" s="49">
        <v>10</v>
      </c>
      <c r="E71" s="43">
        <f t="shared" si="2"/>
        <v>8</v>
      </c>
      <c r="M71" s="52"/>
      <c r="O71" s="63">
        <f t="shared" si="3"/>
        <v>90</v>
      </c>
    </row>
    <row r="72" spans="1:15" x14ac:dyDescent="0.3">
      <c r="A72">
        <v>28</v>
      </c>
      <c r="B72" t="s">
        <v>456</v>
      </c>
      <c r="C72" s="47">
        <v>3</v>
      </c>
      <c r="D72" s="49">
        <v>10.344827586206897</v>
      </c>
      <c r="E72" s="43">
        <f t="shared" si="2"/>
        <v>8</v>
      </c>
      <c r="M72" s="52"/>
      <c r="O72" s="63">
        <f t="shared" si="3"/>
        <v>89.65517241379311</v>
      </c>
    </row>
    <row r="73" spans="1:15" x14ac:dyDescent="0.3">
      <c r="A73">
        <v>30</v>
      </c>
      <c r="B73" t="s">
        <v>385</v>
      </c>
      <c r="C73" s="47">
        <v>3</v>
      </c>
      <c r="D73" s="49">
        <v>10.714285714285714</v>
      </c>
      <c r="E73" s="43">
        <f t="shared" si="2"/>
        <v>6</v>
      </c>
      <c r="M73" s="52"/>
      <c r="O73" s="63">
        <f t="shared" si="3"/>
        <v>89.285714285714292</v>
      </c>
    </row>
    <row r="74" spans="1:15" x14ac:dyDescent="0.3">
      <c r="A74">
        <v>30</v>
      </c>
      <c r="B74" t="s">
        <v>304</v>
      </c>
      <c r="C74" s="47">
        <v>2</v>
      </c>
      <c r="D74" s="49">
        <v>11.111111111111111</v>
      </c>
      <c r="E74" s="43">
        <f t="shared" si="2"/>
        <v>6</v>
      </c>
      <c r="M74" s="52"/>
      <c r="O74" s="63">
        <f t="shared" si="3"/>
        <v>88.888888888888886</v>
      </c>
    </row>
    <row r="75" spans="1:15" x14ac:dyDescent="0.3">
      <c r="A75">
        <v>31</v>
      </c>
      <c r="B75" t="s">
        <v>415</v>
      </c>
      <c r="C75" s="47">
        <v>4</v>
      </c>
      <c r="D75" s="49">
        <v>14.814814814814813</v>
      </c>
      <c r="E75" s="43">
        <f t="shared" si="2"/>
        <v>5</v>
      </c>
      <c r="M75" s="52"/>
      <c r="O75" s="63">
        <f t="shared" si="3"/>
        <v>85.18518518518519</v>
      </c>
    </row>
    <row r="76" spans="1:15" x14ac:dyDescent="0.3">
      <c r="A76">
        <v>32</v>
      </c>
      <c r="B76" t="s">
        <v>45</v>
      </c>
      <c r="C76" s="47">
        <v>5</v>
      </c>
      <c r="D76" s="49">
        <v>17.241379310344829</v>
      </c>
      <c r="E76" s="43">
        <f t="shared" si="2"/>
        <v>4</v>
      </c>
      <c r="M76" s="52"/>
      <c r="O76" s="63">
        <f t="shared" si="3"/>
        <v>82.758620689655174</v>
      </c>
    </row>
    <row r="77" spans="1:15" x14ac:dyDescent="0.3">
      <c r="A77">
        <v>33</v>
      </c>
      <c r="B77" t="s">
        <v>76</v>
      </c>
      <c r="C77" s="47">
        <v>6</v>
      </c>
      <c r="D77" s="49">
        <v>20</v>
      </c>
      <c r="E77" s="43">
        <f t="shared" si="2"/>
        <v>3</v>
      </c>
      <c r="M77" s="52"/>
      <c r="O77" s="63">
        <f t="shared" si="3"/>
        <v>80</v>
      </c>
    </row>
    <row r="78" spans="1:15" x14ac:dyDescent="0.3">
      <c r="A78">
        <v>34</v>
      </c>
      <c r="B78" t="s">
        <v>448</v>
      </c>
      <c r="C78" s="47">
        <v>5</v>
      </c>
      <c r="D78" s="49">
        <v>20.833333333333336</v>
      </c>
      <c r="E78" s="43">
        <f t="shared" si="2"/>
        <v>2</v>
      </c>
      <c r="M78" s="52"/>
      <c r="O78" s="63">
        <f t="shared" si="3"/>
        <v>79.166666666666657</v>
      </c>
    </row>
    <row r="79" spans="1:15" x14ac:dyDescent="0.3">
      <c r="A79">
        <v>35</v>
      </c>
      <c r="B79" t="s">
        <v>107</v>
      </c>
      <c r="C79" s="47">
        <v>7</v>
      </c>
      <c r="D79" s="49">
        <v>24.137931034482758</v>
      </c>
      <c r="E79" s="43">
        <f t="shared" si="2"/>
        <v>1</v>
      </c>
      <c r="M79" s="52"/>
      <c r="O79" s="63">
        <f t="shared" si="3"/>
        <v>75.862068965517238</v>
      </c>
    </row>
    <row r="80" spans="1:15" x14ac:dyDescent="0.3">
      <c r="C80" s="47"/>
      <c r="D80" s="49"/>
    </row>
    <row r="81" spans="1:15" x14ac:dyDescent="0.3">
      <c r="C81" s="47"/>
      <c r="D81" s="49"/>
    </row>
    <row r="82" spans="1:15" x14ac:dyDescent="0.3">
      <c r="C82" s="47"/>
      <c r="D82" s="49"/>
    </row>
    <row r="84" spans="1:15" x14ac:dyDescent="0.3">
      <c r="A84" s="49">
        <v>1</v>
      </c>
      <c r="B84" t="s">
        <v>107</v>
      </c>
      <c r="C84" s="48">
        <v>8.4137931034482758</v>
      </c>
      <c r="D84" t="b">
        <f>+C84=C85</f>
        <v>0</v>
      </c>
      <c r="E84" s="61">
        <f>36-A84</f>
        <v>35</v>
      </c>
      <c r="F84" s="52"/>
      <c r="G84" s="52"/>
      <c r="H84" s="52"/>
      <c r="I84" s="52"/>
      <c r="J84" s="52"/>
      <c r="K84" s="52"/>
      <c r="L84" s="52"/>
      <c r="M84" s="52"/>
      <c r="O84" s="63">
        <f>+C84/C$84*100</f>
        <v>100</v>
      </c>
    </row>
    <row r="85" spans="1:15" x14ac:dyDescent="0.3">
      <c r="A85" s="49">
        <v>2</v>
      </c>
      <c r="B85" t="s">
        <v>318</v>
      </c>
      <c r="C85" s="48">
        <v>7.958333333333333</v>
      </c>
      <c r="D85" t="b">
        <f t="shared" ref="D85:D118" si="4">+C85=C86</f>
        <v>0</v>
      </c>
      <c r="E85" s="61">
        <f t="shared" ref="E85:E118" si="5">36-A85</f>
        <v>34</v>
      </c>
      <c r="F85" s="52"/>
      <c r="G85" s="52"/>
      <c r="H85" s="52"/>
      <c r="I85" s="52"/>
      <c r="J85" s="52"/>
      <c r="K85" s="52"/>
      <c r="L85" s="52"/>
      <c r="M85" s="52"/>
      <c r="O85" s="63">
        <f t="shared" ref="O85:O118" si="6">+C85/C$84*100</f>
        <v>94.586748633879779</v>
      </c>
    </row>
    <row r="86" spans="1:15" x14ac:dyDescent="0.3">
      <c r="A86" s="49">
        <v>3</v>
      </c>
      <c r="B86" t="s">
        <v>304</v>
      </c>
      <c r="C86" s="48">
        <v>7.9444444444444446</v>
      </c>
      <c r="D86" t="b">
        <f t="shared" si="4"/>
        <v>0</v>
      </c>
      <c r="E86" s="61">
        <f t="shared" si="5"/>
        <v>33</v>
      </c>
      <c r="F86" s="52"/>
      <c r="G86" s="52"/>
      <c r="H86" s="52"/>
      <c r="I86" s="52"/>
      <c r="J86" s="52"/>
      <c r="K86" s="52"/>
      <c r="L86" s="52"/>
      <c r="M86" s="52"/>
      <c r="O86" s="63">
        <f t="shared" si="6"/>
        <v>94.421675774134798</v>
      </c>
    </row>
    <row r="87" spans="1:15" x14ac:dyDescent="0.3">
      <c r="A87" s="49">
        <v>4</v>
      </c>
      <c r="B87" t="s">
        <v>385</v>
      </c>
      <c r="C87" s="48">
        <v>7.9285714285714288</v>
      </c>
      <c r="D87" t="b">
        <f t="shared" si="4"/>
        <v>0</v>
      </c>
      <c r="E87" s="61">
        <f t="shared" si="5"/>
        <v>32</v>
      </c>
      <c r="F87" s="52"/>
      <c r="G87" s="52"/>
      <c r="H87" s="52"/>
      <c r="I87" s="52"/>
      <c r="J87" s="52"/>
      <c r="K87" s="52"/>
      <c r="L87" s="52"/>
      <c r="M87" s="52"/>
      <c r="O87" s="63">
        <f t="shared" si="6"/>
        <v>94.233021077283368</v>
      </c>
    </row>
    <row r="88" spans="1:15" x14ac:dyDescent="0.3">
      <c r="A88" s="49">
        <v>5</v>
      </c>
      <c r="B88" t="s">
        <v>333</v>
      </c>
      <c r="C88" s="48">
        <v>7.5185185185185182</v>
      </c>
      <c r="D88" t="b">
        <f t="shared" si="4"/>
        <v>0</v>
      </c>
      <c r="E88" s="61">
        <f t="shared" si="5"/>
        <v>31</v>
      </c>
      <c r="F88" s="52"/>
      <c r="G88" s="52"/>
      <c r="H88" s="52"/>
      <c r="I88" s="52"/>
      <c r="J88" s="52"/>
      <c r="K88" s="52"/>
      <c r="L88" s="52"/>
      <c r="M88" s="52"/>
      <c r="O88" s="63">
        <f t="shared" si="6"/>
        <v>89.359441408621734</v>
      </c>
    </row>
    <row r="89" spans="1:15" x14ac:dyDescent="0.3">
      <c r="A89" s="49">
        <v>6</v>
      </c>
      <c r="B89" t="s">
        <v>235</v>
      </c>
      <c r="C89" s="48">
        <v>7.4333333333333336</v>
      </c>
      <c r="D89" t="b">
        <f t="shared" si="4"/>
        <v>0</v>
      </c>
      <c r="E89" s="61">
        <f t="shared" si="5"/>
        <v>30</v>
      </c>
      <c r="F89" s="52"/>
      <c r="O89" s="63">
        <f t="shared" si="6"/>
        <v>88.34699453551913</v>
      </c>
    </row>
    <row r="90" spans="1:15" x14ac:dyDescent="0.3">
      <c r="A90" s="49">
        <v>7</v>
      </c>
      <c r="B90" t="s">
        <v>3</v>
      </c>
      <c r="C90" s="48">
        <v>7.3928571428571432</v>
      </c>
      <c r="D90" t="b">
        <f t="shared" si="4"/>
        <v>0</v>
      </c>
      <c r="E90" s="61">
        <f t="shared" si="5"/>
        <v>29</v>
      </c>
      <c r="F90" s="52"/>
      <c r="O90" s="63">
        <f t="shared" si="6"/>
        <v>87.865925058548015</v>
      </c>
    </row>
    <row r="91" spans="1:15" x14ac:dyDescent="0.3">
      <c r="A91" s="49">
        <v>8</v>
      </c>
      <c r="B91" t="s">
        <v>288</v>
      </c>
      <c r="C91" s="48">
        <v>7.2758620689655169</v>
      </c>
      <c r="D91" t="b">
        <f t="shared" si="4"/>
        <v>0</v>
      </c>
      <c r="E91" s="61">
        <f t="shared" si="5"/>
        <v>28</v>
      </c>
      <c r="F91" s="52"/>
      <c r="O91" s="63">
        <f t="shared" si="6"/>
        <v>86.47540983606558</v>
      </c>
    </row>
    <row r="92" spans="1:15" x14ac:dyDescent="0.3">
      <c r="A92" s="49">
        <v>9</v>
      </c>
      <c r="B92" t="s">
        <v>76</v>
      </c>
      <c r="C92" s="48">
        <v>6.833333333333333</v>
      </c>
      <c r="D92" t="b">
        <f t="shared" si="4"/>
        <v>0</v>
      </c>
      <c r="E92" s="61">
        <f t="shared" si="5"/>
        <v>27</v>
      </c>
      <c r="F92" s="52"/>
      <c r="O92" s="63">
        <f t="shared" si="6"/>
        <v>81.215846994535511</v>
      </c>
    </row>
    <row r="93" spans="1:15" x14ac:dyDescent="0.3">
      <c r="A93" s="49">
        <v>10</v>
      </c>
      <c r="B93" t="s">
        <v>459</v>
      </c>
      <c r="C93" s="48">
        <v>6.666666666666667</v>
      </c>
      <c r="D93" t="b">
        <f t="shared" si="4"/>
        <v>0</v>
      </c>
      <c r="E93" s="61">
        <f t="shared" si="5"/>
        <v>26</v>
      </c>
      <c r="F93" s="52"/>
      <c r="O93" s="63">
        <f t="shared" si="6"/>
        <v>79.234972677595621</v>
      </c>
    </row>
    <row r="94" spans="1:15" x14ac:dyDescent="0.3">
      <c r="A94" s="49">
        <v>11</v>
      </c>
      <c r="B94" t="s">
        <v>442</v>
      </c>
      <c r="C94" s="48">
        <v>6.56</v>
      </c>
      <c r="D94" t="b">
        <f t="shared" si="4"/>
        <v>0</v>
      </c>
      <c r="E94" s="61">
        <f t="shared" si="5"/>
        <v>25</v>
      </c>
      <c r="F94" s="52"/>
      <c r="O94" s="63">
        <f t="shared" si="6"/>
        <v>77.967213114754102</v>
      </c>
    </row>
    <row r="95" spans="1:15" x14ac:dyDescent="0.3">
      <c r="A95" s="49">
        <v>12</v>
      </c>
      <c r="B95" t="s">
        <v>415</v>
      </c>
      <c r="C95" s="48">
        <v>6.5555555555555554</v>
      </c>
      <c r="D95" t="b">
        <f t="shared" si="4"/>
        <v>0</v>
      </c>
      <c r="E95" s="61">
        <f t="shared" si="5"/>
        <v>24</v>
      </c>
      <c r="F95" s="52"/>
      <c r="O95" s="63">
        <f t="shared" si="6"/>
        <v>77.9143897996357</v>
      </c>
    </row>
    <row r="96" spans="1:15" x14ac:dyDescent="0.3">
      <c r="A96" s="49">
        <v>13</v>
      </c>
      <c r="B96" t="s">
        <v>140</v>
      </c>
      <c r="C96" s="48">
        <v>6.4</v>
      </c>
      <c r="D96" t="b">
        <f t="shared" si="4"/>
        <v>0</v>
      </c>
      <c r="E96" s="61">
        <f t="shared" si="5"/>
        <v>23</v>
      </c>
      <c r="F96" s="52"/>
      <c r="O96" s="63">
        <f t="shared" si="6"/>
        <v>76.06557377049181</v>
      </c>
    </row>
    <row r="97" spans="1:15" x14ac:dyDescent="0.3">
      <c r="A97" s="49">
        <v>15</v>
      </c>
      <c r="B97" t="s">
        <v>444</v>
      </c>
      <c r="C97" s="48">
        <v>6.3571428571428568</v>
      </c>
      <c r="D97" t="b">
        <f t="shared" si="4"/>
        <v>1</v>
      </c>
      <c r="E97" s="61">
        <f t="shared" si="5"/>
        <v>21</v>
      </c>
      <c r="F97" s="52"/>
      <c r="O97" s="63">
        <f t="shared" si="6"/>
        <v>75.556206088992965</v>
      </c>
    </row>
    <row r="98" spans="1:15" x14ac:dyDescent="0.3">
      <c r="A98" s="49">
        <v>15</v>
      </c>
      <c r="B98" t="s">
        <v>250</v>
      </c>
      <c r="C98" s="48">
        <v>6.3571428571428568</v>
      </c>
      <c r="D98" t="b">
        <f t="shared" si="4"/>
        <v>0</v>
      </c>
      <c r="E98" s="61">
        <f t="shared" si="5"/>
        <v>21</v>
      </c>
      <c r="F98" s="52"/>
      <c r="O98" s="63">
        <f t="shared" si="6"/>
        <v>75.556206088992965</v>
      </c>
    </row>
    <row r="99" spans="1:15" x14ac:dyDescent="0.3">
      <c r="A99" s="49">
        <v>16</v>
      </c>
      <c r="B99" t="s">
        <v>449</v>
      </c>
      <c r="C99" s="48">
        <v>6.25</v>
      </c>
      <c r="D99" t="b">
        <f t="shared" si="4"/>
        <v>0</v>
      </c>
      <c r="E99" s="61">
        <f t="shared" si="5"/>
        <v>20</v>
      </c>
      <c r="F99" s="52"/>
      <c r="O99" s="63">
        <f t="shared" si="6"/>
        <v>74.282786885245898</v>
      </c>
    </row>
    <row r="100" spans="1:15" x14ac:dyDescent="0.3">
      <c r="A100" s="49">
        <v>17</v>
      </c>
      <c r="B100" t="s">
        <v>448</v>
      </c>
      <c r="C100" s="48">
        <v>6.166666666666667</v>
      </c>
      <c r="D100" t="b">
        <f t="shared" si="4"/>
        <v>0</v>
      </c>
      <c r="E100" s="61">
        <f t="shared" si="5"/>
        <v>19</v>
      </c>
      <c r="F100" s="52"/>
      <c r="O100" s="63">
        <f t="shared" si="6"/>
        <v>73.292349726775967</v>
      </c>
    </row>
    <row r="101" spans="1:15" x14ac:dyDescent="0.3">
      <c r="A101" s="49">
        <v>18</v>
      </c>
      <c r="B101" t="s">
        <v>450</v>
      </c>
      <c r="C101" s="48">
        <v>6.1379310344827589</v>
      </c>
      <c r="D101" t="b">
        <f t="shared" si="4"/>
        <v>0</v>
      </c>
      <c r="E101" s="61">
        <f t="shared" si="5"/>
        <v>18</v>
      </c>
      <c r="F101" s="52"/>
      <c r="O101" s="63">
        <f t="shared" si="6"/>
        <v>72.950819672131146</v>
      </c>
    </row>
    <row r="102" spans="1:15" x14ac:dyDescent="0.3">
      <c r="A102" s="49">
        <v>19</v>
      </c>
      <c r="B102" t="s">
        <v>177</v>
      </c>
      <c r="C102" s="48">
        <v>6</v>
      </c>
      <c r="D102" t="b">
        <f t="shared" si="4"/>
        <v>0</v>
      </c>
      <c r="E102" s="61">
        <f t="shared" si="5"/>
        <v>17</v>
      </c>
      <c r="F102" s="52"/>
      <c r="O102" s="63">
        <f t="shared" si="6"/>
        <v>71.311475409836063</v>
      </c>
    </row>
    <row r="103" spans="1:15" x14ac:dyDescent="0.3">
      <c r="A103" s="49">
        <v>20</v>
      </c>
      <c r="B103" t="s">
        <v>45</v>
      </c>
      <c r="C103" s="48">
        <v>5.8275862068965516</v>
      </c>
      <c r="D103" t="b">
        <f t="shared" si="4"/>
        <v>0</v>
      </c>
      <c r="E103" s="61">
        <f t="shared" si="5"/>
        <v>16</v>
      </c>
      <c r="F103" s="52"/>
      <c r="O103" s="63">
        <f t="shared" si="6"/>
        <v>69.26229508196721</v>
      </c>
    </row>
    <row r="104" spans="1:15" x14ac:dyDescent="0.3">
      <c r="A104" s="49">
        <v>21</v>
      </c>
      <c r="B104" t="s">
        <v>353</v>
      </c>
      <c r="C104" s="48">
        <v>5.7142857142857144</v>
      </c>
      <c r="D104" t="b">
        <f t="shared" si="4"/>
        <v>0</v>
      </c>
      <c r="E104" s="61">
        <f t="shared" si="5"/>
        <v>15</v>
      </c>
      <c r="F104" s="52"/>
      <c r="O104" s="63">
        <f t="shared" si="6"/>
        <v>67.915690866510531</v>
      </c>
    </row>
    <row r="105" spans="1:15" x14ac:dyDescent="0.3">
      <c r="A105" s="49">
        <v>22</v>
      </c>
      <c r="B105" t="s">
        <v>454</v>
      </c>
      <c r="C105" s="48">
        <v>5.6428571428571432</v>
      </c>
      <c r="D105" t="b">
        <f t="shared" si="4"/>
        <v>0</v>
      </c>
      <c r="E105" s="61">
        <f t="shared" si="5"/>
        <v>14</v>
      </c>
      <c r="F105" s="52"/>
      <c r="O105" s="63">
        <f t="shared" si="6"/>
        <v>67.066744730679162</v>
      </c>
    </row>
    <row r="106" spans="1:15" x14ac:dyDescent="0.3">
      <c r="A106" s="49">
        <v>23</v>
      </c>
      <c r="B106" t="s">
        <v>451</v>
      </c>
      <c r="C106" s="48">
        <v>5.115384615384615</v>
      </c>
      <c r="D106" t="b">
        <f t="shared" si="4"/>
        <v>0</v>
      </c>
      <c r="E106" s="61">
        <f t="shared" si="5"/>
        <v>13</v>
      </c>
      <c r="F106" s="52"/>
      <c r="O106" s="63">
        <f t="shared" si="6"/>
        <v>60.79760403530895</v>
      </c>
    </row>
    <row r="107" spans="1:15" x14ac:dyDescent="0.3">
      <c r="A107" s="49">
        <v>24</v>
      </c>
      <c r="B107" t="s">
        <v>138</v>
      </c>
      <c r="C107" s="48">
        <v>5</v>
      </c>
      <c r="D107" t="b">
        <f t="shared" si="4"/>
        <v>0</v>
      </c>
      <c r="E107" s="61">
        <f t="shared" si="5"/>
        <v>12</v>
      </c>
      <c r="F107" s="52"/>
      <c r="O107" s="63">
        <f t="shared" si="6"/>
        <v>59.426229508196727</v>
      </c>
    </row>
    <row r="108" spans="1:15" x14ac:dyDescent="0.3">
      <c r="A108" s="49">
        <v>25</v>
      </c>
      <c r="B108" t="s">
        <v>441</v>
      </c>
      <c r="C108" s="48">
        <v>4.9333333333333336</v>
      </c>
      <c r="D108" t="b">
        <f t="shared" si="4"/>
        <v>0</v>
      </c>
      <c r="E108" s="61">
        <f t="shared" si="5"/>
        <v>11</v>
      </c>
      <c r="F108" s="52"/>
      <c r="O108" s="63">
        <f t="shared" si="6"/>
        <v>58.633879781420774</v>
      </c>
    </row>
    <row r="109" spans="1:15" x14ac:dyDescent="0.3">
      <c r="A109" s="49">
        <v>26</v>
      </c>
      <c r="B109" t="s">
        <v>452</v>
      </c>
      <c r="C109" s="48">
        <v>4.6551724137931032</v>
      </c>
      <c r="D109" t="b">
        <f t="shared" si="4"/>
        <v>0</v>
      </c>
      <c r="E109" s="61">
        <f t="shared" si="5"/>
        <v>10</v>
      </c>
      <c r="F109" s="52"/>
      <c r="O109" s="63">
        <f t="shared" si="6"/>
        <v>55.327868852459019</v>
      </c>
    </row>
    <row r="110" spans="1:15" x14ac:dyDescent="0.3">
      <c r="A110" s="49">
        <v>27</v>
      </c>
      <c r="B110" t="s">
        <v>456</v>
      </c>
      <c r="C110" s="48">
        <v>4.5517241379310347</v>
      </c>
      <c r="D110" t="b">
        <f t="shared" si="4"/>
        <v>0</v>
      </c>
      <c r="E110" s="61">
        <f t="shared" si="5"/>
        <v>9</v>
      </c>
      <c r="F110" s="52"/>
      <c r="O110" s="63">
        <f t="shared" si="6"/>
        <v>54.098360655737707</v>
      </c>
    </row>
    <row r="111" spans="1:15" x14ac:dyDescent="0.3">
      <c r="A111" s="49">
        <v>28</v>
      </c>
      <c r="B111" t="s">
        <v>453</v>
      </c>
      <c r="C111" s="48">
        <v>4.4230769230769234</v>
      </c>
      <c r="D111" t="b">
        <f t="shared" si="4"/>
        <v>0</v>
      </c>
      <c r="E111" s="61">
        <f t="shared" si="5"/>
        <v>8</v>
      </c>
      <c r="F111" s="52"/>
      <c r="O111" s="63">
        <f t="shared" si="6"/>
        <v>52.569356872635566</v>
      </c>
    </row>
    <row r="112" spans="1:15" x14ac:dyDescent="0.3">
      <c r="A112" s="49">
        <v>29</v>
      </c>
      <c r="B112" t="s">
        <v>446</v>
      </c>
      <c r="C112" s="48">
        <v>4.3043478260869561</v>
      </c>
      <c r="D112" t="b">
        <f t="shared" si="4"/>
        <v>0</v>
      </c>
      <c r="E112" s="61">
        <f t="shared" si="5"/>
        <v>7</v>
      </c>
      <c r="F112" s="52"/>
      <c r="O112" s="63">
        <f t="shared" si="6"/>
        <v>51.158232359230219</v>
      </c>
    </row>
    <row r="113" spans="1:15" x14ac:dyDescent="0.3">
      <c r="A113" s="49">
        <v>30</v>
      </c>
      <c r="B113" t="s">
        <v>443</v>
      </c>
      <c r="C113" s="48">
        <v>3.9333333333333331</v>
      </c>
      <c r="D113" t="b">
        <f t="shared" si="4"/>
        <v>0</v>
      </c>
      <c r="E113" s="61">
        <f t="shared" si="5"/>
        <v>6</v>
      </c>
      <c r="F113" s="52"/>
      <c r="O113" s="63">
        <f t="shared" si="6"/>
        <v>46.748633879781423</v>
      </c>
    </row>
    <row r="114" spans="1:15" x14ac:dyDescent="0.3">
      <c r="A114" s="49">
        <v>31</v>
      </c>
      <c r="B114" t="s">
        <v>447</v>
      </c>
      <c r="C114" s="48">
        <v>3.8275862068965516</v>
      </c>
      <c r="D114" t="b">
        <f t="shared" si="4"/>
        <v>0</v>
      </c>
      <c r="E114" s="61">
        <f t="shared" si="5"/>
        <v>5</v>
      </c>
      <c r="F114" s="52"/>
      <c r="O114" s="63">
        <f t="shared" si="6"/>
        <v>45.491803278688522</v>
      </c>
    </row>
    <row r="115" spans="1:15" x14ac:dyDescent="0.3">
      <c r="A115" s="49">
        <v>32</v>
      </c>
      <c r="B115" t="s">
        <v>210</v>
      </c>
      <c r="C115" s="48">
        <v>3.7</v>
      </c>
      <c r="D115" t="b">
        <f t="shared" si="4"/>
        <v>0</v>
      </c>
      <c r="E115" s="61">
        <f t="shared" si="5"/>
        <v>4</v>
      </c>
      <c r="F115" s="52"/>
      <c r="O115" s="63">
        <f t="shared" si="6"/>
        <v>43.975409836065573</v>
      </c>
    </row>
    <row r="116" spans="1:15" x14ac:dyDescent="0.3">
      <c r="A116" s="49">
        <v>33</v>
      </c>
      <c r="B116" t="s">
        <v>457</v>
      </c>
      <c r="C116" s="48">
        <v>3.4827586206896552</v>
      </c>
      <c r="D116" t="b">
        <f t="shared" si="4"/>
        <v>0</v>
      </c>
      <c r="E116" s="61">
        <f t="shared" si="5"/>
        <v>3</v>
      </c>
      <c r="F116" s="52"/>
      <c r="O116" s="63">
        <f t="shared" si="6"/>
        <v>41.393442622950822</v>
      </c>
    </row>
    <row r="117" spans="1:15" x14ac:dyDescent="0.3">
      <c r="A117" s="49">
        <v>34</v>
      </c>
      <c r="B117" t="s">
        <v>187</v>
      </c>
      <c r="C117" s="48">
        <v>3.4285714285714284</v>
      </c>
      <c r="D117" t="b">
        <f t="shared" si="4"/>
        <v>0</v>
      </c>
      <c r="E117" s="61">
        <f t="shared" si="5"/>
        <v>2</v>
      </c>
      <c r="F117" s="52"/>
      <c r="O117" s="63">
        <f t="shared" si="6"/>
        <v>40.749414519906317</v>
      </c>
    </row>
    <row r="118" spans="1:15" x14ac:dyDescent="0.3">
      <c r="A118" s="49">
        <v>35</v>
      </c>
      <c r="B118" t="s">
        <v>458</v>
      </c>
      <c r="C118" s="48">
        <v>3.2666666666666666</v>
      </c>
      <c r="D118" t="b">
        <f t="shared" si="4"/>
        <v>0</v>
      </c>
      <c r="E118" s="61">
        <f t="shared" si="5"/>
        <v>1</v>
      </c>
      <c r="F118" s="52"/>
      <c r="O118" s="63">
        <f t="shared" si="6"/>
        <v>38.825136612021858</v>
      </c>
    </row>
    <row r="119" spans="1:15" x14ac:dyDescent="0.3">
      <c r="B119" t="s">
        <v>445</v>
      </c>
      <c r="C119" s="48">
        <v>0</v>
      </c>
      <c r="E119" s="49"/>
      <c r="F119" s="52"/>
    </row>
    <row r="120" spans="1:15" x14ac:dyDescent="0.3">
      <c r="B120" t="s">
        <v>455</v>
      </c>
      <c r="C120" s="48">
        <v>0</v>
      </c>
      <c r="E120" s="49"/>
      <c r="F120" s="52"/>
    </row>
    <row r="121" spans="1:15" x14ac:dyDescent="0.3">
      <c r="B121" t="s">
        <v>500</v>
      </c>
      <c r="C121" s="48">
        <v>0</v>
      </c>
      <c r="E121" s="49"/>
      <c r="F121" s="52"/>
    </row>
    <row r="122" spans="1:15" x14ac:dyDescent="0.3">
      <c r="F122" s="52"/>
      <c r="G122" s="52"/>
      <c r="H122" s="52"/>
      <c r="I122" s="52"/>
      <c r="J122" s="52"/>
      <c r="K122" s="52"/>
      <c r="L122" s="52"/>
      <c r="M122" s="52"/>
    </row>
    <row r="123" spans="1:15" x14ac:dyDescent="0.3">
      <c r="A123">
        <v>1</v>
      </c>
      <c r="B123" t="s">
        <v>3</v>
      </c>
      <c r="C123" s="49">
        <v>0</v>
      </c>
      <c r="D123" s="43">
        <f>36-A123</f>
        <v>35</v>
      </c>
      <c r="F123" s="52"/>
      <c r="G123" s="52"/>
      <c r="H123" s="52"/>
      <c r="I123" s="52"/>
      <c r="J123" s="52"/>
      <c r="K123" s="52"/>
      <c r="L123" s="52"/>
      <c r="M123" s="52"/>
      <c r="O123" s="63">
        <f>(30-C123)/30*100</f>
        <v>100</v>
      </c>
    </row>
    <row r="124" spans="1:15" x14ac:dyDescent="0.3">
      <c r="A124">
        <v>1</v>
      </c>
      <c r="B124" t="s">
        <v>187</v>
      </c>
      <c r="C124" s="49">
        <v>0</v>
      </c>
      <c r="D124" s="43">
        <f t="shared" ref="D124:D157" si="7">36-A124</f>
        <v>35</v>
      </c>
      <c r="F124" s="52"/>
      <c r="G124" s="52"/>
      <c r="H124" s="52"/>
      <c r="I124" s="52"/>
      <c r="J124" s="52"/>
      <c r="K124" s="52"/>
      <c r="L124" s="52"/>
      <c r="M124" s="52"/>
      <c r="O124" s="63">
        <f t="shared" ref="O124:O157" si="8">(30-C124)/30*100</f>
        <v>100</v>
      </c>
    </row>
    <row r="125" spans="1:15" x14ac:dyDescent="0.3">
      <c r="A125">
        <v>5</v>
      </c>
      <c r="B125" t="s">
        <v>76</v>
      </c>
      <c r="C125" s="49">
        <v>1</v>
      </c>
      <c r="D125" s="43">
        <f t="shared" si="7"/>
        <v>31</v>
      </c>
      <c r="F125" s="52"/>
      <c r="G125" s="52"/>
      <c r="H125" s="52"/>
      <c r="I125" s="52"/>
      <c r="J125" s="52"/>
      <c r="K125" s="52"/>
      <c r="L125" s="52"/>
      <c r="M125" s="52"/>
      <c r="O125" s="63">
        <f t="shared" si="8"/>
        <v>96.666666666666671</v>
      </c>
    </row>
    <row r="126" spans="1:15" x14ac:dyDescent="0.3">
      <c r="A126">
        <v>5</v>
      </c>
      <c r="B126" t="s">
        <v>250</v>
      </c>
      <c r="C126" s="49">
        <v>1</v>
      </c>
      <c r="D126" s="43">
        <f t="shared" si="7"/>
        <v>31</v>
      </c>
      <c r="F126" s="52"/>
      <c r="G126" s="52"/>
      <c r="H126" s="52"/>
      <c r="I126" s="52"/>
      <c r="J126" s="52"/>
      <c r="K126" s="52"/>
      <c r="L126" s="52"/>
      <c r="M126" s="52"/>
      <c r="O126" s="63">
        <f t="shared" si="8"/>
        <v>96.666666666666671</v>
      </c>
    </row>
    <row r="127" spans="1:15" x14ac:dyDescent="0.3">
      <c r="A127">
        <v>5</v>
      </c>
      <c r="B127" t="s">
        <v>140</v>
      </c>
      <c r="C127" s="49">
        <v>1</v>
      </c>
      <c r="D127" s="43">
        <f t="shared" si="7"/>
        <v>31</v>
      </c>
      <c r="F127" s="52"/>
      <c r="G127" s="52"/>
      <c r="H127" s="52"/>
      <c r="I127" s="52"/>
      <c r="J127" s="52"/>
      <c r="K127" s="52"/>
      <c r="L127" s="52"/>
      <c r="M127" s="52"/>
      <c r="O127" s="63">
        <f t="shared" si="8"/>
        <v>96.666666666666671</v>
      </c>
    </row>
    <row r="128" spans="1:15" x14ac:dyDescent="0.3">
      <c r="A128">
        <v>11</v>
      </c>
      <c r="B128" t="s">
        <v>177</v>
      </c>
      <c r="C128" s="49">
        <v>2</v>
      </c>
      <c r="D128" s="43">
        <f t="shared" si="7"/>
        <v>25</v>
      </c>
      <c r="F128" s="52"/>
      <c r="M128" s="52"/>
      <c r="O128" s="63">
        <f t="shared" si="8"/>
        <v>93.333333333333329</v>
      </c>
    </row>
    <row r="129" spans="1:15" x14ac:dyDescent="0.3">
      <c r="A129">
        <v>11</v>
      </c>
      <c r="B129" t="s">
        <v>441</v>
      </c>
      <c r="C129" s="49">
        <v>2</v>
      </c>
      <c r="D129" s="43">
        <f t="shared" si="7"/>
        <v>25</v>
      </c>
      <c r="F129" s="52"/>
      <c r="M129" s="52"/>
      <c r="O129" s="63">
        <f t="shared" si="8"/>
        <v>93.333333333333329</v>
      </c>
    </row>
    <row r="130" spans="1:15" x14ac:dyDescent="0.3">
      <c r="A130">
        <v>11</v>
      </c>
      <c r="B130" t="s">
        <v>333</v>
      </c>
      <c r="C130" s="49">
        <v>2</v>
      </c>
      <c r="D130" s="43">
        <f t="shared" si="7"/>
        <v>25</v>
      </c>
      <c r="F130" s="52"/>
      <c r="M130" s="52"/>
      <c r="O130" s="63">
        <f t="shared" si="8"/>
        <v>93.333333333333329</v>
      </c>
    </row>
    <row r="131" spans="1:15" x14ac:dyDescent="0.3">
      <c r="A131">
        <v>11</v>
      </c>
      <c r="B131" t="s">
        <v>451</v>
      </c>
      <c r="C131" s="49">
        <v>2</v>
      </c>
      <c r="D131" s="43">
        <f t="shared" si="7"/>
        <v>25</v>
      </c>
      <c r="F131" s="52"/>
      <c r="M131" s="52"/>
      <c r="O131" s="63">
        <f t="shared" si="8"/>
        <v>93.333333333333329</v>
      </c>
    </row>
    <row r="132" spans="1:15" x14ac:dyDescent="0.3">
      <c r="A132">
        <v>11</v>
      </c>
      <c r="B132" t="s">
        <v>446</v>
      </c>
      <c r="C132" s="49">
        <v>2</v>
      </c>
      <c r="D132" s="43">
        <f t="shared" si="7"/>
        <v>25</v>
      </c>
      <c r="F132" s="52"/>
      <c r="M132" s="52"/>
      <c r="O132" s="63">
        <f t="shared" si="8"/>
        <v>93.333333333333329</v>
      </c>
    </row>
    <row r="133" spans="1:15" x14ac:dyDescent="0.3">
      <c r="A133">
        <v>11</v>
      </c>
      <c r="B133" t="s">
        <v>304</v>
      </c>
      <c r="C133" s="49">
        <v>2</v>
      </c>
      <c r="D133" s="43">
        <f t="shared" si="7"/>
        <v>25</v>
      </c>
      <c r="F133" s="52"/>
      <c r="M133" s="52"/>
      <c r="O133" s="63">
        <f t="shared" si="8"/>
        <v>93.333333333333329</v>
      </c>
    </row>
    <row r="134" spans="1:15" x14ac:dyDescent="0.3">
      <c r="A134">
        <v>14</v>
      </c>
      <c r="B134" t="s">
        <v>107</v>
      </c>
      <c r="C134" s="49">
        <v>3</v>
      </c>
      <c r="D134" s="43">
        <f t="shared" si="7"/>
        <v>22</v>
      </c>
      <c r="F134" s="52"/>
      <c r="M134" s="52"/>
      <c r="O134" s="63">
        <f t="shared" si="8"/>
        <v>90</v>
      </c>
    </row>
    <row r="135" spans="1:15" x14ac:dyDescent="0.3">
      <c r="A135">
        <v>14</v>
      </c>
      <c r="B135" t="s">
        <v>385</v>
      </c>
      <c r="C135" s="49">
        <v>3</v>
      </c>
      <c r="D135" s="43">
        <f t="shared" si="7"/>
        <v>22</v>
      </c>
      <c r="F135" s="52"/>
      <c r="M135" s="52"/>
      <c r="O135" s="63">
        <f t="shared" si="8"/>
        <v>90</v>
      </c>
    </row>
    <row r="136" spans="1:15" x14ac:dyDescent="0.3">
      <c r="A136">
        <v>14</v>
      </c>
      <c r="B136" t="s">
        <v>449</v>
      </c>
      <c r="C136" s="49">
        <v>3</v>
      </c>
      <c r="D136" s="43">
        <f t="shared" si="7"/>
        <v>22</v>
      </c>
      <c r="F136" s="52"/>
      <c r="M136" s="52"/>
      <c r="O136" s="63">
        <f t="shared" si="8"/>
        <v>90</v>
      </c>
    </row>
    <row r="137" spans="1:15" x14ac:dyDescent="0.3">
      <c r="A137">
        <v>17</v>
      </c>
      <c r="B137" t="s">
        <v>448</v>
      </c>
      <c r="C137" s="49">
        <v>4</v>
      </c>
      <c r="D137" s="43">
        <f t="shared" si="7"/>
        <v>19</v>
      </c>
      <c r="F137" s="52"/>
      <c r="M137" s="52"/>
      <c r="O137" s="63">
        <f t="shared" si="8"/>
        <v>86.666666666666671</v>
      </c>
    </row>
    <row r="138" spans="1:15" x14ac:dyDescent="0.3">
      <c r="A138">
        <v>17</v>
      </c>
      <c r="B138" t="s">
        <v>415</v>
      </c>
      <c r="C138" s="49">
        <v>4</v>
      </c>
      <c r="D138" s="43">
        <f t="shared" si="7"/>
        <v>19</v>
      </c>
      <c r="F138" s="52"/>
      <c r="M138" s="52"/>
      <c r="O138" s="63">
        <f t="shared" si="8"/>
        <v>86.666666666666671</v>
      </c>
    </row>
    <row r="139" spans="1:15" x14ac:dyDescent="0.3">
      <c r="A139">
        <v>17</v>
      </c>
      <c r="B139" t="s">
        <v>454</v>
      </c>
      <c r="C139" s="49">
        <v>4</v>
      </c>
      <c r="D139" s="43">
        <f t="shared" si="7"/>
        <v>19</v>
      </c>
      <c r="F139" s="52"/>
      <c r="M139" s="52"/>
      <c r="O139" s="63">
        <f t="shared" si="8"/>
        <v>86.666666666666671</v>
      </c>
    </row>
    <row r="140" spans="1:15" x14ac:dyDescent="0.3">
      <c r="A140">
        <v>19</v>
      </c>
      <c r="B140" t="s">
        <v>318</v>
      </c>
      <c r="C140" s="49">
        <v>5</v>
      </c>
      <c r="D140" s="43">
        <f t="shared" si="7"/>
        <v>17</v>
      </c>
      <c r="F140" s="52"/>
      <c r="M140" s="52"/>
      <c r="O140" s="63">
        <f t="shared" si="8"/>
        <v>83.333333333333343</v>
      </c>
    </row>
    <row r="141" spans="1:15" x14ac:dyDescent="0.3">
      <c r="A141">
        <v>19</v>
      </c>
      <c r="B141" t="s">
        <v>459</v>
      </c>
      <c r="C141" s="49">
        <v>5</v>
      </c>
      <c r="D141" s="43">
        <f t="shared" si="7"/>
        <v>17</v>
      </c>
      <c r="F141" s="52"/>
      <c r="M141" s="52"/>
      <c r="O141" s="63">
        <f t="shared" si="8"/>
        <v>83.333333333333343</v>
      </c>
    </row>
    <row r="142" spans="1:15" x14ac:dyDescent="0.3">
      <c r="A142">
        <v>21</v>
      </c>
      <c r="B142" t="s">
        <v>450</v>
      </c>
      <c r="C142" s="49">
        <v>6</v>
      </c>
      <c r="D142" s="43">
        <f t="shared" si="7"/>
        <v>15</v>
      </c>
      <c r="F142" s="52"/>
      <c r="M142" s="52"/>
      <c r="O142" s="63">
        <f t="shared" si="8"/>
        <v>80</v>
      </c>
    </row>
    <row r="143" spans="1:15" x14ac:dyDescent="0.3">
      <c r="A143">
        <v>21</v>
      </c>
      <c r="B143" t="s">
        <v>453</v>
      </c>
      <c r="C143" s="49">
        <v>6</v>
      </c>
      <c r="D143" s="43">
        <f t="shared" si="7"/>
        <v>15</v>
      </c>
      <c r="F143" s="52"/>
      <c r="M143" s="52"/>
      <c r="O143" s="63">
        <f t="shared" si="8"/>
        <v>80</v>
      </c>
    </row>
    <row r="144" spans="1:15" x14ac:dyDescent="0.3">
      <c r="A144">
        <v>24</v>
      </c>
      <c r="B144" t="s">
        <v>288</v>
      </c>
      <c r="C144" s="49">
        <v>7</v>
      </c>
      <c r="D144" s="43">
        <f t="shared" si="7"/>
        <v>12</v>
      </c>
      <c r="F144" s="52"/>
      <c r="M144" s="52"/>
      <c r="O144" s="63">
        <f t="shared" si="8"/>
        <v>76.666666666666671</v>
      </c>
    </row>
    <row r="145" spans="1:15" x14ac:dyDescent="0.3">
      <c r="A145">
        <v>24</v>
      </c>
      <c r="B145" t="s">
        <v>45</v>
      </c>
      <c r="C145" s="49">
        <v>7</v>
      </c>
      <c r="D145" s="43">
        <f t="shared" si="7"/>
        <v>12</v>
      </c>
      <c r="F145" s="52"/>
      <c r="M145" s="52"/>
      <c r="O145" s="63">
        <f t="shared" si="8"/>
        <v>76.666666666666671</v>
      </c>
    </row>
    <row r="146" spans="1:15" x14ac:dyDescent="0.3">
      <c r="A146">
        <v>24</v>
      </c>
      <c r="B146" t="s">
        <v>353</v>
      </c>
      <c r="C146" s="49">
        <v>7</v>
      </c>
      <c r="D146" s="43">
        <f t="shared" si="7"/>
        <v>12</v>
      </c>
      <c r="F146" s="52"/>
      <c r="M146" s="52"/>
      <c r="O146" s="63">
        <f t="shared" si="8"/>
        <v>76.666666666666671</v>
      </c>
    </row>
    <row r="147" spans="1:15" x14ac:dyDescent="0.3">
      <c r="A147">
        <v>27</v>
      </c>
      <c r="B147" t="s">
        <v>444</v>
      </c>
      <c r="C147" s="49">
        <v>8</v>
      </c>
      <c r="D147" s="43">
        <f t="shared" si="7"/>
        <v>9</v>
      </c>
      <c r="F147" s="52"/>
      <c r="M147" s="52"/>
      <c r="O147" s="63">
        <f t="shared" si="8"/>
        <v>73.333333333333329</v>
      </c>
    </row>
    <row r="148" spans="1:15" x14ac:dyDescent="0.3">
      <c r="A148">
        <v>27</v>
      </c>
      <c r="B148" t="s">
        <v>138</v>
      </c>
      <c r="C148" s="49">
        <v>8</v>
      </c>
      <c r="D148" s="43">
        <f t="shared" si="7"/>
        <v>9</v>
      </c>
      <c r="F148" s="52"/>
      <c r="M148" s="52"/>
      <c r="O148" s="63">
        <f t="shared" si="8"/>
        <v>73.333333333333329</v>
      </c>
    </row>
    <row r="149" spans="1:15" x14ac:dyDescent="0.3">
      <c r="A149">
        <v>27</v>
      </c>
      <c r="B149" t="s">
        <v>447</v>
      </c>
      <c r="C149" s="49">
        <v>8</v>
      </c>
      <c r="D149" s="43">
        <f t="shared" si="7"/>
        <v>9</v>
      </c>
      <c r="F149" s="52"/>
      <c r="M149" s="52"/>
      <c r="O149" s="63">
        <f t="shared" si="8"/>
        <v>73.333333333333329</v>
      </c>
    </row>
    <row r="150" spans="1:15" x14ac:dyDescent="0.3">
      <c r="A150">
        <v>29</v>
      </c>
      <c r="B150" t="s">
        <v>210</v>
      </c>
      <c r="C150" s="49">
        <v>9</v>
      </c>
      <c r="D150" s="43">
        <f t="shared" si="7"/>
        <v>7</v>
      </c>
      <c r="F150" s="52"/>
      <c r="M150" s="52"/>
      <c r="O150" s="63">
        <f t="shared" si="8"/>
        <v>70</v>
      </c>
    </row>
    <row r="151" spans="1:15" x14ac:dyDescent="0.3">
      <c r="A151">
        <v>29</v>
      </c>
      <c r="B151" t="s">
        <v>456</v>
      </c>
      <c r="C151" s="49">
        <v>9</v>
      </c>
      <c r="D151" s="43">
        <f t="shared" si="7"/>
        <v>7</v>
      </c>
      <c r="F151" s="52"/>
      <c r="M151" s="52"/>
      <c r="O151" s="63">
        <f t="shared" si="8"/>
        <v>70</v>
      </c>
    </row>
    <row r="152" spans="1:15" x14ac:dyDescent="0.3">
      <c r="A152">
        <v>30</v>
      </c>
      <c r="B152" t="s">
        <v>442</v>
      </c>
      <c r="C152" s="49">
        <v>10</v>
      </c>
      <c r="D152" s="43">
        <f t="shared" si="7"/>
        <v>6</v>
      </c>
      <c r="F152" s="52"/>
      <c r="M152" s="52"/>
      <c r="O152" s="63">
        <f t="shared" si="8"/>
        <v>66.666666666666657</v>
      </c>
    </row>
    <row r="153" spans="1:15" x14ac:dyDescent="0.3">
      <c r="A153">
        <v>31</v>
      </c>
      <c r="B153" t="s">
        <v>235</v>
      </c>
      <c r="C153" s="49">
        <v>14</v>
      </c>
      <c r="D153" s="43">
        <f t="shared" si="7"/>
        <v>5</v>
      </c>
      <c r="F153" s="52"/>
      <c r="M153" s="52"/>
      <c r="O153" s="63">
        <f t="shared" si="8"/>
        <v>53.333333333333336</v>
      </c>
    </row>
    <row r="154" spans="1:15" x14ac:dyDescent="0.3">
      <c r="A154">
        <v>32</v>
      </c>
      <c r="B154" t="s">
        <v>452</v>
      </c>
      <c r="C154" s="49">
        <v>15</v>
      </c>
      <c r="D154" s="43">
        <f t="shared" si="7"/>
        <v>4</v>
      </c>
      <c r="F154" s="52"/>
      <c r="M154" s="52"/>
      <c r="O154" s="63">
        <f t="shared" si="8"/>
        <v>50</v>
      </c>
    </row>
    <row r="155" spans="1:15" x14ac:dyDescent="0.3">
      <c r="A155">
        <v>34</v>
      </c>
      <c r="B155" t="s">
        <v>443</v>
      </c>
      <c r="C155" s="49">
        <v>22</v>
      </c>
      <c r="D155" s="43">
        <f t="shared" si="7"/>
        <v>2</v>
      </c>
      <c r="F155" s="52"/>
      <c r="M155" s="52"/>
      <c r="O155" s="63">
        <f t="shared" si="8"/>
        <v>26.666666666666668</v>
      </c>
    </row>
    <row r="156" spans="1:15" x14ac:dyDescent="0.3">
      <c r="A156">
        <v>34</v>
      </c>
      <c r="B156" t="s">
        <v>457</v>
      </c>
      <c r="C156" s="49">
        <v>22</v>
      </c>
      <c r="D156" s="43">
        <f t="shared" si="7"/>
        <v>2</v>
      </c>
      <c r="F156" s="52"/>
      <c r="M156" s="52"/>
      <c r="O156" s="63">
        <f t="shared" si="8"/>
        <v>26.666666666666668</v>
      </c>
    </row>
    <row r="157" spans="1:15" x14ac:dyDescent="0.3">
      <c r="A157">
        <v>35</v>
      </c>
      <c r="B157" t="s">
        <v>458</v>
      </c>
      <c r="C157" s="49">
        <v>26</v>
      </c>
      <c r="D157" s="43">
        <f t="shared" si="7"/>
        <v>1</v>
      </c>
      <c r="F157" s="52"/>
      <c r="M157" s="52"/>
      <c r="O157" s="63">
        <f t="shared" si="8"/>
        <v>13.333333333333334</v>
      </c>
    </row>
    <row r="158" spans="1:15" x14ac:dyDescent="0.3">
      <c r="B158" t="s">
        <v>445</v>
      </c>
      <c r="C158" s="49"/>
      <c r="F158" s="52"/>
      <c r="M158" s="52"/>
    </row>
    <row r="159" spans="1:15" x14ac:dyDescent="0.3">
      <c r="B159" t="s">
        <v>455</v>
      </c>
      <c r="C159" s="49"/>
      <c r="F159" s="52"/>
      <c r="M159" s="52"/>
    </row>
    <row r="160" spans="1:15" x14ac:dyDescent="0.3">
      <c r="B160" t="s">
        <v>500</v>
      </c>
      <c r="C160" s="49"/>
      <c r="F160" s="52"/>
      <c r="M160" s="52"/>
    </row>
    <row r="163" spans="2:13" x14ac:dyDescent="0.3">
      <c r="B163" t="s">
        <v>445</v>
      </c>
      <c r="C163" s="49">
        <v>0</v>
      </c>
      <c r="D163" s="53"/>
      <c r="F163" s="52"/>
      <c r="G163" s="52"/>
      <c r="H163" s="52"/>
      <c r="I163" s="52"/>
      <c r="J163" s="52"/>
      <c r="K163" s="52"/>
      <c r="L163" s="52"/>
      <c r="M163" s="52"/>
    </row>
    <row r="164" spans="2:13" x14ac:dyDescent="0.3">
      <c r="B164" t="s">
        <v>455</v>
      </c>
      <c r="C164" s="49">
        <v>0</v>
      </c>
      <c r="D164" s="53"/>
      <c r="F164" s="52"/>
      <c r="G164" s="52"/>
      <c r="H164" s="52"/>
      <c r="I164" s="52"/>
      <c r="J164" s="52"/>
      <c r="K164" s="52"/>
      <c r="L164" s="52"/>
      <c r="M164" s="52"/>
    </row>
    <row r="165" spans="2:13" x14ac:dyDescent="0.3">
      <c r="B165" t="s">
        <v>500</v>
      </c>
      <c r="C165" s="49">
        <v>0</v>
      </c>
      <c r="D165" s="53"/>
      <c r="F165" s="52"/>
      <c r="G165" s="52"/>
      <c r="H165" s="52"/>
      <c r="I165" s="52"/>
      <c r="J165" s="52"/>
      <c r="K165" s="52"/>
      <c r="L165" s="52"/>
      <c r="M165" s="52"/>
    </row>
    <row r="166" spans="2:13" x14ac:dyDescent="0.3">
      <c r="B166" t="s">
        <v>458</v>
      </c>
      <c r="C166" s="49">
        <v>301.32402777777776</v>
      </c>
      <c r="D166" s="53"/>
      <c r="F166" s="52"/>
      <c r="G166" s="52"/>
      <c r="H166" s="52"/>
      <c r="I166" s="52"/>
      <c r="J166" s="52"/>
      <c r="K166" s="52"/>
      <c r="L166" s="52"/>
      <c r="M166" s="52"/>
    </row>
    <row r="167" spans="2:13" x14ac:dyDescent="0.3">
      <c r="B167" t="s">
        <v>443</v>
      </c>
      <c r="C167" s="49">
        <v>1215.6089722222221</v>
      </c>
      <c r="D167" s="53"/>
      <c r="F167" s="52"/>
      <c r="G167" s="52"/>
      <c r="H167" s="52"/>
      <c r="I167" s="52"/>
      <c r="J167" s="52"/>
      <c r="K167" s="52"/>
      <c r="L167" s="52"/>
      <c r="M167" s="52"/>
    </row>
    <row r="168" spans="2:13" x14ac:dyDescent="0.3">
      <c r="B168" t="s">
        <v>452</v>
      </c>
      <c r="C168" s="49">
        <v>2006.7844827586205</v>
      </c>
      <c r="D168" s="53"/>
      <c r="F168" s="52"/>
      <c r="M168" s="52"/>
    </row>
    <row r="169" spans="2:13" x14ac:dyDescent="0.3">
      <c r="B169" t="s">
        <v>447</v>
      </c>
      <c r="C169" s="49">
        <v>2099.0719827586208</v>
      </c>
      <c r="D169" s="53"/>
      <c r="F169" s="52"/>
      <c r="M169" s="52"/>
    </row>
    <row r="170" spans="2:13" x14ac:dyDescent="0.3">
      <c r="B170" t="s">
        <v>210</v>
      </c>
      <c r="C170" s="49">
        <v>2769.8313611111107</v>
      </c>
      <c r="D170" s="53"/>
      <c r="F170" s="52"/>
      <c r="M170" s="52"/>
    </row>
    <row r="171" spans="2:13" x14ac:dyDescent="0.3">
      <c r="B171" t="s">
        <v>457</v>
      </c>
      <c r="C171" s="49">
        <v>3332.6196551724142</v>
      </c>
      <c r="D171" s="53"/>
      <c r="F171" s="52"/>
      <c r="M171" s="52"/>
    </row>
    <row r="172" spans="2:13" x14ac:dyDescent="0.3">
      <c r="B172" t="s">
        <v>187</v>
      </c>
      <c r="C172" s="49">
        <v>3355.883928571428</v>
      </c>
      <c r="D172" s="53"/>
      <c r="F172" s="52"/>
      <c r="M172" s="52"/>
    </row>
    <row r="173" spans="2:13" x14ac:dyDescent="0.3">
      <c r="B173" t="s">
        <v>451</v>
      </c>
      <c r="C173" s="49">
        <v>3655.7755128205131</v>
      </c>
      <c r="D173" s="53"/>
      <c r="F173" s="52"/>
      <c r="M173" s="52"/>
    </row>
    <row r="174" spans="2:13" x14ac:dyDescent="0.3">
      <c r="B174" t="s">
        <v>235</v>
      </c>
      <c r="C174" s="49">
        <v>3869.7260277777777</v>
      </c>
      <c r="D174" s="53"/>
      <c r="F174" s="52"/>
      <c r="M174" s="52"/>
    </row>
    <row r="175" spans="2:13" x14ac:dyDescent="0.3">
      <c r="B175" t="s">
        <v>453</v>
      </c>
      <c r="C175" s="49">
        <v>4237.8200320512824</v>
      </c>
      <c r="D175" s="53"/>
      <c r="F175" s="52"/>
      <c r="M175" s="52"/>
    </row>
    <row r="176" spans="2:13" x14ac:dyDescent="0.3">
      <c r="B176" t="s">
        <v>304</v>
      </c>
      <c r="C176" s="49">
        <v>4439.0219907407409</v>
      </c>
      <c r="D176" s="53"/>
      <c r="F176" s="52"/>
      <c r="M176" s="52"/>
    </row>
    <row r="177" spans="2:13" x14ac:dyDescent="0.3">
      <c r="B177" t="s">
        <v>441</v>
      </c>
      <c r="C177" s="49">
        <v>4809.5549999999985</v>
      </c>
      <c r="D177" s="53"/>
      <c r="F177" s="52"/>
      <c r="M177" s="52"/>
    </row>
    <row r="178" spans="2:13" x14ac:dyDescent="0.3">
      <c r="B178" t="s">
        <v>446</v>
      </c>
      <c r="C178" s="49">
        <v>5187.0457246376809</v>
      </c>
      <c r="D178" s="53"/>
      <c r="F178" s="52"/>
      <c r="M178" s="52"/>
    </row>
    <row r="179" spans="2:13" x14ac:dyDescent="0.3">
      <c r="B179" t="s">
        <v>450</v>
      </c>
      <c r="C179" s="49">
        <v>5274.1465517241386</v>
      </c>
      <c r="D179" s="53"/>
      <c r="F179" s="52"/>
      <c r="M179" s="52"/>
    </row>
    <row r="180" spans="2:13" x14ac:dyDescent="0.3">
      <c r="B180" t="s">
        <v>177</v>
      </c>
      <c r="C180" s="49">
        <v>6373.2588888888868</v>
      </c>
      <c r="D180" s="53"/>
      <c r="F180" s="52"/>
      <c r="M180" s="52"/>
    </row>
    <row r="181" spans="2:13" x14ac:dyDescent="0.3">
      <c r="B181" t="s">
        <v>444</v>
      </c>
      <c r="C181" s="49">
        <v>6745.8043452380953</v>
      </c>
      <c r="D181" s="53"/>
      <c r="F181" s="52"/>
      <c r="M181" s="52"/>
    </row>
    <row r="182" spans="2:13" x14ac:dyDescent="0.3">
      <c r="B182" t="s">
        <v>454</v>
      </c>
      <c r="C182" s="49">
        <v>6754.4303571428545</v>
      </c>
      <c r="D182" s="53"/>
      <c r="F182" s="52"/>
      <c r="M182" s="52"/>
    </row>
    <row r="183" spans="2:13" x14ac:dyDescent="0.3">
      <c r="B183" t="s">
        <v>448</v>
      </c>
      <c r="C183" s="49">
        <v>6968.4734027777777</v>
      </c>
      <c r="D183" s="53"/>
      <c r="F183" s="52"/>
      <c r="M183" s="52"/>
    </row>
    <row r="184" spans="2:13" x14ac:dyDescent="0.3">
      <c r="B184" t="s">
        <v>353</v>
      </c>
      <c r="C184" s="49">
        <v>7024.084404761903</v>
      </c>
      <c r="D184" s="53"/>
      <c r="F184" s="52"/>
      <c r="M184" s="52"/>
    </row>
    <row r="185" spans="2:13" x14ac:dyDescent="0.3">
      <c r="B185" t="s">
        <v>318</v>
      </c>
      <c r="C185" s="49">
        <v>7261.4848611111111</v>
      </c>
      <c r="D185" s="53"/>
      <c r="F185" s="52"/>
      <c r="M185" s="52"/>
    </row>
    <row r="186" spans="2:13" x14ac:dyDescent="0.3">
      <c r="B186" t="s">
        <v>138</v>
      </c>
      <c r="C186" s="49">
        <v>8226.7181111111113</v>
      </c>
      <c r="D186" s="53"/>
      <c r="F186" s="52"/>
      <c r="M186" s="52"/>
    </row>
    <row r="187" spans="2:13" x14ac:dyDescent="0.3">
      <c r="B187" t="s">
        <v>3</v>
      </c>
      <c r="C187" s="49">
        <v>8509.7649107142861</v>
      </c>
      <c r="D187" s="53"/>
      <c r="F187" s="52"/>
      <c r="M187" s="52"/>
    </row>
    <row r="188" spans="2:13" x14ac:dyDescent="0.3">
      <c r="B188" t="s">
        <v>250</v>
      </c>
      <c r="C188" s="49">
        <v>8654.14857142857</v>
      </c>
      <c r="D188" s="53"/>
      <c r="F188" s="52"/>
      <c r="M188" s="52"/>
    </row>
    <row r="189" spans="2:13" x14ac:dyDescent="0.3">
      <c r="B189" t="s">
        <v>385</v>
      </c>
      <c r="C189" s="49">
        <v>8740.4684523809519</v>
      </c>
      <c r="D189" s="53"/>
      <c r="F189" s="52"/>
      <c r="M189" s="52"/>
    </row>
    <row r="190" spans="2:13" x14ac:dyDescent="0.3">
      <c r="B190" t="s">
        <v>333</v>
      </c>
      <c r="C190" s="49">
        <v>9145.1447839506181</v>
      </c>
      <c r="D190" s="53"/>
      <c r="F190" s="52"/>
      <c r="M190" s="52"/>
    </row>
    <row r="191" spans="2:13" x14ac:dyDescent="0.3">
      <c r="B191" t="s">
        <v>449</v>
      </c>
      <c r="C191" s="49">
        <v>9184.3301488095258</v>
      </c>
      <c r="D191" s="53"/>
      <c r="F191" s="52"/>
      <c r="M191" s="52"/>
    </row>
    <row r="192" spans="2:13" x14ac:dyDescent="0.3">
      <c r="B192" t="s">
        <v>288</v>
      </c>
      <c r="C192" s="49">
        <v>9421.012270114943</v>
      </c>
      <c r="D192" s="53"/>
      <c r="F192" s="52"/>
      <c r="M192" s="52"/>
    </row>
    <row r="193" spans="1:15" x14ac:dyDescent="0.3">
      <c r="B193" t="s">
        <v>459</v>
      </c>
      <c r="C193" s="49">
        <v>9451.9023888888896</v>
      </c>
      <c r="D193" s="53"/>
      <c r="F193" s="52"/>
      <c r="M193" s="52"/>
    </row>
    <row r="194" spans="1:15" x14ac:dyDescent="0.3">
      <c r="B194" t="s">
        <v>140</v>
      </c>
      <c r="C194" s="49">
        <v>12131.860972222221</v>
      </c>
      <c r="D194" s="53"/>
      <c r="F194" s="52"/>
      <c r="M194" s="52"/>
    </row>
    <row r="195" spans="1:15" x14ac:dyDescent="0.3">
      <c r="B195" t="s">
        <v>442</v>
      </c>
      <c r="C195" s="49">
        <v>14076.754433333332</v>
      </c>
      <c r="D195" s="53"/>
      <c r="F195" s="52"/>
      <c r="M195" s="52"/>
    </row>
    <row r="196" spans="1:15" x14ac:dyDescent="0.3">
      <c r="B196" t="s">
        <v>45</v>
      </c>
      <c r="C196" s="49">
        <v>15310.844109195406</v>
      </c>
      <c r="D196" s="53"/>
      <c r="F196" s="52"/>
      <c r="M196" s="52"/>
    </row>
    <row r="197" spans="1:15" x14ac:dyDescent="0.3">
      <c r="B197" t="s">
        <v>76</v>
      </c>
      <c r="C197" s="49">
        <v>16195.718083333331</v>
      </c>
      <c r="D197" s="53"/>
      <c r="F197" s="52"/>
      <c r="M197" s="52"/>
    </row>
    <row r="198" spans="1:15" x14ac:dyDescent="0.3">
      <c r="B198" t="s">
        <v>415</v>
      </c>
      <c r="C198" s="49">
        <v>21686.197561728393</v>
      </c>
      <c r="D198" s="53"/>
      <c r="F198" s="52"/>
      <c r="M198" s="52"/>
    </row>
    <row r="199" spans="1:15" x14ac:dyDescent="0.3">
      <c r="B199" t="s">
        <v>456</v>
      </c>
      <c r="C199" s="49">
        <v>39105.942701149419</v>
      </c>
      <c r="D199" s="53"/>
      <c r="F199" s="52"/>
      <c r="M199" s="52"/>
    </row>
    <row r="200" spans="1:15" x14ac:dyDescent="0.3">
      <c r="B200" t="s">
        <v>107</v>
      </c>
      <c r="C200" s="49">
        <v>42399.069827586209</v>
      </c>
      <c r="D200" s="53"/>
      <c r="F200" s="52"/>
      <c r="M200" s="52"/>
    </row>
    <row r="203" spans="1:15" x14ac:dyDescent="0.3">
      <c r="B203" t="s">
        <v>445</v>
      </c>
      <c r="C203" s="53">
        <v>0</v>
      </c>
      <c r="F203" s="52"/>
      <c r="G203" s="52"/>
      <c r="H203" s="52"/>
      <c r="I203" s="52"/>
      <c r="J203" s="52"/>
      <c r="K203" s="52"/>
      <c r="L203" s="52"/>
      <c r="M203" s="52"/>
    </row>
    <row r="204" spans="1:15" x14ac:dyDescent="0.3">
      <c r="B204" t="s">
        <v>455</v>
      </c>
      <c r="C204" s="53">
        <v>0</v>
      </c>
      <c r="F204" s="52"/>
      <c r="G204" s="52"/>
      <c r="H204" s="52"/>
      <c r="I204" s="52"/>
      <c r="J204" s="52"/>
      <c r="K204" s="52"/>
      <c r="L204" s="52"/>
      <c r="M204" s="52"/>
    </row>
    <row r="205" spans="1:15" x14ac:dyDescent="0.3">
      <c r="B205" t="s">
        <v>500</v>
      </c>
      <c r="C205" s="53">
        <v>0</v>
      </c>
      <c r="F205" s="52"/>
      <c r="G205" s="52"/>
      <c r="H205" s="52"/>
      <c r="I205" s="52"/>
      <c r="J205" s="52"/>
      <c r="K205" s="52"/>
      <c r="L205" s="52"/>
      <c r="M205" s="52"/>
    </row>
    <row r="206" spans="1:15" x14ac:dyDescent="0.3">
      <c r="A206">
        <v>35</v>
      </c>
      <c r="B206" t="s">
        <v>458</v>
      </c>
      <c r="C206" s="53">
        <v>1179.9069444444442</v>
      </c>
      <c r="D206">
        <f>36-A206</f>
        <v>1</v>
      </c>
      <c r="F206" s="52"/>
      <c r="G206" s="52"/>
      <c r="H206" s="52"/>
      <c r="I206" s="52"/>
      <c r="J206" s="52"/>
      <c r="K206" s="52"/>
      <c r="L206" s="52"/>
      <c r="M206" s="52"/>
      <c r="O206" s="64">
        <f>+C206/C$240*100</f>
        <v>5.8645961636731201</v>
      </c>
    </row>
    <row r="207" spans="1:15" x14ac:dyDescent="0.3">
      <c r="A207">
        <v>33</v>
      </c>
      <c r="B207" t="s">
        <v>187</v>
      </c>
      <c r="C207" s="53">
        <v>1885.5771604938273</v>
      </c>
      <c r="D207">
        <f t="shared" ref="D207:D240" si="9">36-A207</f>
        <v>3</v>
      </c>
      <c r="F207" s="52"/>
      <c r="G207" s="52"/>
      <c r="H207" s="52"/>
      <c r="I207" s="52"/>
      <c r="J207" s="52"/>
      <c r="K207" s="52"/>
      <c r="L207" s="52"/>
      <c r="M207" s="52"/>
      <c r="O207" s="64">
        <f t="shared" ref="O207:O240" si="10">+C207/C$240*100</f>
        <v>9.3720514433860291</v>
      </c>
    </row>
    <row r="208" spans="1:15" x14ac:dyDescent="0.3">
      <c r="A208">
        <v>31</v>
      </c>
      <c r="B208" t="s">
        <v>447</v>
      </c>
      <c r="C208" s="53">
        <v>2283.5168750000003</v>
      </c>
      <c r="D208">
        <f t="shared" si="9"/>
        <v>5</v>
      </c>
      <c r="F208" s="52"/>
      <c r="M208" s="52"/>
      <c r="O208" s="64">
        <f t="shared" si="10"/>
        <v>11.34996651037881</v>
      </c>
    </row>
    <row r="209" spans="1:15" x14ac:dyDescent="0.3">
      <c r="A209">
        <v>29</v>
      </c>
      <c r="B209" t="s">
        <v>451</v>
      </c>
      <c r="C209" s="53">
        <v>2747.6182608695658</v>
      </c>
      <c r="D209">
        <f t="shared" si="9"/>
        <v>7</v>
      </c>
      <c r="F209" s="52"/>
      <c r="M209" s="52"/>
      <c r="O209" s="64">
        <f t="shared" si="10"/>
        <v>13.656730802208255</v>
      </c>
    </row>
    <row r="210" spans="1:15" x14ac:dyDescent="0.3">
      <c r="A210">
        <v>27</v>
      </c>
      <c r="B210" t="s">
        <v>452</v>
      </c>
      <c r="C210" s="53">
        <v>3201.0320512820513</v>
      </c>
      <c r="D210">
        <f t="shared" si="9"/>
        <v>9</v>
      </c>
      <c r="F210" s="52"/>
      <c r="M210" s="52"/>
      <c r="O210" s="64">
        <f t="shared" si="10"/>
        <v>15.910373590166907</v>
      </c>
    </row>
    <row r="211" spans="1:15" x14ac:dyDescent="0.3">
      <c r="A211">
        <v>25</v>
      </c>
      <c r="B211" t="s">
        <v>210</v>
      </c>
      <c r="C211" s="53">
        <v>3308.4868421052633</v>
      </c>
      <c r="D211">
        <f t="shared" si="9"/>
        <v>11</v>
      </c>
      <c r="F211" s="52"/>
      <c r="M211" s="52"/>
      <c r="O211" s="64">
        <f t="shared" si="10"/>
        <v>16.444465670052768</v>
      </c>
    </row>
    <row r="212" spans="1:15" x14ac:dyDescent="0.3">
      <c r="A212">
        <v>23</v>
      </c>
      <c r="B212" t="s">
        <v>443</v>
      </c>
      <c r="C212" s="53">
        <v>3958.9379761904761</v>
      </c>
      <c r="D212">
        <f t="shared" si="9"/>
        <v>13</v>
      </c>
      <c r="F212" s="52"/>
      <c r="M212" s="52"/>
      <c r="O212" s="64">
        <f t="shared" si="10"/>
        <v>19.677460647812715</v>
      </c>
    </row>
    <row r="213" spans="1:15" x14ac:dyDescent="0.3">
      <c r="A213">
        <v>21</v>
      </c>
      <c r="B213" t="s">
        <v>304</v>
      </c>
      <c r="C213" s="53">
        <v>4105.0597222222223</v>
      </c>
      <c r="D213">
        <f t="shared" si="9"/>
        <v>15</v>
      </c>
      <c r="F213" s="52"/>
      <c r="M213" s="52"/>
      <c r="O213" s="64">
        <f t="shared" si="10"/>
        <v>20.403742525584427</v>
      </c>
    </row>
    <row r="214" spans="1:15" x14ac:dyDescent="0.3">
      <c r="A214">
        <v>19</v>
      </c>
      <c r="B214" t="s">
        <v>453</v>
      </c>
      <c r="C214" s="53">
        <v>4132.4554824561401</v>
      </c>
      <c r="D214">
        <f t="shared" si="9"/>
        <v>17</v>
      </c>
      <c r="F214" s="52"/>
      <c r="M214" s="52"/>
      <c r="O214" s="64">
        <f t="shared" si="10"/>
        <v>20.539910103142329</v>
      </c>
    </row>
    <row r="215" spans="1:15" x14ac:dyDescent="0.3">
      <c r="A215">
        <v>17</v>
      </c>
      <c r="B215" t="s">
        <v>441</v>
      </c>
      <c r="C215" s="53">
        <v>4705.0479166666664</v>
      </c>
      <c r="D215">
        <f t="shared" si="9"/>
        <v>19</v>
      </c>
      <c r="F215" s="52"/>
      <c r="M215" s="52"/>
      <c r="O215" s="64">
        <f t="shared" si="10"/>
        <v>23.385917077531669</v>
      </c>
    </row>
    <row r="216" spans="1:15" x14ac:dyDescent="0.3">
      <c r="A216">
        <v>15</v>
      </c>
      <c r="B216" t="s">
        <v>446</v>
      </c>
      <c r="C216" s="53">
        <v>4911.6059649122799</v>
      </c>
      <c r="D216">
        <f t="shared" si="9"/>
        <v>21</v>
      </c>
      <c r="F216" s="52"/>
      <c r="M216" s="52"/>
      <c r="O216" s="64">
        <f t="shared" si="10"/>
        <v>24.412590869919089</v>
      </c>
    </row>
    <row r="217" spans="1:15" x14ac:dyDescent="0.3">
      <c r="A217">
        <v>13</v>
      </c>
      <c r="B217" t="s">
        <v>177</v>
      </c>
      <c r="C217" s="53">
        <v>5266.1580246913582</v>
      </c>
      <c r="D217">
        <f t="shared" si="9"/>
        <v>23</v>
      </c>
      <c r="F217" s="52"/>
      <c r="M217" s="52"/>
      <c r="O217" s="64">
        <f t="shared" si="10"/>
        <v>26.174852427403035</v>
      </c>
    </row>
    <row r="218" spans="1:15" x14ac:dyDescent="0.3">
      <c r="A218">
        <v>11</v>
      </c>
      <c r="B218" t="s">
        <v>448</v>
      </c>
      <c r="C218" s="53">
        <v>5808.3085087719301</v>
      </c>
      <c r="D218">
        <f t="shared" si="9"/>
        <v>25</v>
      </c>
      <c r="F218" s="52"/>
      <c r="M218" s="52"/>
      <c r="O218" s="64">
        <f t="shared" si="10"/>
        <v>28.86955107634564</v>
      </c>
    </row>
    <row r="219" spans="1:15" x14ac:dyDescent="0.3">
      <c r="A219">
        <v>9</v>
      </c>
      <c r="B219" t="s">
        <v>450</v>
      </c>
      <c r="C219" s="53">
        <v>6193.193181818182</v>
      </c>
      <c r="D219">
        <f t="shared" si="9"/>
        <v>27</v>
      </c>
      <c r="F219" s="52"/>
      <c r="M219" s="52"/>
      <c r="O219" s="64">
        <f t="shared" si="10"/>
        <v>30.782577512567205</v>
      </c>
    </row>
    <row r="220" spans="1:15" x14ac:dyDescent="0.3">
      <c r="A220">
        <v>7</v>
      </c>
      <c r="B220" t="s">
        <v>235</v>
      </c>
      <c r="C220" s="53">
        <v>6195.9687222222228</v>
      </c>
      <c r="D220">
        <f t="shared" si="9"/>
        <v>29</v>
      </c>
      <c r="F220" s="52"/>
      <c r="M220" s="52"/>
      <c r="O220" s="64">
        <f t="shared" si="10"/>
        <v>30.796373027274786</v>
      </c>
    </row>
    <row r="221" spans="1:15" x14ac:dyDescent="0.3">
      <c r="A221">
        <v>5</v>
      </c>
      <c r="B221" t="s">
        <v>454</v>
      </c>
      <c r="C221" s="53">
        <v>6318.5275362318844</v>
      </c>
      <c r="D221">
        <f t="shared" si="9"/>
        <v>31</v>
      </c>
      <c r="F221" s="52"/>
      <c r="M221" s="52"/>
      <c r="O221" s="64">
        <f t="shared" si="10"/>
        <v>31.405537973586561</v>
      </c>
    </row>
    <row r="222" spans="1:15" x14ac:dyDescent="0.3">
      <c r="A222">
        <v>3</v>
      </c>
      <c r="B222" t="s">
        <v>353</v>
      </c>
      <c r="C222" s="53">
        <v>6629.4893750000001</v>
      </c>
      <c r="D222">
        <f t="shared" si="9"/>
        <v>33</v>
      </c>
      <c r="E222">
        <f>1130*6</f>
        <v>6780</v>
      </c>
      <c r="F222" s="52"/>
      <c r="M222" s="52"/>
      <c r="O222" s="64">
        <f t="shared" si="10"/>
        <v>32.951139188389902</v>
      </c>
    </row>
    <row r="223" spans="1:15" x14ac:dyDescent="0.3">
      <c r="A223">
        <v>1</v>
      </c>
      <c r="B223" t="s">
        <v>444</v>
      </c>
      <c r="C223" s="53">
        <v>6684.7399561403508</v>
      </c>
      <c r="D223">
        <f t="shared" si="9"/>
        <v>35</v>
      </c>
      <c r="E223">
        <f>+C223/1130</f>
        <v>5.9156990762303989</v>
      </c>
      <c r="F223" s="52"/>
      <c r="M223" s="52"/>
      <c r="O223" s="64">
        <f t="shared" si="10"/>
        <v>33.225756053492745</v>
      </c>
    </row>
    <row r="224" spans="1:15" x14ac:dyDescent="0.3">
      <c r="A224">
        <v>2</v>
      </c>
      <c r="B224" t="s">
        <v>3</v>
      </c>
      <c r="C224" s="53">
        <v>6872.4074382716044</v>
      </c>
      <c r="D224">
        <f t="shared" si="9"/>
        <v>34</v>
      </c>
      <c r="F224" s="52"/>
      <c r="M224" s="52"/>
      <c r="O224" s="64">
        <f t="shared" si="10"/>
        <v>34.158536389209274</v>
      </c>
    </row>
    <row r="225" spans="1:15" x14ac:dyDescent="0.3">
      <c r="A225">
        <v>4</v>
      </c>
      <c r="B225" t="s">
        <v>250</v>
      </c>
      <c r="C225" s="53">
        <v>6928.5958974358964</v>
      </c>
      <c r="D225">
        <f t="shared" si="9"/>
        <v>32</v>
      </c>
      <c r="F225" s="52"/>
      <c r="M225" s="52"/>
      <c r="O225" s="64">
        <f t="shared" si="10"/>
        <v>34.437814872660148</v>
      </c>
    </row>
    <row r="226" spans="1:15" x14ac:dyDescent="0.3">
      <c r="A226">
        <v>6</v>
      </c>
      <c r="B226" t="s">
        <v>318</v>
      </c>
      <c r="C226" s="53">
        <v>7635.3224074074078</v>
      </c>
      <c r="D226">
        <f t="shared" si="9"/>
        <v>30</v>
      </c>
      <c r="F226" s="52"/>
      <c r="M226" s="52"/>
      <c r="O226" s="64">
        <f t="shared" si="10"/>
        <v>37.950520343765355</v>
      </c>
    </row>
    <row r="227" spans="1:15" x14ac:dyDescent="0.3">
      <c r="A227">
        <v>8</v>
      </c>
      <c r="B227" t="s">
        <v>138</v>
      </c>
      <c r="C227" s="53">
        <v>7985.3433333333342</v>
      </c>
      <c r="D227">
        <f t="shared" si="9"/>
        <v>28</v>
      </c>
      <c r="F227" s="52"/>
      <c r="M227" s="52"/>
      <c r="O227" s="64">
        <f t="shared" si="10"/>
        <v>39.690260404670767</v>
      </c>
    </row>
    <row r="228" spans="1:15" x14ac:dyDescent="0.3">
      <c r="A228">
        <v>10</v>
      </c>
      <c r="B228" t="s">
        <v>385</v>
      </c>
      <c r="C228" s="53">
        <v>8821.5954861111113</v>
      </c>
      <c r="D228">
        <f t="shared" si="9"/>
        <v>26</v>
      </c>
      <c r="F228" s="52"/>
      <c r="M228" s="52"/>
      <c r="O228" s="64">
        <f t="shared" si="10"/>
        <v>43.846758669331045</v>
      </c>
    </row>
    <row r="229" spans="1:15" x14ac:dyDescent="0.3">
      <c r="A229">
        <v>12</v>
      </c>
      <c r="B229" t="s">
        <v>449</v>
      </c>
      <c r="C229" s="53">
        <v>9126.2532291666685</v>
      </c>
      <c r="D229">
        <f t="shared" si="9"/>
        <v>24</v>
      </c>
      <c r="E229">
        <f>1130*8</f>
        <v>9040</v>
      </c>
      <c r="F229" s="52"/>
      <c r="M229" s="52"/>
      <c r="O229" s="64">
        <f t="shared" si="10"/>
        <v>45.361026077934348</v>
      </c>
    </row>
    <row r="230" spans="1:15" x14ac:dyDescent="0.3">
      <c r="A230">
        <v>14</v>
      </c>
      <c r="B230" t="s">
        <v>456</v>
      </c>
      <c r="C230" s="53">
        <v>9165.9559166666677</v>
      </c>
      <c r="D230">
        <f t="shared" si="9"/>
        <v>22</v>
      </c>
      <c r="F230" s="52"/>
      <c r="M230" s="52"/>
      <c r="O230" s="64">
        <f t="shared" si="10"/>
        <v>45.558363867915439</v>
      </c>
    </row>
    <row r="231" spans="1:15" x14ac:dyDescent="0.3">
      <c r="A231">
        <v>16</v>
      </c>
      <c r="B231" t="s">
        <v>459</v>
      </c>
      <c r="C231" s="53">
        <v>9506.6952083333326</v>
      </c>
      <c r="D231">
        <f t="shared" si="9"/>
        <v>20</v>
      </c>
      <c r="F231" s="52"/>
      <c r="M231" s="52"/>
      <c r="O231" s="64">
        <f t="shared" si="10"/>
        <v>47.251970598624112</v>
      </c>
    </row>
    <row r="232" spans="1:15" x14ac:dyDescent="0.3">
      <c r="A232">
        <v>18</v>
      </c>
      <c r="B232" t="s">
        <v>415</v>
      </c>
      <c r="C232" s="53">
        <v>9599.9621590909082</v>
      </c>
      <c r="D232">
        <f t="shared" si="9"/>
        <v>18</v>
      </c>
      <c r="F232" s="52"/>
      <c r="M232" s="52"/>
      <c r="O232" s="64">
        <f t="shared" si="10"/>
        <v>47.715543598330385</v>
      </c>
    </row>
    <row r="233" spans="1:15" x14ac:dyDescent="0.3">
      <c r="A233">
        <v>20</v>
      </c>
      <c r="B233" t="s">
        <v>333</v>
      </c>
      <c r="C233" s="53">
        <v>9840.3712152777789</v>
      </c>
      <c r="D233">
        <f t="shared" si="9"/>
        <v>16</v>
      </c>
      <c r="F233" s="52"/>
      <c r="M233" s="52"/>
      <c r="O233" s="64">
        <f t="shared" si="10"/>
        <v>48.910470058645139</v>
      </c>
    </row>
    <row r="234" spans="1:15" x14ac:dyDescent="0.3">
      <c r="A234">
        <v>22</v>
      </c>
      <c r="B234" t="s">
        <v>457</v>
      </c>
      <c r="C234" s="53">
        <v>10289.161666666667</v>
      </c>
      <c r="D234">
        <f t="shared" si="9"/>
        <v>14</v>
      </c>
      <c r="F234" s="52"/>
      <c r="M234" s="52"/>
      <c r="O234" s="64">
        <f t="shared" si="10"/>
        <v>51.141133054486446</v>
      </c>
    </row>
    <row r="235" spans="1:15" x14ac:dyDescent="0.3">
      <c r="A235">
        <v>24</v>
      </c>
      <c r="B235" t="s">
        <v>288</v>
      </c>
      <c r="C235" s="53">
        <v>10545.747103174603</v>
      </c>
      <c r="D235">
        <f t="shared" si="9"/>
        <v>12</v>
      </c>
      <c r="F235" s="52"/>
      <c r="M235" s="52"/>
      <c r="O235" s="64">
        <f t="shared" si="10"/>
        <v>52.4164624130295</v>
      </c>
    </row>
    <row r="236" spans="1:15" x14ac:dyDescent="0.3">
      <c r="A236">
        <v>26</v>
      </c>
      <c r="B236" t="s">
        <v>140</v>
      </c>
      <c r="C236" s="53">
        <v>11726.846279761903</v>
      </c>
      <c r="D236">
        <f t="shared" si="9"/>
        <v>10</v>
      </c>
      <c r="F236" s="52"/>
      <c r="M236" s="52"/>
      <c r="O236" s="64">
        <f t="shared" si="10"/>
        <v>58.286984433893409</v>
      </c>
    </row>
    <row r="237" spans="1:15" x14ac:dyDescent="0.3">
      <c r="A237">
        <v>28</v>
      </c>
      <c r="B237" t="s">
        <v>45</v>
      </c>
      <c r="C237" s="53">
        <v>13614.284722222223</v>
      </c>
      <c r="D237">
        <f t="shared" si="9"/>
        <v>8</v>
      </c>
      <c r="F237" s="52"/>
      <c r="M237" s="52"/>
      <c r="O237" s="64">
        <f t="shared" si="10"/>
        <v>67.668287172164682</v>
      </c>
    </row>
    <row r="238" spans="1:15" x14ac:dyDescent="0.3">
      <c r="A238">
        <v>30</v>
      </c>
      <c r="B238" t="s">
        <v>76</v>
      </c>
      <c r="C238" s="53">
        <v>15141.925555555556</v>
      </c>
      <c r="D238">
        <f t="shared" si="9"/>
        <v>6</v>
      </c>
      <c r="F238" s="52"/>
      <c r="M238" s="52"/>
      <c r="O238" s="64">
        <f t="shared" si="10"/>
        <v>75.261255933659172</v>
      </c>
    </row>
    <row r="239" spans="1:15" x14ac:dyDescent="0.3">
      <c r="A239">
        <v>32</v>
      </c>
      <c r="B239" t="s">
        <v>107</v>
      </c>
      <c r="C239" s="53">
        <v>16393.700999999997</v>
      </c>
      <c r="D239">
        <f t="shared" si="9"/>
        <v>4</v>
      </c>
      <c r="F239" s="52"/>
      <c r="M239" s="52"/>
      <c r="O239" s="64">
        <f t="shared" si="10"/>
        <v>81.483066478833692</v>
      </c>
    </row>
    <row r="240" spans="1:15" x14ac:dyDescent="0.3">
      <c r="A240">
        <v>34</v>
      </c>
      <c r="B240" t="s">
        <v>442</v>
      </c>
      <c r="C240" s="53">
        <v>20119.150773809524</v>
      </c>
      <c r="D240">
        <f t="shared" si="9"/>
        <v>2</v>
      </c>
      <c r="F240" s="52"/>
      <c r="M240" s="52"/>
      <c r="O240" s="64">
        <f t="shared" si="10"/>
        <v>100</v>
      </c>
    </row>
    <row r="241" spans="1:15" x14ac:dyDescent="0.3">
      <c r="F241" s="52"/>
      <c r="M241" s="52"/>
    </row>
    <row r="242" spans="1:15" x14ac:dyDescent="0.3">
      <c r="B242" t="s">
        <v>445</v>
      </c>
      <c r="C242" s="26">
        <v>0</v>
      </c>
    </row>
    <row r="243" spans="1:15" x14ac:dyDescent="0.3">
      <c r="B243" t="s">
        <v>455</v>
      </c>
      <c r="C243" s="26">
        <v>0</v>
      </c>
    </row>
    <row r="244" spans="1:15" x14ac:dyDescent="0.3">
      <c r="B244" t="s">
        <v>500</v>
      </c>
      <c r="C244" s="26">
        <v>0</v>
      </c>
      <c r="F244" s="52"/>
      <c r="G244" s="52"/>
      <c r="H244" s="52"/>
      <c r="I244" s="52"/>
      <c r="J244" s="52"/>
      <c r="K244" s="52"/>
      <c r="L244" s="52"/>
      <c r="M244" s="52"/>
    </row>
    <row r="245" spans="1:15" x14ac:dyDescent="0.3">
      <c r="A245">
        <v>1</v>
      </c>
      <c r="B245" t="s">
        <v>443</v>
      </c>
      <c r="C245" s="26">
        <v>0</v>
      </c>
      <c r="D245" t="b">
        <f>+C245=C246</f>
        <v>0</v>
      </c>
      <c r="E245" s="43">
        <f>36-A245</f>
        <v>35</v>
      </c>
      <c r="F245" s="52"/>
      <c r="M245" s="52"/>
      <c r="O245" s="65">
        <f>(1-C245)*100</f>
        <v>100</v>
      </c>
    </row>
    <row r="246" spans="1:15" x14ac:dyDescent="0.3">
      <c r="A246">
        <v>2</v>
      </c>
      <c r="B246" t="s">
        <v>235</v>
      </c>
      <c r="C246" s="26">
        <v>0.11666666666666667</v>
      </c>
      <c r="D246" t="b">
        <f t="shared" ref="D246:D279" si="11">+C246=C247</f>
        <v>0</v>
      </c>
      <c r="E246" s="43">
        <f t="shared" ref="E246:E279" si="12">36-A246</f>
        <v>34</v>
      </c>
      <c r="F246" s="52"/>
      <c r="M246" s="52"/>
      <c r="O246" s="65">
        <f t="shared" ref="O246:O279" si="13">(1-C246)*100</f>
        <v>88.333333333333329</v>
      </c>
    </row>
    <row r="247" spans="1:15" x14ac:dyDescent="0.3">
      <c r="A247">
        <v>3</v>
      </c>
      <c r="B247" t="s">
        <v>457</v>
      </c>
      <c r="C247" s="26">
        <v>0.12280701754385964</v>
      </c>
      <c r="D247" t="b">
        <f t="shared" si="11"/>
        <v>0</v>
      </c>
      <c r="E247" s="43">
        <f t="shared" si="12"/>
        <v>33</v>
      </c>
      <c r="F247" s="52"/>
      <c r="M247" s="52"/>
      <c r="O247" s="65">
        <f t="shared" si="13"/>
        <v>87.719298245614041</v>
      </c>
    </row>
    <row r="248" spans="1:15" x14ac:dyDescent="0.3">
      <c r="A248">
        <v>4</v>
      </c>
      <c r="B248" t="s">
        <v>451</v>
      </c>
      <c r="C248" s="26">
        <v>0.13207547169811321</v>
      </c>
      <c r="D248" t="b">
        <f t="shared" si="11"/>
        <v>0</v>
      </c>
      <c r="E248" s="43">
        <f t="shared" si="12"/>
        <v>32</v>
      </c>
      <c r="F248" s="52"/>
      <c r="M248" s="52"/>
      <c r="O248" s="65">
        <f t="shared" si="13"/>
        <v>86.79245283018868</v>
      </c>
    </row>
    <row r="249" spans="1:15" x14ac:dyDescent="0.3">
      <c r="A249">
        <v>5</v>
      </c>
      <c r="B249" t="s">
        <v>333</v>
      </c>
      <c r="C249" s="26">
        <v>0.14035087719298245</v>
      </c>
      <c r="D249" t="b">
        <f t="shared" si="11"/>
        <v>0</v>
      </c>
      <c r="E249" s="43">
        <f t="shared" si="12"/>
        <v>31</v>
      </c>
      <c r="F249" s="52"/>
      <c r="M249" s="52"/>
      <c r="O249" s="65">
        <f t="shared" si="13"/>
        <v>85.964912280701753</v>
      </c>
    </row>
    <row r="250" spans="1:15" x14ac:dyDescent="0.3">
      <c r="A250">
        <v>6</v>
      </c>
      <c r="B250" t="s">
        <v>452</v>
      </c>
      <c r="C250" s="26">
        <v>0.17241379310344829</v>
      </c>
      <c r="D250" t="b">
        <f t="shared" si="11"/>
        <v>0</v>
      </c>
      <c r="E250" s="43">
        <f t="shared" si="12"/>
        <v>30</v>
      </c>
      <c r="F250" s="52"/>
      <c r="M250" s="52"/>
      <c r="O250" s="65">
        <f t="shared" si="13"/>
        <v>82.758620689655174</v>
      </c>
    </row>
    <row r="251" spans="1:15" x14ac:dyDescent="0.3">
      <c r="A251">
        <v>7</v>
      </c>
      <c r="B251" t="s">
        <v>444</v>
      </c>
      <c r="C251" s="26">
        <v>0.18181818181818182</v>
      </c>
      <c r="D251" t="b">
        <f t="shared" si="11"/>
        <v>0</v>
      </c>
      <c r="E251" s="43">
        <f t="shared" si="12"/>
        <v>29</v>
      </c>
      <c r="F251" s="52"/>
      <c r="M251" s="52"/>
      <c r="O251" s="65">
        <f t="shared" si="13"/>
        <v>81.818181818181813</v>
      </c>
    </row>
    <row r="252" spans="1:15" x14ac:dyDescent="0.3">
      <c r="A252">
        <v>9</v>
      </c>
      <c r="B252" t="s">
        <v>177</v>
      </c>
      <c r="C252" s="26">
        <v>0.18333333333333332</v>
      </c>
      <c r="D252" t="b">
        <f>+C252=C253</f>
        <v>1</v>
      </c>
      <c r="E252" s="43">
        <f t="shared" si="12"/>
        <v>27</v>
      </c>
      <c r="F252" s="52"/>
      <c r="M252" s="52"/>
      <c r="O252" s="65">
        <f t="shared" si="13"/>
        <v>81.666666666666671</v>
      </c>
    </row>
    <row r="253" spans="1:15" x14ac:dyDescent="0.3">
      <c r="A253">
        <v>9</v>
      </c>
      <c r="B253" t="s">
        <v>210</v>
      </c>
      <c r="C253" s="26">
        <v>0.18333333333333332</v>
      </c>
      <c r="D253" t="b">
        <f t="shared" si="11"/>
        <v>0</v>
      </c>
      <c r="E253" s="43">
        <f t="shared" si="12"/>
        <v>27</v>
      </c>
      <c r="F253" s="52"/>
      <c r="M253" s="52"/>
      <c r="O253" s="65">
        <f t="shared" si="13"/>
        <v>81.666666666666671</v>
      </c>
    </row>
    <row r="254" spans="1:15" x14ac:dyDescent="0.3">
      <c r="A254">
        <v>10</v>
      </c>
      <c r="B254" t="s">
        <v>453</v>
      </c>
      <c r="C254" s="26">
        <v>0.2</v>
      </c>
      <c r="D254" t="b">
        <f t="shared" si="11"/>
        <v>0</v>
      </c>
      <c r="E254" s="43">
        <f t="shared" si="12"/>
        <v>26</v>
      </c>
      <c r="F254" s="52"/>
      <c r="M254" s="52"/>
      <c r="O254" s="65">
        <f t="shared" si="13"/>
        <v>80</v>
      </c>
    </row>
    <row r="255" spans="1:15" x14ac:dyDescent="0.3">
      <c r="A255">
        <v>11</v>
      </c>
      <c r="B255" t="s">
        <v>446</v>
      </c>
      <c r="C255" s="26">
        <v>0.21276595744680851</v>
      </c>
      <c r="D255" t="b">
        <f t="shared" si="11"/>
        <v>0</v>
      </c>
      <c r="E255" s="43">
        <f t="shared" si="12"/>
        <v>25</v>
      </c>
      <c r="F255" s="52"/>
      <c r="M255" s="52"/>
      <c r="O255" s="65">
        <f t="shared" si="13"/>
        <v>78.723404255319153</v>
      </c>
    </row>
    <row r="256" spans="1:15" x14ac:dyDescent="0.3">
      <c r="A256">
        <v>12</v>
      </c>
      <c r="B256" t="s">
        <v>454</v>
      </c>
      <c r="C256" s="26">
        <v>0.21428571428571427</v>
      </c>
      <c r="D256" t="b">
        <f t="shared" si="11"/>
        <v>0</v>
      </c>
      <c r="E256" s="43">
        <f t="shared" si="12"/>
        <v>24</v>
      </c>
      <c r="F256" s="52"/>
      <c r="M256" s="52"/>
      <c r="O256" s="65">
        <f t="shared" si="13"/>
        <v>78.571428571428569</v>
      </c>
    </row>
    <row r="257" spans="1:15" x14ac:dyDescent="0.3">
      <c r="A257">
        <v>13</v>
      </c>
      <c r="B257" t="s">
        <v>458</v>
      </c>
      <c r="C257" s="26">
        <v>0.25</v>
      </c>
      <c r="D257" t="b">
        <f t="shared" si="11"/>
        <v>0</v>
      </c>
      <c r="E257" s="43">
        <f t="shared" si="12"/>
        <v>23</v>
      </c>
      <c r="F257" s="52"/>
      <c r="M257" s="52"/>
      <c r="O257" s="65">
        <f t="shared" si="13"/>
        <v>75</v>
      </c>
    </row>
    <row r="258" spans="1:15" x14ac:dyDescent="0.3">
      <c r="A258">
        <v>14</v>
      </c>
      <c r="B258" t="s">
        <v>3</v>
      </c>
      <c r="C258" s="26">
        <v>0.27777777777777779</v>
      </c>
      <c r="D258" t="b">
        <f t="shared" si="11"/>
        <v>0</v>
      </c>
      <c r="E258" s="43">
        <f t="shared" si="12"/>
        <v>22</v>
      </c>
      <c r="F258" s="52"/>
      <c r="M258" s="52"/>
      <c r="O258" s="65">
        <f t="shared" si="13"/>
        <v>72.222222222222214</v>
      </c>
    </row>
    <row r="259" spans="1:15" x14ac:dyDescent="0.3">
      <c r="A259">
        <v>15</v>
      </c>
      <c r="B259" t="s">
        <v>415</v>
      </c>
      <c r="C259" s="26">
        <v>0.2857142857142857</v>
      </c>
      <c r="D259" t="b">
        <f t="shared" si="11"/>
        <v>0</v>
      </c>
      <c r="E259" s="43">
        <f t="shared" si="12"/>
        <v>21</v>
      </c>
      <c r="F259" s="52"/>
      <c r="M259" s="52"/>
      <c r="O259" s="65">
        <f t="shared" si="13"/>
        <v>71.428571428571431</v>
      </c>
    </row>
    <row r="260" spans="1:15" x14ac:dyDescent="0.3">
      <c r="A260">
        <v>16</v>
      </c>
      <c r="B260" t="s">
        <v>318</v>
      </c>
      <c r="C260" s="26">
        <v>0.28846153846153844</v>
      </c>
      <c r="D260" t="b">
        <f t="shared" si="11"/>
        <v>0</v>
      </c>
      <c r="E260" s="43">
        <f t="shared" si="12"/>
        <v>20</v>
      </c>
      <c r="F260" s="52"/>
      <c r="M260" s="52"/>
      <c r="O260" s="65">
        <f t="shared" si="13"/>
        <v>71.15384615384616</v>
      </c>
    </row>
    <row r="261" spans="1:15" x14ac:dyDescent="0.3">
      <c r="A261">
        <v>17</v>
      </c>
      <c r="B261" t="s">
        <v>187</v>
      </c>
      <c r="C261" s="26">
        <v>0.29090909090909089</v>
      </c>
      <c r="D261" t="b">
        <f t="shared" si="11"/>
        <v>0</v>
      </c>
      <c r="E261" s="43">
        <f t="shared" si="12"/>
        <v>19</v>
      </c>
      <c r="F261" s="52"/>
      <c r="M261" s="52"/>
      <c r="O261" s="65">
        <f t="shared" si="13"/>
        <v>70.909090909090907</v>
      </c>
    </row>
    <row r="262" spans="1:15" x14ac:dyDescent="0.3">
      <c r="A262">
        <v>18</v>
      </c>
      <c r="B262" t="s">
        <v>450</v>
      </c>
      <c r="C262" s="26">
        <v>0.31034482758620691</v>
      </c>
      <c r="D262" t="b">
        <f t="shared" si="11"/>
        <v>0</v>
      </c>
      <c r="E262" s="43">
        <f t="shared" si="12"/>
        <v>18</v>
      </c>
      <c r="F262" s="52"/>
      <c r="M262" s="52"/>
      <c r="O262" s="65">
        <f t="shared" si="13"/>
        <v>68.965517241379317</v>
      </c>
    </row>
    <row r="263" spans="1:15" x14ac:dyDescent="0.3">
      <c r="A263">
        <v>19</v>
      </c>
      <c r="B263" t="s">
        <v>459</v>
      </c>
      <c r="C263" s="26">
        <v>0.33333333333333331</v>
      </c>
      <c r="D263" t="b">
        <f t="shared" si="11"/>
        <v>0</v>
      </c>
      <c r="E263" s="43">
        <f t="shared" si="12"/>
        <v>17</v>
      </c>
      <c r="F263" s="52"/>
      <c r="M263" s="52"/>
      <c r="O263" s="65">
        <f t="shared" si="13"/>
        <v>66.666666666666671</v>
      </c>
    </row>
    <row r="264" spans="1:15" x14ac:dyDescent="0.3">
      <c r="A264">
        <v>21</v>
      </c>
      <c r="B264" t="s">
        <v>441</v>
      </c>
      <c r="C264" s="26">
        <v>0.35714285714285715</v>
      </c>
      <c r="D264" t="b">
        <f t="shared" si="11"/>
        <v>1</v>
      </c>
      <c r="E264" s="43">
        <f t="shared" si="12"/>
        <v>15</v>
      </c>
      <c r="F264" s="52"/>
      <c r="M264" s="52"/>
      <c r="O264" s="65">
        <f t="shared" si="13"/>
        <v>64.285714285714278</v>
      </c>
    </row>
    <row r="265" spans="1:15" x14ac:dyDescent="0.3">
      <c r="A265">
        <v>21</v>
      </c>
      <c r="B265" t="s">
        <v>304</v>
      </c>
      <c r="C265" s="26">
        <v>0.35714285714285715</v>
      </c>
      <c r="D265" t="b">
        <f t="shared" si="11"/>
        <v>0</v>
      </c>
      <c r="E265" s="43">
        <f t="shared" si="12"/>
        <v>15</v>
      </c>
      <c r="F265" s="52"/>
      <c r="M265" s="52"/>
      <c r="O265" s="65">
        <f t="shared" si="13"/>
        <v>64.285714285714278</v>
      </c>
    </row>
    <row r="266" spans="1:15" x14ac:dyDescent="0.3">
      <c r="A266">
        <v>22</v>
      </c>
      <c r="B266" t="s">
        <v>447</v>
      </c>
      <c r="C266" s="26">
        <v>0.42</v>
      </c>
      <c r="D266" t="b">
        <f t="shared" si="11"/>
        <v>0</v>
      </c>
      <c r="E266" s="43">
        <f t="shared" si="12"/>
        <v>14</v>
      </c>
      <c r="F266" s="52"/>
      <c r="M266" s="52"/>
      <c r="O266" s="65">
        <f t="shared" si="13"/>
        <v>58.000000000000007</v>
      </c>
    </row>
    <row r="267" spans="1:15" x14ac:dyDescent="0.3">
      <c r="A267">
        <v>23</v>
      </c>
      <c r="B267" t="s">
        <v>385</v>
      </c>
      <c r="C267" s="26">
        <v>0.45614035087719296</v>
      </c>
      <c r="D267" t="b">
        <f t="shared" si="11"/>
        <v>0</v>
      </c>
      <c r="E267" s="43">
        <f t="shared" si="12"/>
        <v>13</v>
      </c>
      <c r="F267" s="52"/>
      <c r="M267" s="52"/>
      <c r="O267" s="65">
        <f t="shared" si="13"/>
        <v>54.385964912280706</v>
      </c>
    </row>
    <row r="268" spans="1:15" x14ac:dyDescent="0.3">
      <c r="A268">
        <v>24</v>
      </c>
      <c r="B268" t="s">
        <v>448</v>
      </c>
      <c r="C268" s="26">
        <v>0.48</v>
      </c>
      <c r="D268" t="b">
        <f t="shared" si="11"/>
        <v>0</v>
      </c>
      <c r="E268" s="43">
        <f t="shared" si="12"/>
        <v>12</v>
      </c>
      <c r="F268" s="52"/>
      <c r="M268" s="52"/>
      <c r="O268" s="65">
        <f t="shared" si="13"/>
        <v>52</v>
      </c>
    </row>
    <row r="269" spans="1:15" x14ac:dyDescent="0.3">
      <c r="A269">
        <v>35</v>
      </c>
      <c r="B269" t="s">
        <v>288</v>
      </c>
      <c r="C269" s="26">
        <v>1</v>
      </c>
      <c r="D269" t="b">
        <f t="shared" si="11"/>
        <v>1</v>
      </c>
      <c r="E269" s="43">
        <f t="shared" si="12"/>
        <v>1</v>
      </c>
      <c r="F269" s="52"/>
      <c r="M269" s="52"/>
      <c r="O269" s="65">
        <f t="shared" si="13"/>
        <v>0</v>
      </c>
    </row>
    <row r="270" spans="1:15" x14ac:dyDescent="0.3">
      <c r="A270">
        <v>35</v>
      </c>
      <c r="B270" t="s">
        <v>107</v>
      </c>
      <c r="C270" s="26">
        <v>1</v>
      </c>
      <c r="D270" t="b">
        <f t="shared" si="11"/>
        <v>1</v>
      </c>
      <c r="E270" s="43">
        <f t="shared" si="12"/>
        <v>1</v>
      </c>
      <c r="F270" s="52"/>
      <c r="M270" s="52"/>
      <c r="O270" s="65">
        <f t="shared" si="13"/>
        <v>0</v>
      </c>
    </row>
    <row r="271" spans="1:15" x14ac:dyDescent="0.3">
      <c r="A271">
        <v>35</v>
      </c>
      <c r="B271" t="s">
        <v>442</v>
      </c>
      <c r="C271" s="26">
        <v>1</v>
      </c>
      <c r="D271" t="b">
        <f t="shared" si="11"/>
        <v>1</v>
      </c>
      <c r="E271" s="43">
        <f t="shared" si="12"/>
        <v>1</v>
      </c>
      <c r="F271" s="52"/>
      <c r="M271" s="52"/>
      <c r="O271" s="65">
        <f t="shared" si="13"/>
        <v>0</v>
      </c>
    </row>
    <row r="272" spans="1:15" x14ac:dyDescent="0.3">
      <c r="A272">
        <v>35</v>
      </c>
      <c r="B272" t="s">
        <v>76</v>
      </c>
      <c r="C272" s="26">
        <v>1</v>
      </c>
      <c r="D272" t="b">
        <f t="shared" si="11"/>
        <v>1</v>
      </c>
      <c r="E272" s="43">
        <f t="shared" si="12"/>
        <v>1</v>
      </c>
      <c r="F272" s="52"/>
      <c r="M272" s="52"/>
      <c r="O272" s="65">
        <f t="shared" si="13"/>
        <v>0</v>
      </c>
    </row>
    <row r="273" spans="1:15" x14ac:dyDescent="0.3">
      <c r="A273">
        <v>35</v>
      </c>
      <c r="B273" t="s">
        <v>138</v>
      </c>
      <c r="C273" s="26">
        <v>1</v>
      </c>
      <c r="D273" t="b">
        <f t="shared" si="11"/>
        <v>1</v>
      </c>
      <c r="E273" s="43">
        <f t="shared" si="12"/>
        <v>1</v>
      </c>
      <c r="F273" s="52"/>
      <c r="M273" s="52"/>
      <c r="O273" s="65">
        <f t="shared" si="13"/>
        <v>0</v>
      </c>
    </row>
    <row r="274" spans="1:15" x14ac:dyDescent="0.3">
      <c r="A274">
        <v>35</v>
      </c>
      <c r="B274" t="s">
        <v>250</v>
      </c>
      <c r="C274" s="26">
        <v>1</v>
      </c>
      <c r="D274" t="b">
        <f t="shared" si="11"/>
        <v>1</v>
      </c>
      <c r="E274" s="43">
        <f t="shared" si="12"/>
        <v>1</v>
      </c>
      <c r="F274" s="52"/>
      <c r="M274" s="52"/>
      <c r="O274" s="65">
        <f t="shared" si="13"/>
        <v>0</v>
      </c>
    </row>
    <row r="275" spans="1:15" x14ac:dyDescent="0.3">
      <c r="A275">
        <v>35</v>
      </c>
      <c r="B275" t="s">
        <v>140</v>
      </c>
      <c r="C275" s="26">
        <v>1</v>
      </c>
      <c r="D275" t="b">
        <f t="shared" si="11"/>
        <v>1</v>
      </c>
      <c r="E275" s="43">
        <f t="shared" si="12"/>
        <v>1</v>
      </c>
      <c r="F275" s="52"/>
      <c r="M275" s="52"/>
      <c r="O275" s="65">
        <f t="shared" si="13"/>
        <v>0</v>
      </c>
    </row>
    <row r="276" spans="1:15" x14ac:dyDescent="0.3">
      <c r="A276">
        <v>35</v>
      </c>
      <c r="B276" t="s">
        <v>456</v>
      </c>
      <c r="C276" s="26">
        <v>1</v>
      </c>
      <c r="D276" t="b">
        <f t="shared" si="11"/>
        <v>1</v>
      </c>
      <c r="E276" s="43">
        <f t="shared" si="12"/>
        <v>1</v>
      </c>
      <c r="F276" s="52"/>
      <c r="M276" s="52"/>
      <c r="O276" s="65">
        <f t="shared" si="13"/>
        <v>0</v>
      </c>
    </row>
    <row r="277" spans="1:15" x14ac:dyDescent="0.3">
      <c r="A277">
        <v>35</v>
      </c>
      <c r="B277" t="s">
        <v>45</v>
      </c>
      <c r="C277" s="26">
        <v>1</v>
      </c>
      <c r="D277" t="b">
        <f t="shared" si="11"/>
        <v>1</v>
      </c>
      <c r="E277" s="43">
        <f t="shared" si="12"/>
        <v>1</v>
      </c>
      <c r="F277" s="52"/>
      <c r="M277" s="52"/>
      <c r="O277" s="65">
        <f t="shared" si="13"/>
        <v>0</v>
      </c>
    </row>
    <row r="278" spans="1:15" x14ac:dyDescent="0.3">
      <c r="A278">
        <v>35</v>
      </c>
      <c r="B278" t="s">
        <v>449</v>
      </c>
      <c r="C278" s="26">
        <v>1</v>
      </c>
      <c r="D278" t="b">
        <f t="shared" si="11"/>
        <v>1</v>
      </c>
      <c r="E278" s="43">
        <f t="shared" si="12"/>
        <v>1</v>
      </c>
      <c r="O278" s="65">
        <f t="shared" si="13"/>
        <v>0</v>
      </c>
    </row>
    <row r="279" spans="1:15" x14ac:dyDescent="0.3">
      <c r="A279">
        <v>35</v>
      </c>
      <c r="B279" t="s">
        <v>353</v>
      </c>
      <c r="C279" s="26">
        <v>1</v>
      </c>
      <c r="D279" t="b">
        <f t="shared" si="11"/>
        <v>0</v>
      </c>
      <c r="E279" s="43">
        <f t="shared" si="12"/>
        <v>1</v>
      </c>
      <c r="O279" s="65">
        <f t="shared" si="13"/>
        <v>0</v>
      </c>
    </row>
    <row r="280" spans="1:15" x14ac:dyDescent="0.3">
      <c r="F280" s="52"/>
      <c r="G280" s="52"/>
      <c r="H280" s="52"/>
      <c r="I280" s="52"/>
      <c r="J280" s="52"/>
      <c r="K280" s="52"/>
      <c r="L280" s="52"/>
      <c r="M280" s="52"/>
    </row>
    <row r="281" spans="1:15" x14ac:dyDescent="0.3">
      <c r="F281" s="52"/>
      <c r="G281" s="52"/>
      <c r="H281" s="52"/>
      <c r="I281" s="52"/>
      <c r="J281" s="52"/>
      <c r="K281" s="52"/>
      <c r="L281" s="52"/>
      <c r="M281" s="52"/>
    </row>
    <row r="282" spans="1:15" x14ac:dyDescent="0.3">
      <c r="B282" t="s">
        <v>445</v>
      </c>
      <c r="C282" s="54">
        <v>0</v>
      </c>
    </row>
    <row r="283" spans="1:15" x14ac:dyDescent="0.3">
      <c r="B283" t="s">
        <v>455</v>
      </c>
      <c r="C283" s="54">
        <v>0</v>
      </c>
    </row>
    <row r="284" spans="1:15" x14ac:dyDescent="0.3">
      <c r="B284" t="s">
        <v>500</v>
      </c>
      <c r="C284" s="54">
        <v>0</v>
      </c>
      <c r="F284" s="52"/>
      <c r="G284" s="52"/>
      <c r="H284" s="52"/>
      <c r="I284" s="52"/>
      <c r="J284" s="52"/>
      <c r="K284" s="52"/>
      <c r="L284" s="52"/>
      <c r="M284" s="52"/>
    </row>
    <row r="285" spans="1:15" x14ac:dyDescent="0.3">
      <c r="A285">
        <v>1</v>
      </c>
      <c r="B285" t="s">
        <v>235</v>
      </c>
      <c r="C285" s="54">
        <v>0</v>
      </c>
      <c r="D285" s="43">
        <f>36-A285</f>
        <v>35</v>
      </c>
      <c r="F285" s="52"/>
      <c r="M285" s="52"/>
      <c r="O285" s="65">
        <f>+(30-C285)*100/30</f>
        <v>100</v>
      </c>
    </row>
    <row r="286" spans="1:15" x14ac:dyDescent="0.3">
      <c r="A286">
        <v>1</v>
      </c>
      <c r="B286" t="s">
        <v>451</v>
      </c>
      <c r="C286" s="54">
        <v>0</v>
      </c>
      <c r="D286" s="43">
        <f t="shared" ref="D286:D319" si="14">36-A286</f>
        <v>35</v>
      </c>
      <c r="F286" s="52"/>
      <c r="M286" s="52"/>
      <c r="O286" s="65">
        <f t="shared" ref="O286:O319" si="15">+(30-C286)*100/30</f>
        <v>100</v>
      </c>
    </row>
    <row r="287" spans="1:15" x14ac:dyDescent="0.3">
      <c r="A287">
        <v>1</v>
      </c>
      <c r="B287" t="s">
        <v>333</v>
      </c>
      <c r="C287" s="54">
        <v>0</v>
      </c>
      <c r="D287" s="43">
        <f t="shared" si="14"/>
        <v>35</v>
      </c>
      <c r="F287" s="52"/>
      <c r="M287" s="52"/>
      <c r="O287" s="65">
        <f t="shared" si="15"/>
        <v>100</v>
      </c>
    </row>
    <row r="288" spans="1:15" x14ac:dyDescent="0.3">
      <c r="A288">
        <v>1</v>
      </c>
      <c r="B288" t="s">
        <v>452</v>
      </c>
      <c r="C288" s="54">
        <v>0</v>
      </c>
      <c r="D288" s="43">
        <f t="shared" si="14"/>
        <v>35</v>
      </c>
      <c r="F288" s="52"/>
      <c r="M288" s="52"/>
      <c r="O288" s="65">
        <f t="shared" si="15"/>
        <v>100</v>
      </c>
    </row>
    <row r="289" spans="1:15" x14ac:dyDescent="0.3">
      <c r="A289">
        <v>1</v>
      </c>
      <c r="B289" t="s">
        <v>177</v>
      </c>
      <c r="C289" s="54">
        <v>0</v>
      </c>
      <c r="D289" s="43">
        <f t="shared" si="14"/>
        <v>35</v>
      </c>
      <c r="F289" s="52"/>
      <c r="M289" s="52"/>
      <c r="O289" s="65">
        <f t="shared" si="15"/>
        <v>100</v>
      </c>
    </row>
    <row r="290" spans="1:15" x14ac:dyDescent="0.3">
      <c r="A290">
        <v>1</v>
      </c>
      <c r="B290" t="s">
        <v>210</v>
      </c>
      <c r="C290" s="54">
        <v>0</v>
      </c>
      <c r="D290" s="43">
        <f t="shared" si="14"/>
        <v>35</v>
      </c>
      <c r="F290" s="52"/>
      <c r="M290" s="52"/>
      <c r="O290" s="65">
        <f t="shared" si="15"/>
        <v>100</v>
      </c>
    </row>
    <row r="291" spans="1:15" x14ac:dyDescent="0.3">
      <c r="A291">
        <v>1</v>
      </c>
      <c r="B291" t="s">
        <v>453</v>
      </c>
      <c r="C291" s="54">
        <v>0</v>
      </c>
      <c r="D291" s="43">
        <f t="shared" si="14"/>
        <v>35</v>
      </c>
      <c r="F291" s="52"/>
      <c r="M291" s="52"/>
      <c r="O291" s="65">
        <f t="shared" si="15"/>
        <v>100</v>
      </c>
    </row>
    <row r="292" spans="1:15" x14ac:dyDescent="0.3">
      <c r="A292">
        <v>1</v>
      </c>
      <c r="B292" t="s">
        <v>446</v>
      </c>
      <c r="C292" s="54">
        <v>0</v>
      </c>
      <c r="D292" s="43">
        <f t="shared" si="14"/>
        <v>35</v>
      </c>
      <c r="F292" s="52"/>
      <c r="M292" s="52"/>
      <c r="O292" s="65">
        <f t="shared" si="15"/>
        <v>100</v>
      </c>
    </row>
    <row r="293" spans="1:15" x14ac:dyDescent="0.3">
      <c r="A293">
        <v>1</v>
      </c>
      <c r="B293" t="s">
        <v>458</v>
      </c>
      <c r="C293" s="54">
        <v>0</v>
      </c>
      <c r="D293" s="43">
        <f t="shared" si="14"/>
        <v>35</v>
      </c>
      <c r="F293" s="52"/>
      <c r="M293" s="52"/>
      <c r="O293" s="65">
        <f t="shared" si="15"/>
        <v>100</v>
      </c>
    </row>
    <row r="294" spans="1:15" x14ac:dyDescent="0.3">
      <c r="A294">
        <v>1</v>
      </c>
      <c r="B294" t="s">
        <v>318</v>
      </c>
      <c r="C294" s="54">
        <v>0</v>
      </c>
      <c r="D294" s="43">
        <f t="shared" si="14"/>
        <v>35</v>
      </c>
      <c r="F294" s="52"/>
      <c r="M294" s="52"/>
      <c r="O294" s="65">
        <f t="shared" si="15"/>
        <v>100</v>
      </c>
    </row>
    <row r="295" spans="1:15" x14ac:dyDescent="0.3">
      <c r="A295">
        <v>1</v>
      </c>
      <c r="B295" t="s">
        <v>450</v>
      </c>
      <c r="C295" s="54">
        <v>0</v>
      </c>
      <c r="D295" s="43">
        <f t="shared" si="14"/>
        <v>35</v>
      </c>
      <c r="F295" s="52"/>
      <c r="M295" s="52"/>
      <c r="O295" s="65">
        <f t="shared" si="15"/>
        <v>100</v>
      </c>
    </row>
    <row r="296" spans="1:15" x14ac:dyDescent="0.3">
      <c r="A296">
        <v>1</v>
      </c>
      <c r="B296" t="s">
        <v>441</v>
      </c>
      <c r="C296" s="54">
        <v>0</v>
      </c>
      <c r="D296" s="43">
        <f t="shared" si="14"/>
        <v>35</v>
      </c>
      <c r="F296" s="52"/>
      <c r="M296" s="52"/>
      <c r="O296" s="65">
        <f t="shared" si="15"/>
        <v>100</v>
      </c>
    </row>
    <row r="297" spans="1:15" x14ac:dyDescent="0.3">
      <c r="A297">
        <v>1</v>
      </c>
      <c r="B297" t="s">
        <v>304</v>
      </c>
      <c r="C297" s="54">
        <v>0</v>
      </c>
      <c r="D297" s="43">
        <f t="shared" si="14"/>
        <v>35</v>
      </c>
      <c r="F297" s="52"/>
      <c r="M297" s="52"/>
      <c r="O297" s="65">
        <f t="shared" si="15"/>
        <v>100</v>
      </c>
    </row>
    <row r="298" spans="1:15" x14ac:dyDescent="0.3">
      <c r="A298">
        <v>1</v>
      </c>
      <c r="B298" t="s">
        <v>447</v>
      </c>
      <c r="C298" s="54">
        <v>0</v>
      </c>
      <c r="D298" s="43">
        <f t="shared" si="14"/>
        <v>35</v>
      </c>
      <c r="F298" s="52"/>
      <c r="M298" s="52"/>
      <c r="O298" s="65">
        <f t="shared" si="15"/>
        <v>100</v>
      </c>
    </row>
    <row r="299" spans="1:15" x14ac:dyDescent="0.3">
      <c r="A299">
        <v>1</v>
      </c>
      <c r="B299" t="s">
        <v>448</v>
      </c>
      <c r="C299" s="54">
        <v>0</v>
      </c>
      <c r="D299" s="43">
        <f t="shared" si="14"/>
        <v>35</v>
      </c>
      <c r="F299" s="52"/>
      <c r="M299" s="52"/>
      <c r="O299" s="65">
        <f t="shared" si="15"/>
        <v>100</v>
      </c>
    </row>
    <row r="300" spans="1:15" x14ac:dyDescent="0.3">
      <c r="A300">
        <v>1</v>
      </c>
      <c r="B300" t="s">
        <v>288</v>
      </c>
      <c r="C300" s="54">
        <v>0</v>
      </c>
      <c r="D300" s="43">
        <f t="shared" si="14"/>
        <v>35</v>
      </c>
      <c r="F300" s="52"/>
      <c r="M300" s="52"/>
      <c r="O300" s="65">
        <f t="shared" si="15"/>
        <v>100</v>
      </c>
    </row>
    <row r="301" spans="1:15" x14ac:dyDescent="0.3">
      <c r="A301">
        <v>1</v>
      </c>
      <c r="B301" t="s">
        <v>443</v>
      </c>
      <c r="C301" s="54">
        <v>0</v>
      </c>
      <c r="D301" s="43">
        <f t="shared" si="14"/>
        <v>35</v>
      </c>
      <c r="F301" s="52"/>
      <c r="M301" s="52"/>
      <c r="O301" s="65">
        <f t="shared" si="15"/>
        <v>100</v>
      </c>
    </row>
    <row r="302" spans="1:15" x14ac:dyDescent="0.3">
      <c r="A302">
        <v>1</v>
      </c>
      <c r="B302" t="s">
        <v>444</v>
      </c>
      <c r="C302" s="54">
        <v>0</v>
      </c>
      <c r="D302" s="43">
        <f t="shared" si="14"/>
        <v>35</v>
      </c>
      <c r="F302" s="52"/>
      <c r="M302" s="52"/>
      <c r="O302" s="65">
        <f t="shared" si="15"/>
        <v>100</v>
      </c>
    </row>
    <row r="303" spans="1:15" x14ac:dyDescent="0.3">
      <c r="A303">
        <v>1</v>
      </c>
      <c r="B303" t="s">
        <v>415</v>
      </c>
      <c r="C303" s="54">
        <v>0</v>
      </c>
      <c r="D303" s="43">
        <f t="shared" si="14"/>
        <v>35</v>
      </c>
      <c r="F303" s="52"/>
      <c r="M303" s="52"/>
      <c r="O303" s="65">
        <f t="shared" si="15"/>
        <v>100</v>
      </c>
    </row>
    <row r="304" spans="1:15" x14ac:dyDescent="0.3">
      <c r="A304">
        <v>1</v>
      </c>
      <c r="B304" t="s">
        <v>250</v>
      </c>
      <c r="C304" s="54">
        <v>0</v>
      </c>
      <c r="D304" s="43">
        <f t="shared" si="14"/>
        <v>35</v>
      </c>
      <c r="F304" s="52"/>
      <c r="M304" s="52"/>
      <c r="O304" s="65">
        <f t="shared" si="15"/>
        <v>100</v>
      </c>
    </row>
    <row r="305" spans="1:15" x14ac:dyDescent="0.3">
      <c r="A305">
        <v>25</v>
      </c>
      <c r="B305" t="s">
        <v>187</v>
      </c>
      <c r="C305" s="54">
        <v>1</v>
      </c>
      <c r="D305" s="43">
        <f t="shared" si="14"/>
        <v>11</v>
      </c>
      <c r="F305" s="52"/>
      <c r="M305" s="52"/>
      <c r="O305" s="65">
        <f t="shared" si="15"/>
        <v>96.666666666666671</v>
      </c>
    </row>
    <row r="306" spans="1:15" x14ac:dyDescent="0.3">
      <c r="A306">
        <v>25</v>
      </c>
      <c r="B306" t="s">
        <v>457</v>
      </c>
      <c r="C306" s="54">
        <v>1</v>
      </c>
      <c r="D306" s="43">
        <f t="shared" si="14"/>
        <v>11</v>
      </c>
      <c r="F306" s="52"/>
      <c r="M306" s="52"/>
      <c r="O306" s="65">
        <f t="shared" si="15"/>
        <v>96.666666666666671</v>
      </c>
    </row>
    <row r="307" spans="1:15" x14ac:dyDescent="0.3">
      <c r="A307">
        <v>25</v>
      </c>
      <c r="B307" t="s">
        <v>3</v>
      </c>
      <c r="C307" s="54">
        <v>1</v>
      </c>
      <c r="D307" s="43">
        <f t="shared" si="14"/>
        <v>11</v>
      </c>
      <c r="F307" s="52"/>
      <c r="M307" s="52"/>
      <c r="O307" s="65">
        <f t="shared" si="15"/>
        <v>96.666666666666671</v>
      </c>
    </row>
    <row r="308" spans="1:15" x14ac:dyDescent="0.3">
      <c r="A308">
        <v>25</v>
      </c>
      <c r="B308" t="s">
        <v>459</v>
      </c>
      <c r="C308" s="54">
        <v>1</v>
      </c>
      <c r="D308" s="43">
        <f t="shared" si="14"/>
        <v>11</v>
      </c>
      <c r="F308" s="52"/>
      <c r="M308" s="52"/>
      <c r="O308" s="65">
        <f t="shared" si="15"/>
        <v>96.666666666666671</v>
      </c>
    </row>
    <row r="309" spans="1:15" x14ac:dyDescent="0.3">
      <c r="A309">
        <v>25</v>
      </c>
      <c r="B309" t="s">
        <v>353</v>
      </c>
      <c r="C309" s="54">
        <v>1</v>
      </c>
      <c r="D309" s="43">
        <f t="shared" si="14"/>
        <v>11</v>
      </c>
      <c r="F309" s="52"/>
      <c r="M309" s="52"/>
      <c r="O309" s="65">
        <f t="shared" si="15"/>
        <v>96.666666666666671</v>
      </c>
    </row>
    <row r="310" spans="1:15" x14ac:dyDescent="0.3">
      <c r="A310">
        <v>29</v>
      </c>
      <c r="B310" t="s">
        <v>454</v>
      </c>
      <c r="C310" s="54">
        <v>2</v>
      </c>
      <c r="D310" s="43">
        <f t="shared" si="14"/>
        <v>7</v>
      </c>
      <c r="F310" s="52"/>
      <c r="M310" s="52"/>
      <c r="O310" s="65">
        <f t="shared" si="15"/>
        <v>93.333333333333329</v>
      </c>
    </row>
    <row r="311" spans="1:15" x14ac:dyDescent="0.3">
      <c r="A311">
        <v>29</v>
      </c>
      <c r="B311" t="s">
        <v>385</v>
      </c>
      <c r="C311" s="54">
        <v>2</v>
      </c>
      <c r="D311" s="43">
        <f t="shared" si="14"/>
        <v>7</v>
      </c>
      <c r="F311" s="52"/>
      <c r="M311" s="52"/>
      <c r="O311" s="65">
        <f t="shared" si="15"/>
        <v>93.333333333333329</v>
      </c>
    </row>
    <row r="312" spans="1:15" x14ac:dyDescent="0.3">
      <c r="A312">
        <v>29</v>
      </c>
      <c r="B312" t="s">
        <v>442</v>
      </c>
      <c r="C312" s="54">
        <v>2</v>
      </c>
      <c r="D312" s="43">
        <f t="shared" si="14"/>
        <v>7</v>
      </c>
      <c r="F312" s="52"/>
      <c r="M312" s="52"/>
      <c r="O312" s="65">
        <f t="shared" si="15"/>
        <v>93.333333333333329</v>
      </c>
    </row>
    <row r="313" spans="1:15" x14ac:dyDescent="0.3">
      <c r="A313">
        <v>29</v>
      </c>
      <c r="B313" t="s">
        <v>45</v>
      </c>
      <c r="C313" s="54">
        <v>2</v>
      </c>
      <c r="D313" s="43">
        <f t="shared" si="14"/>
        <v>7</v>
      </c>
      <c r="F313" s="52"/>
      <c r="M313" s="52"/>
      <c r="O313" s="65">
        <f t="shared" si="15"/>
        <v>93.333333333333329</v>
      </c>
    </row>
    <row r="314" spans="1:15" x14ac:dyDescent="0.3">
      <c r="A314">
        <v>30</v>
      </c>
      <c r="B314" t="s">
        <v>449</v>
      </c>
      <c r="C314" s="54">
        <v>3</v>
      </c>
      <c r="D314" s="43">
        <f t="shared" si="14"/>
        <v>6</v>
      </c>
      <c r="F314" s="52"/>
      <c r="M314" s="52"/>
      <c r="O314" s="65">
        <f t="shared" si="15"/>
        <v>90</v>
      </c>
    </row>
    <row r="315" spans="1:15" x14ac:dyDescent="0.3">
      <c r="A315">
        <v>33</v>
      </c>
      <c r="B315" t="s">
        <v>107</v>
      </c>
      <c r="C315" s="54">
        <v>4</v>
      </c>
      <c r="D315" s="43">
        <f t="shared" si="14"/>
        <v>3</v>
      </c>
      <c r="F315" s="52"/>
      <c r="M315" s="52"/>
      <c r="O315" s="65">
        <f t="shared" si="15"/>
        <v>86.666666666666671</v>
      </c>
    </row>
    <row r="316" spans="1:15" x14ac:dyDescent="0.3">
      <c r="A316">
        <v>33</v>
      </c>
      <c r="B316" t="s">
        <v>138</v>
      </c>
      <c r="C316" s="54">
        <v>4</v>
      </c>
      <c r="D316" s="43">
        <f t="shared" si="14"/>
        <v>3</v>
      </c>
      <c r="F316" s="52"/>
      <c r="M316" s="52"/>
      <c r="O316" s="65">
        <f t="shared" si="15"/>
        <v>86.666666666666671</v>
      </c>
    </row>
    <row r="317" spans="1:15" x14ac:dyDescent="0.3">
      <c r="A317">
        <v>33</v>
      </c>
      <c r="B317" t="s">
        <v>456</v>
      </c>
      <c r="C317" s="54">
        <v>4</v>
      </c>
      <c r="D317" s="43">
        <f t="shared" si="14"/>
        <v>3</v>
      </c>
      <c r="F317" s="52"/>
      <c r="M317" s="52"/>
      <c r="O317" s="65">
        <f t="shared" si="15"/>
        <v>86.666666666666671</v>
      </c>
    </row>
    <row r="318" spans="1:15" x14ac:dyDescent="0.3">
      <c r="A318">
        <v>34</v>
      </c>
      <c r="B318" t="s">
        <v>76</v>
      </c>
      <c r="C318" s="54">
        <v>5</v>
      </c>
      <c r="D318" s="43">
        <f t="shared" si="14"/>
        <v>2</v>
      </c>
      <c r="O318" s="65">
        <f t="shared" si="15"/>
        <v>83.333333333333329</v>
      </c>
    </row>
    <row r="319" spans="1:15" x14ac:dyDescent="0.3">
      <c r="A319">
        <v>35</v>
      </c>
      <c r="B319" t="s">
        <v>140</v>
      </c>
      <c r="C319" s="54">
        <v>6</v>
      </c>
      <c r="D319" s="43">
        <f t="shared" si="14"/>
        <v>1</v>
      </c>
      <c r="O319" s="65">
        <f t="shared" si="15"/>
        <v>80</v>
      </c>
    </row>
    <row r="320" spans="1:15" x14ac:dyDescent="0.3">
      <c r="F320" s="52"/>
      <c r="G320" s="52"/>
      <c r="H320" s="52"/>
      <c r="I320" s="52"/>
      <c r="J320" s="52"/>
      <c r="K320" s="52"/>
      <c r="L320" s="52"/>
      <c r="M320" s="52"/>
    </row>
    <row r="321" spans="1:15" x14ac:dyDescent="0.3">
      <c r="B321" t="s">
        <v>445</v>
      </c>
      <c r="C321">
        <v>0</v>
      </c>
      <c r="F321" s="52"/>
      <c r="G321" s="52"/>
      <c r="H321" s="52"/>
      <c r="I321" s="52"/>
      <c r="J321" s="52"/>
      <c r="K321" s="52"/>
      <c r="L321" s="52"/>
      <c r="M321" s="52"/>
    </row>
    <row r="322" spans="1:15" x14ac:dyDescent="0.3">
      <c r="B322" t="s">
        <v>455</v>
      </c>
      <c r="C322">
        <v>0</v>
      </c>
      <c r="F322" s="52"/>
      <c r="G322" s="52"/>
      <c r="H322" s="52"/>
      <c r="I322" s="52"/>
      <c r="J322" s="52"/>
      <c r="K322" s="52"/>
      <c r="L322" s="52"/>
      <c r="M322" s="52"/>
    </row>
    <row r="323" spans="1:15" x14ac:dyDescent="0.3">
      <c r="B323" t="s">
        <v>500</v>
      </c>
      <c r="C323">
        <v>0</v>
      </c>
      <c r="F323" s="52"/>
      <c r="M323" s="52"/>
    </row>
    <row r="324" spans="1:15" x14ac:dyDescent="0.3">
      <c r="A324">
        <v>35</v>
      </c>
      <c r="B324" t="s">
        <v>441</v>
      </c>
      <c r="C324">
        <v>18</v>
      </c>
      <c r="D324" s="43">
        <f>36-A324</f>
        <v>1</v>
      </c>
      <c r="E324" t="b">
        <f t="shared" ref="E324:E358" si="16">+C324=C325</f>
        <v>1</v>
      </c>
      <c r="F324" s="52"/>
      <c r="M324" s="52"/>
      <c r="O324" s="65">
        <f>+(C324)*100/30</f>
        <v>60</v>
      </c>
    </row>
    <row r="325" spans="1:15" x14ac:dyDescent="0.3">
      <c r="A325">
        <v>35</v>
      </c>
      <c r="B325" t="s">
        <v>304</v>
      </c>
      <c r="C325">
        <v>18</v>
      </c>
      <c r="D325" s="43">
        <f t="shared" ref="D325:D358" si="17">36-A325</f>
        <v>1</v>
      </c>
      <c r="E325" t="b">
        <f t="shared" si="16"/>
        <v>0</v>
      </c>
      <c r="F325" s="52"/>
      <c r="M325" s="52"/>
      <c r="O325" s="65">
        <f t="shared" ref="O325:O358" si="18">+(C325)*100/30</f>
        <v>60</v>
      </c>
    </row>
    <row r="326" spans="1:15" x14ac:dyDescent="0.3">
      <c r="A326">
        <v>33</v>
      </c>
      <c r="B326" t="s">
        <v>446</v>
      </c>
      <c r="C326">
        <v>23</v>
      </c>
      <c r="D326" s="43">
        <f t="shared" si="17"/>
        <v>3</v>
      </c>
      <c r="E326" t="b">
        <f t="shared" si="16"/>
        <v>0</v>
      </c>
      <c r="F326" s="52"/>
      <c r="M326" s="52"/>
      <c r="O326" s="65">
        <f t="shared" si="18"/>
        <v>76.666666666666671</v>
      </c>
    </row>
    <row r="327" spans="1:15" x14ac:dyDescent="0.3">
      <c r="A327">
        <v>32</v>
      </c>
      <c r="B327" t="s">
        <v>318</v>
      </c>
      <c r="C327">
        <v>24</v>
      </c>
      <c r="D327" s="43">
        <f t="shared" si="17"/>
        <v>4</v>
      </c>
      <c r="E327" t="b">
        <f t="shared" si="16"/>
        <v>1</v>
      </c>
      <c r="F327" s="52"/>
      <c r="M327" s="52"/>
      <c r="O327" s="65">
        <f t="shared" si="18"/>
        <v>80</v>
      </c>
    </row>
    <row r="328" spans="1:15" x14ac:dyDescent="0.3">
      <c r="A328">
        <v>32</v>
      </c>
      <c r="B328" t="s">
        <v>448</v>
      </c>
      <c r="C328">
        <v>24</v>
      </c>
      <c r="D328" s="43">
        <f t="shared" si="17"/>
        <v>4</v>
      </c>
      <c r="E328" t="b">
        <f t="shared" si="16"/>
        <v>0</v>
      </c>
      <c r="F328" s="52"/>
      <c r="M328" s="52"/>
      <c r="O328" s="65">
        <f t="shared" si="18"/>
        <v>80</v>
      </c>
    </row>
    <row r="329" spans="1:15" x14ac:dyDescent="0.3">
      <c r="A329">
        <v>30</v>
      </c>
      <c r="B329" t="s">
        <v>442</v>
      </c>
      <c r="C329">
        <v>25</v>
      </c>
      <c r="D329" s="43">
        <f t="shared" si="17"/>
        <v>6</v>
      </c>
      <c r="E329" t="b">
        <f t="shared" si="16"/>
        <v>0</v>
      </c>
      <c r="F329" s="52"/>
      <c r="M329" s="52"/>
      <c r="O329" s="65">
        <f t="shared" si="18"/>
        <v>83.333333333333329</v>
      </c>
    </row>
    <row r="330" spans="1:15" x14ac:dyDescent="0.3">
      <c r="A330">
        <v>29</v>
      </c>
      <c r="B330" t="s">
        <v>453</v>
      </c>
      <c r="C330">
        <v>26</v>
      </c>
      <c r="D330" s="43">
        <f t="shared" si="17"/>
        <v>7</v>
      </c>
      <c r="E330" t="b">
        <f t="shared" si="16"/>
        <v>1</v>
      </c>
      <c r="F330" s="52"/>
      <c r="M330" s="52"/>
      <c r="O330" s="65">
        <f t="shared" si="18"/>
        <v>86.666666666666671</v>
      </c>
    </row>
    <row r="331" spans="1:15" x14ac:dyDescent="0.3">
      <c r="A331">
        <v>29</v>
      </c>
      <c r="B331" t="s">
        <v>451</v>
      </c>
      <c r="C331">
        <v>26</v>
      </c>
      <c r="D331" s="43">
        <f t="shared" si="17"/>
        <v>7</v>
      </c>
      <c r="E331" t="b">
        <f t="shared" si="16"/>
        <v>0</v>
      </c>
      <c r="F331" s="52"/>
      <c r="M331" s="52"/>
      <c r="O331" s="65">
        <f t="shared" si="18"/>
        <v>86.666666666666671</v>
      </c>
    </row>
    <row r="332" spans="1:15" x14ac:dyDescent="0.3">
      <c r="A332">
        <v>27</v>
      </c>
      <c r="B332" t="s">
        <v>415</v>
      </c>
      <c r="C332">
        <v>27</v>
      </c>
      <c r="D332" s="43">
        <f t="shared" si="17"/>
        <v>9</v>
      </c>
      <c r="E332" t="b">
        <f t="shared" si="16"/>
        <v>1</v>
      </c>
      <c r="F332" s="52"/>
      <c r="M332" s="52"/>
      <c r="O332" s="65">
        <f t="shared" si="18"/>
        <v>90</v>
      </c>
    </row>
    <row r="333" spans="1:15" x14ac:dyDescent="0.3">
      <c r="A333">
        <v>27</v>
      </c>
      <c r="B333" t="s">
        <v>333</v>
      </c>
      <c r="C333">
        <v>27</v>
      </c>
      <c r="D333" s="43">
        <f t="shared" si="17"/>
        <v>9</v>
      </c>
      <c r="E333" t="b">
        <f t="shared" si="16"/>
        <v>0</v>
      </c>
      <c r="F333" s="52"/>
      <c r="M333" s="52"/>
      <c r="O333" s="65">
        <f t="shared" si="18"/>
        <v>90</v>
      </c>
    </row>
    <row r="334" spans="1:15" x14ac:dyDescent="0.3">
      <c r="A334">
        <v>25</v>
      </c>
      <c r="B334" t="s">
        <v>444</v>
      </c>
      <c r="C334">
        <v>28</v>
      </c>
      <c r="D334" s="43">
        <f t="shared" si="17"/>
        <v>11</v>
      </c>
      <c r="E334" t="b">
        <f t="shared" si="16"/>
        <v>1</v>
      </c>
      <c r="F334" s="52"/>
      <c r="M334" s="52"/>
      <c r="O334" s="65">
        <f t="shared" si="18"/>
        <v>93.333333333333329</v>
      </c>
    </row>
    <row r="335" spans="1:15" x14ac:dyDescent="0.3">
      <c r="A335">
        <v>25</v>
      </c>
      <c r="B335" t="s">
        <v>353</v>
      </c>
      <c r="C335">
        <v>28</v>
      </c>
      <c r="D335" s="43">
        <f t="shared" si="17"/>
        <v>11</v>
      </c>
      <c r="E335" t="b">
        <f t="shared" si="16"/>
        <v>1</v>
      </c>
      <c r="F335" s="52"/>
      <c r="M335" s="52"/>
      <c r="O335" s="65">
        <f t="shared" si="18"/>
        <v>93.333333333333329</v>
      </c>
    </row>
    <row r="336" spans="1:15" x14ac:dyDescent="0.3">
      <c r="A336">
        <v>25</v>
      </c>
      <c r="B336" t="s">
        <v>454</v>
      </c>
      <c r="C336">
        <v>28</v>
      </c>
      <c r="D336" s="43">
        <f t="shared" si="17"/>
        <v>11</v>
      </c>
      <c r="E336" t="b">
        <f t="shared" si="16"/>
        <v>1</v>
      </c>
      <c r="F336" s="52"/>
      <c r="M336" s="52"/>
      <c r="O336" s="65">
        <f t="shared" si="18"/>
        <v>93.333333333333329</v>
      </c>
    </row>
    <row r="337" spans="1:15" x14ac:dyDescent="0.3">
      <c r="A337">
        <v>25</v>
      </c>
      <c r="B337" t="s">
        <v>385</v>
      </c>
      <c r="C337">
        <v>28</v>
      </c>
      <c r="D337" s="43">
        <f t="shared" si="17"/>
        <v>11</v>
      </c>
      <c r="E337" t="b">
        <f t="shared" si="16"/>
        <v>1</v>
      </c>
      <c r="F337" s="52"/>
      <c r="M337" s="52"/>
      <c r="O337" s="65">
        <f t="shared" si="18"/>
        <v>93.333333333333329</v>
      </c>
    </row>
    <row r="338" spans="1:15" x14ac:dyDescent="0.3">
      <c r="A338">
        <v>25</v>
      </c>
      <c r="B338" t="s">
        <v>449</v>
      </c>
      <c r="C338">
        <v>28</v>
      </c>
      <c r="D338" s="43">
        <f t="shared" si="17"/>
        <v>11</v>
      </c>
      <c r="E338" t="b">
        <f t="shared" si="16"/>
        <v>1</v>
      </c>
      <c r="F338" s="52"/>
      <c r="M338" s="52"/>
      <c r="O338" s="65">
        <f t="shared" si="18"/>
        <v>93.333333333333329</v>
      </c>
    </row>
    <row r="339" spans="1:15" x14ac:dyDescent="0.3">
      <c r="A339">
        <v>25</v>
      </c>
      <c r="B339" t="s">
        <v>250</v>
      </c>
      <c r="C339">
        <v>28</v>
      </c>
      <c r="D339" s="43">
        <f t="shared" si="17"/>
        <v>11</v>
      </c>
      <c r="E339" t="b">
        <f t="shared" si="16"/>
        <v>1</v>
      </c>
      <c r="F339" s="52"/>
      <c r="M339" s="52"/>
      <c r="O339" s="65">
        <f t="shared" si="18"/>
        <v>93.333333333333329</v>
      </c>
    </row>
    <row r="340" spans="1:15" x14ac:dyDescent="0.3">
      <c r="A340">
        <v>25</v>
      </c>
      <c r="B340" t="s">
        <v>187</v>
      </c>
      <c r="C340">
        <v>28</v>
      </c>
      <c r="D340" s="43">
        <f t="shared" si="17"/>
        <v>11</v>
      </c>
      <c r="E340" t="b">
        <f t="shared" si="16"/>
        <v>1</v>
      </c>
      <c r="F340" s="52"/>
      <c r="M340" s="52"/>
      <c r="O340" s="65">
        <f t="shared" si="18"/>
        <v>93.333333333333329</v>
      </c>
    </row>
    <row r="341" spans="1:15" x14ac:dyDescent="0.3">
      <c r="A341">
        <v>25</v>
      </c>
      <c r="B341" t="s">
        <v>3</v>
      </c>
      <c r="C341">
        <v>28</v>
      </c>
      <c r="D341" s="43">
        <f t="shared" si="17"/>
        <v>11</v>
      </c>
      <c r="E341" t="b">
        <f t="shared" si="16"/>
        <v>0</v>
      </c>
      <c r="F341" s="52"/>
      <c r="M341" s="52"/>
      <c r="O341" s="65">
        <f t="shared" si="18"/>
        <v>93.333333333333329</v>
      </c>
    </row>
    <row r="342" spans="1:15" x14ac:dyDescent="0.3">
      <c r="A342">
        <v>17</v>
      </c>
      <c r="B342" t="s">
        <v>457</v>
      </c>
      <c r="C342">
        <v>29</v>
      </c>
      <c r="D342" s="43">
        <f t="shared" si="17"/>
        <v>19</v>
      </c>
      <c r="E342" t="b">
        <f t="shared" si="16"/>
        <v>1</v>
      </c>
      <c r="F342" s="52"/>
      <c r="M342" s="52"/>
      <c r="O342" s="65">
        <f t="shared" si="18"/>
        <v>96.666666666666671</v>
      </c>
    </row>
    <row r="343" spans="1:15" x14ac:dyDescent="0.3">
      <c r="A343">
        <v>17</v>
      </c>
      <c r="B343" t="s">
        <v>452</v>
      </c>
      <c r="C343">
        <v>29</v>
      </c>
      <c r="D343" s="43">
        <f t="shared" si="17"/>
        <v>19</v>
      </c>
      <c r="E343" t="b">
        <f t="shared" si="16"/>
        <v>1</v>
      </c>
      <c r="F343" s="52"/>
      <c r="M343" s="52"/>
      <c r="O343" s="65">
        <f t="shared" si="18"/>
        <v>96.666666666666671</v>
      </c>
    </row>
    <row r="344" spans="1:15" x14ac:dyDescent="0.3">
      <c r="A344">
        <v>17</v>
      </c>
      <c r="B344" t="s">
        <v>456</v>
      </c>
      <c r="C344">
        <v>29</v>
      </c>
      <c r="D344" s="43">
        <f t="shared" si="17"/>
        <v>19</v>
      </c>
      <c r="E344" t="b">
        <f t="shared" si="16"/>
        <v>1</v>
      </c>
      <c r="F344" s="52"/>
      <c r="M344" s="52"/>
      <c r="O344" s="65">
        <f t="shared" si="18"/>
        <v>96.666666666666671</v>
      </c>
    </row>
    <row r="345" spans="1:15" x14ac:dyDescent="0.3">
      <c r="A345">
        <v>17</v>
      </c>
      <c r="B345" t="s">
        <v>447</v>
      </c>
      <c r="C345">
        <v>29</v>
      </c>
      <c r="D345" s="43">
        <f t="shared" si="17"/>
        <v>19</v>
      </c>
      <c r="E345" t="b">
        <f t="shared" si="16"/>
        <v>1</v>
      </c>
      <c r="F345" s="52"/>
      <c r="M345" s="52"/>
      <c r="O345" s="65">
        <f t="shared" si="18"/>
        <v>96.666666666666671</v>
      </c>
    </row>
    <row r="346" spans="1:15" x14ac:dyDescent="0.3">
      <c r="A346">
        <v>17</v>
      </c>
      <c r="B346" t="s">
        <v>288</v>
      </c>
      <c r="C346">
        <v>29</v>
      </c>
      <c r="D346" s="43">
        <f t="shared" si="17"/>
        <v>19</v>
      </c>
      <c r="E346" t="b">
        <f t="shared" si="16"/>
        <v>1</v>
      </c>
      <c r="F346" s="52"/>
      <c r="M346" s="52"/>
      <c r="O346" s="65">
        <f t="shared" si="18"/>
        <v>96.666666666666671</v>
      </c>
    </row>
    <row r="347" spans="1:15" x14ac:dyDescent="0.3">
      <c r="A347">
        <v>17</v>
      </c>
      <c r="B347" t="s">
        <v>45</v>
      </c>
      <c r="C347">
        <v>29</v>
      </c>
      <c r="D347" s="43">
        <f t="shared" si="17"/>
        <v>19</v>
      </c>
      <c r="E347" t="b">
        <f t="shared" si="16"/>
        <v>1</v>
      </c>
      <c r="F347" s="52"/>
      <c r="M347" s="52"/>
      <c r="O347" s="65">
        <f t="shared" si="18"/>
        <v>96.666666666666671</v>
      </c>
    </row>
    <row r="348" spans="1:15" x14ac:dyDescent="0.3">
      <c r="A348">
        <v>17</v>
      </c>
      <c r="B348" t="s">
        <v>450</v>
      </c>
      <c r="C348">
        <v>29</v>
      </c>
      <c r="D348" s="43">
        <f t="shared" si="17"/>
        <v>19</v>
      </c>
      <c r="E348" t="b">
        <f t="shared" si="16"/>
        <v>1</v>
      </c>
      <c r="F348" s="52"/>
      <c r="M348" s="52"/>
      <c r="O348" s="65">
        <f t="shared" si="18"/>
        <v>96.666666666666671</v>
      </c>
    </row>
    <row r="349" spans="1:15" x14ac:dyDescent="0.3">
      <c r="A349">
        <v>17</v>
      </c>
      <c r="B349" t="s">
        <v>107</v>
      </c>
      <c r="C349">
        <v>29</v>
      </c>
      <c r="D349" s="43">
        <f t="shared" si="17"/>
        <v>19</v>
      </c>
      <c r="E349" t="b">
        <f t="shared" si="16"/>
        <v>0</v>
      </c>
      <c r="F349" s="52"/>
      <c r="M349" s="52"/>
      <c r="O349" s="65">
        <f t="shared" si="18"/>
        <v>96.666666666666671</v>
      </c>
    </row>
    <row r="350" spans="1:15" x14ac:dyDescent="0.3">
      <c r="A350">
        <v>1</v>
      </c>
      <c r="B350" t="s">
        <v>458</v>
      </c>
      <c r="C350">
        <v>30</v>
      </c>
      <c r="D350" s="43">
        <f t="shared" si="17"/>
        <v>35</v>
      </c>
      <c r="E350" t="b">
        <f t="shared" si="16"/>
        <v>1</v>
      </c>
      <c r="F350" s="52"/>
      <c r="M350" s="52"/>
      <c r="O350" s="65">
        <f t="shared" si="18"/>
        <v>100</v>
      </c>
    </row>
    <row r="351" spans="1:15" x14ac:dyDescent="0.3">
      <c r="A351">
        <v>1</v>
      </c>
      <c r="B351" t="s">
        <v>443</v>
      </c>
      <c r="C351">
        <v>30</v>
      </c>
      <c r="D351" s="43">
        <f t="shared" si="17"/>
        <v>35</v>
      </c>
      <c r="E351" t="b">
        <f t="shared" si="16"/>
        <v>1</v>
      </c>
      <c r="F351" s="52"/>
      <c r="M351" s="52"/>
      <c r="O351" s="65">
        <f t="shared" si="18"/>
        <v>100</v>
      </c>
    </row>
    <row r="352" spans="1:15" x14ac:dyDescent="0.3">
      <c r="A352">
        <v>1</v>
      </c>
      <c r="B352" t="s">
        <v>235</v>
      </c>
      <c r="C352">
        <v>30</v>
      </c>
      <c r="D352" s="43">
        <f t="shared" si="17"/>
        <v>35</v>
      </c>
      <c r="E352" t="b">
        <f t="shared" si="16"/>
        <v>1</v>
      </c>
      <c r="F352" s="52"/>
      <c r="M352" s="52"/>
      <c r="O352" s="65">
        <f t="shared" si="18"/>
        <v>100</v>
      </c>
    </row>
    <row r="353" spans="1:15" x14ac:dyDescent="0.3">
      <c r="A353">
        <v>1</v>
      </c>
      <c r="B353" t="s">
        <v>210</v>
      </c>
      <c r="C353">
        <v>30</v>
      </c>
      <c r="D353" s="43">
        <f t="shared" si="17"/>
        <v>35</v>
      </c>
      <c r="E353" t="b">
        <f t="shared" si="16"/>
        <v>1</v>
      </c>
      <c r="F353" s="52"/>
      <c r="M353" s="52"/>
      <c r="O353" s="65">
        <f t="shared" si="18"/>
        <v>100</v>
      </c>
    </row>
    <row r="354" spans="1:15" x14ac:dyDescent="0.3">
      <c r="A354">
        <v>1</v>
      </c>
      <c r="B354" t="s">
        <v>138</v>
      </c>
      <c r="C354">
        <v>30</v>
      </c>
      <c r="D354" s="43">
        <f t="shared" si="17"/>
        <v>35</v>
      </c>
      <c r="E354" t="b">
        <f t="shared" si="16"/>
        <v>1</v>
      </c>
      <c r="F354" s="52"/>
      <c r="M354" s="52"/>
      <c r="O354" s="65">
        <f t="shared" si="18"/>
        <v>100</v>
      </c>
    </row>
    <row r="355" spans="1:15" x14ac:dyDescent="0.3">
      <c r="A355">
        <v>1</v>
      </c>
      <c r="B355" t="s">
        <v>459</v>
      </c>
      <c r="C355">
        <v>30</v>
      </c>
      <c r="D355" s="43">
        <f t="shared" si="17"/>
        <v>35</v>
      </c>
      <c r="E355" t="b">
        <f t="shared" si="16"/>
        <v>1</v>
      </c>
      <c r="F355" s="52"/>
      <c r="M355" s="52"/>
      <c r="O355" s="65">
        <f t="shared" si="18"/>
        <v>100</v>
      </c>
    </row>
    <row r="356" spans="1:15" x14ac:dyDescent="0.3">
      <c r="A356">
        <v>1</v>
      </c>
      <c r="B356" t="s">
        <v>177</v>
      </c>
      <c r="C356">
        <v>30</v>
      </c>
      <c r="D356" s="43">
        <f t="shared" si="17"/>
        <v>35</v>
      </c>
      <c r="E356" t="b">
        <f t="shared" si="16"/>
        <v>1</v>
      </c>
      <c r="F356" s="52"/>
      <c r="G356" s="52"/>
      <c r="H356" s="52"/>
      <c r="I356" s="52"/>
      <c r="J356" s="52"/>
      <c r="K356" s="52"/>
      <c r="L356" s="52"/>
      <c r="M356" s="52"/>
      <c r="O356" s="65">
        <f t="shared" si="18"/>
        <v>100</v>
      </c>
    </row>
    <row r="357" spans="1:15" x14ac:dyDescent="0.3">
      <c r="A357">
        <v>1</v>
      </c>
      <c r="B357" t="s">
        <v>76</v>
      </c>
      <c r="C357">
        <v>30</v>
      </c>
      <c r="D357" s="43">
        <f t="shared" si="17"/>
        <v>35</v>
      </c>
      <c r="E357" t="b">
        <f t="shared" si="16"/>
        <v>1</v>
      </c>
      <c r="F357" s="52"/>
      <c r="G357" s="52"/>
      <c r="H357" s="52"/>
      <c r="I357" s="52"/>
      <c r="J357" s="52"/>
      <c r="K357" s="52"/>
      <c r="L357" s="52"/>
      <c r="M357" s="52"/>
      <c r="O357" s="65">
        <f t="shared" si="18"/>
        <v>100</v>
      </c>
    </row>
    <row r="358" spans="1:15" x14ac:dyDescent="0.3">
      <c r="A358">
        <v>1</v>
      </c>
      <c r="B358" t="s">
        <v>140</v>
      </c>
      <c r="C358">
        <v>30</v>
      </c>
      <c r="D358" s="43">
        <f t="shared" si="17"/>
        <v>35</v>
      </c>
      <c r="E358" t="b">
        <f t="shared" si="16"/>
        <v>0</v>
      </c>
      <c r="F358" s="52"/>
      <c r="G358" s="52"/>
      <c r="H358" s="52"/>
      <c r="I358" s="52"/>
      <c r="J358" s="52"/>
      <c r="K358" s="52"/>
      <c r="L358" s="52"/>
      <c r="M358" s="52"/>
      <c r="O358" s="65">
        <f t="shared" si="18"/>
        <v>100</v>
      </c>
    </row>
    <row r="359" spans="1:15" x14ac:dyDescent="0.3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</row>
    <row r="360" spans="1:15" x14ac:dyDescent="0.3">
      <c r="A360" s="52"/>
      <c r="B360" s="52"/>
      <c r="K360" s="52"/>
    </row>
    <row r="361" spans="1:15" x14ac:dyDescent="0.3">
      <c r="A361" s="52"/>
      <c r="B361" s="58" t="s">
        <v>235</v>
      </c>
      <c r="C361" s="55" t="s">
        <v>911</v>
      </c>
      <c r="D361" s="55" t="s">
        <v>912</v>
      </c>
      <c r="E361" s="55" t="s">
        <v>913</v>
      </c>
      <c r="F361" s="55" t="s">
        <v>914</v>
      </c>
      <c r="G361" s="55" t="s">
        <v>915</v>
      </c>
      <c r="H361" s="55" t="s">
        <v>916</v>
      </c>
      <c r="I361" s="55" t="s">
        <v>910</v>
      </c>
      <c r="J361" s="55" t="s">
        <v>909</v>
      </c>
      <c r="K361" s="52"/>
    </row>
    <row r="362" spans="1:15" x14ac:dyDescent="0.3">
      <c r="A362" s="52"/>
      <c r="B362" s="58" t="s">
        <v>235</v>
      </c>
      <c r="C362" s="55">
        <f>VLOOKUP(B362,$B$45:$E$79,4,FALSE)</f>
        <v>35</v>
      </c>
      <c r="D362" s="55">
        <f>VLOOKUP(B362,$B$84:$E$118,4,FALSE)</f>
        <v>30</v>
      </c>
      <c r="E362" s="55">
        <f>VLOOKUP(B362,$B$123:$D$157,3,FALSE)</f>
        <v>5</v>
      </c>
      <c r="F362" s="55">
        <f>VLOOKUP(B362,$B$206:$D$240,3,FALSE)</f>
        <v>29</v>
      </c>
      <c r="G362" s="55">
        <f>VLOOKUP(B362,$B$245:$E$279,4,FALSE)</f>
        <v>34</v>
      </c>
      <c r="H362" s="55">
        <f>VLOOKUP(B362,$B$285:$D$319,3,FALSE)</f>
        <v>35</v>
      </c>
      <c r="I362" s="55">
        <f>VLOOKUP(B362,$B$324:$D$358,3,FALSE)</f>
        <v>35</v>
      </c>
      <c r="J362" s="60">
        <f>+'Tabla 100'!$D$3*C362+'Tabla 100'!$E$3*D362+'Tabla 100'!$F$3*E362+'Tabla 100'!$G$3*F362+'Tabla 100'!$H$3*G362+'Tabla 100'!$I$3*H362+I362*'Tabla 100'!$J$3+'Tabla Ranking'!A5/1000</f>
        <v>30.451000000000001</v>
      </c>
      <c r="K362" s="52" t="str">
        <f>+B362</f>
        <v>Integridad Democrática</v>
      </c>
    </row>
    <row r="363" spans="1:15" x14ac:dyDescent="0.3">
      <c r="A363" s="52"/>
      <c r="B363" s="58" t="s">
        <v>451</v>
      </c>
      <c r="C363" s="55">
        <f t="shared" ref="C363:C396" si="19">VLOOKUP(B363,$B$45:$E$79,4,FALSE)</f>
        <v>35</v>
      </c>
      <c r="D363" s="55">
        <f t="shared" ref="D363:D396" si="20">VLOOKUP(B363,$B$84:$E$118,4,FALSE)</f>
        <v>13</v>
      </c>
      <c r="E363" s="55">
        <f t="shared" ref="E363:E396" si="21">VLOOKUP(B363,$B$123:$D$157,3,FALSE)</f>
        <v>25</v>
      </c>
      <c r="F363" s="55">
        <f t="shared" ref="F363:F396" si="22">VLOOKUP(B363,$B$206:$D$240,3,FALSE)</f>
        <v>7</v>
      </c>
      <c r="G363" s="55">
        <f t="shared" ref="G363:G396" si="23">VLOOKUP(B363,$B$245:$E$279,4,FALSE)</f>
        <v>32</v>
      </c>
      <c r="H363" s="55">
        <f t="shared" ref="H363:H396" si="24">VLOOKUP(B363,$B$285:$D$319,3,FALSE)</f>
        <v>35</v>
      </c>
      <c r="I363" s="55">
        <f t="shared" ref="I363:I396" si="25">VLOOKUP(B363,$B$324:$D$358,3,FALSE)</f>
        <v>7</v>
      </c>
      <c r="J363" s="60">
        <f>+'Tabla 100'!$D$3*C363+'Tabla 100'!$E$3*D363+'Tabla 100'!$F$3*E363+'Tabla 100'!$G$3*F363+'Tabla 100'!$H$3*G363+'Tabla 100'!$I$3*H363+I363*'Tabla 100'!$J$3+'Tabla Ranking'!A6/1000</f>
        <v>26.052</v>
      </c>
      <c r="K363" s="52" t="str">
        <f t="shared" ref="K363:K396" si="26">+B363</f>
        <v>PPP</v>
      </c>
    </row>
    <row r="364" spans="1:15" x14ac:dyDescent="0.3">
      <c r="A364" s="52"/>
      <c r="B364" s="58" t="s">
        <v>333</v>
      </c>
      <c r="C364" s="55">
        <f t="shared" si="19"/>
        <v>35</v>
      </c>
      <c r="D364" s="55">
        <f t="shared" si="20"/>
        <v>31</v>
      </c>
      <c r="E364" s="55">
        <f t="shared" si="21"/>
        <v>25</v>
      </c>
      <c r="F364" s="55">
        <f t="shared" si="22"/>
        <v>16</v>
      </c>
      <c r="G364" s="55">
        <f t="shared" si="23"/>
        <v>31</v>
      </c>
      <c r="H364" s="55">
        <f t="shared" si="24"/>
        <v>35</v>
      </c>
      <c r="I364" s="55">
        <f t="shared" si="25"/>
        <v>9</v>
      </c>
      <c r="J364" s="60">
        <f>+'Tabla 100'!$D$3*C364+'Tabla 100'!$E$3*D364+'Tabla 100'!$F$3*E364+'Tabla 100'!$G$3*F364+'Tabla 100'!$H$3*G364+'Tabla 100'!$I$3*H364+I364*'Tabla 100'!$J$3+'Tabla Ranking'!A7/1000</f>
        <v>29.952999999999999</v>
      </c>
      <c r="K364" s="52" t="str">
        <f t="shared" si="26"/>
        <v>Libertad Popular</v>
      </c>
    </row>
    <row r="365" spans="1:15" x14ac:dyDescent="0.3">
      <c r="A365" s="52"/>
      <c r="B365" s="58" t="s">
        <v>452</v>
      </c>
      <c r="C365" s="55">
        <f t="shared" si="19"/>
        <v>10</v>
      </c>
      <c r="D365" s="55">
        <f t="shared" si="20"/>
        <v>10</v>
      </c>
      <c r="E365" s="55">
        <f t="shared" si="21"/>
        <v>4</v>
      </c>
      <c r="F365" s="55">
        <f t="shared" si="22"/>
        <v>9</v>
      </c>
      <c r="G365" s="55">
        <f t="shared" si="23"/>
        <v>30</v>
      </c>
      <c r="H365" s="55">
        <f t="shared" si="24"/>
        <v>35</v>
      </c>
      <c r="I365" s="55">
        <f t="shared" si="25"/>
        <v>19</v>
      </c>
      <c r="J365" s="60">
        <f>+'Tabla 100'!$D$3*C365+'Tabla 100'!$E$3*D365+'Tabla 100'!$F$3*E365+'Tabla 100'!$G$3*F365+'Tabla 100'!$H$3*G365+'Tabla 100'!$I$3*H365+I365*'Tabla 100'!$J$3+'Tabla Ranking'!A8/1000</f>
        <v>17.304000000000002</v>
      </c>
      <c r="K365" s="52" t="str">
        <f t="shared" si="26"/>
        <v>Peru Acción</v>
      </c>
    </row>
    <row r="366" spans="1:15" x14ac:dyDescent="0.3">
      <c r="A366" s="52"/>
      <c r="B366" s="58" t="s">
        <v>177</v>
      </c>
      <c r="C366" s="55">
        <f t="shared" si="19"/>
        <v>19</v>
      </c>
      <c r="D366" s="55">
        <f t="shared" si="20"/>
        <v>17</v>
      </c>
      <c r="E366" s="55">
        <f t="shared" si="21"/>
        <v>25</v>
      </c>
      <c r="F366" s="55">
        <f t="shared" si="22"/>
        <v>23</v>
      </c>
      <c r="G366" s="55">
        <f t="shared" si="23"/>
        <v>27</v>
      </c>
      <c r="H366" s="55">
        <f t="shared" si="24"/>
        <v>35</v>
      </c>
      <c r="I366" s="55">
        <f t="shared" si="25"/>
        <v>35</v>
      </c>
      <c r="J366" s="60">
        <f>+'Tabla 100'!$D$3*C366+'Tabla 100'!$E$3*D366+'Tabla 100'!$F$3*E366+'Tabla 100'!$G$3*F366+'Tabla 100'!$H$3*G366+'Tabla 100'!$I$3*H366+I366*'Tabla 100'!$J$3+'Tabla Ranking'!A9/1000</f>
        <v>23.805</v>
      </c>
      <c r="K366" s="52" t="str">
        <f t="shared" si="26"/>
        <v>Buen Gobierno</v>
      </c>
    </row>
    <row r="367" spans="1:15" x14ac:dyDescent="0.3">
      <c r="A367" s="52"/>
      <c r="B367" s="58" t="s">
        <v>210</v>
      </c>
      <c r="C367" s="55">
        <f t="shared" si="19"/>
        <v>10</v>
      </c>
      <c r="D367" s="55">
        <f t="shared" si="20"/>
        <v>4</v>
      </c>
      <c r="E367" s="55">
        <f t="shared" si="21"/>
        <v>7</v>
      </c>
      <c r="F367" s="55">
        <f t="shared" si="22"/>
        <v>11</v>
      </c>
      <c r="G367" s="55">
        <f t="shared" si="23"/>
        <v>27</v>
      </c>
      <c r="H367" s="55">
        <f t="shared" si="24"/>
        <v>35</v>
      </c>
      <c r="I367" s="55">
        <f t="shared" si="25"/>
        <v>35</v>
      </c>
      <c r="J367" s="60">
        <f>+'Tabla 100'!$D$3*C367+'Tabla 100'!$E$3*D367+'Tabla 100'!$F$3*E367+'Tabla 100'!$G$3*F367+'Tabla 100'!$H$3*G367+'Tabla 100'!$I$3*H367+I367*'Tabla 100'!$J$3+'Tabla Ranking'!A10/1000</f>
        <v>16.556000000000001</v>
      </c>
      <c r="K367" s="52" t="str">
        <f t="shared" si="26"/>
        <v>Obras</v>
      </c>
    </row>
    <row r="368" spans="1:15" x14ac:dyDescent="0.3">
      <c r="A368" s="52"/>
      <c r="B368" s="58" t="s">
        <v>453</v>
      </c>
      <c r="C368" s="55">
        <f t="shared" si="19"/>
        <v>35</v>
      </c>
      <c r="D368" s="55">
        <f t="shared" si="20"/>
        <v>8</v>
      </c>
      <c r="E368" s="55">
        <f t="shared" si="21"/>
        <v>15</v>
      </c>
      <c r="F368" s="55">
        <f t="shared" si="22"/>
        <v>17</v>
      </c>
      <c r="G368" s="55">
        <f t="shared" si="23"/>
        <v>26</v>
      </c>
      <c r="H368" s="55">
        <f t="shared" si="24"/>
        <v>35</v>
      </c>
      <c r="I368" s="55">
        <f t="shared" si="25"/>
        <v>7</v>
      </c>
      <c r="J368" s="60">
        <f>+'Tabla 100'!$D$3*C368+'Tabla 100'!$E$3*D368+'Tabla 100'!$F$3*E368+'Tabla 100'!$G$3*F368+'Tabla 100'!$H$3*G368+'Tabla 100'!$I$3*H368+I368*'Tabla 100'!$J$3+'Tabla Ranking'!A11/1000</f>
        <v>23.057000000000002</v>
      </c>
      <c r="K368" s="52" t="str">
        <f t="shared" si="26"/>
        <v>PRIN</v>
      </c>
    </row>
    <row r="369" spans="1:11" x14ac:dyDescent="0.3">
      <c r="A369" s="52"/>
      <c r="B369" s="58" t="s">
        <v>446</v>
      </c>
      <c r="C369" s="55">
        <f t="shared" si="19"/>
        <v>35</v>
      </c>
      <c r="D369" s="55">
        <f t="shared" si="20"/>
        <v>7</v>
      </c>
      <c r="E369" s="55">
        <f t="shared" si="21"/>
        <v>25</v>
      </c>
      <c r="F369" s="55">
        <f t="shared" si="22"/>
        <v>21</v>
      </c>
      <c r="G369" s="55">
        <f t="shared" si="23"/>
        <v>25</v>
      </c>
      <c r="H369" s="55">
        <f t="shared" si="24"/>
        <v>35</v>
      </c>
      <c r="I369" s="55">
        <f t="shared" si="25"/>
        <v>3</v>
      </c>
      <c r="J369" s="60">
        <f>+'Tabla 100'!$D$3*C369+'Tabla 100'!$E$3*D369+'Tabla 100'!$F$3*E369+'Tabla 100'!$G$3*F369+'Tabla 100'!$H$3*G369+'Tabla 100'!$I$3*H369+I369*'Tabla 100'!$J$3+'Tabla Ranking'!A12/1000</f>
        <v>23.608000000000001</v>
      </c>
      <c r="K369" s="52" t="str">
        <f t="shared" si="26"/>
        <v>PTE</v>
      </c>
    </row>
    <row r="370" spans="1:11" x14ac:dyDescent="0.3">
      <c r="A370" s="52"/>
      <c r="B370" s="58" t="s">
        <v>458</v>
      </c>
      <c r="C370" s="55">
        <f t="shared" si="19"/>
        <v>35</v>
      </c>
      <c r="D370" s="55">
        <f t="shared" si="20"/>
        <v>1</v>
      </c>
      <c r="E370" s="55">
        <f t="shared" si="21"/>
        <v>1</v>
      </c>
      <c r="F370" s="55">
        <f t="shared" si="22"/>
        <v>1</v>
      </c>
      <c r="G370" s="55">
        <f t="shared" si="23"/>
        <v>23</v>
      </c>
      <c r="H370" s="55">
        <f t="shared" si="24"/>
        <v>35</v>
      </c>
      <c r="I370" s="55">
        <f t="shared" si="25"/>
        <v>35</v>
      </c>
      <c r="J370" s="60">
        <f>+'Tabla 100'!$D$3*C370+'Tabla 100'!$E$3*D370+'Tabla 100'!$F$3*E370+'Tabla 100'!$G$3*F370+'Tabla 100'!$H$3*G370+'Tabla 100'!$I$3*H370+I370*'Tabla 100'!$J$3+'Tabla Ranking'!A13/1000</f>
        <v>20.109000000000002</v>
      </c>
      <c r="K370" s="52" t="str">
        <f t="shared" si="26"/>
        <v>Un Camino Diferente</v>
      </c>
    </row>
    <row r="371" spans="1:11" x14ac:dyDescent="0.3">
      <c r="A371" s="52"/>
      <c r="B371" s="58" t="s">
        <v>318</v>
      </c>
      <c r="C371" s="55">
        <f t="shared" si="19"/>
        <v>16</v>
      </c>
      <c r="D371" s="55">
        <f t="shared" si="20"/>
        <v>34</v>
      </c>
      <c r="E371" s="55">
        <f t="shared" si="21"/>
        <v>17</v>
      </c>
      <c r="F371" s="55">
        <f t="shared" si="22"/>
        <v>30</v>
      </c>
      <c r="G371" s="55">
        <f t="shared" si="23"/>
        <v>20</v>
      </c>
      <c r="H371" s="55">
        <f t="shared" si="24"/>
        <v>35</v>
      </c>
      <c r="I371" s="55">
        <f t="shared" si="25"/>
        <v>4</v>
      </c>
      <c r="J371" s="60">
        <f>+'Tabla 100'!$D$3*C371+'Tabla 100'!$E$3*D371+'Tabla 100'!$F$3*E371+'Tabla 100'!$G$3*F371+'Tabla 100'!$H$3*G371+'Tabla 100'!$I$3*H371+I371*'Tabla 100'!$J$3+'Tabla Ranking'!A14/1000</f>
        <v>22.71</v>
      </c>
      <c r="K371" s="52" t="str">
        <f t="shared" si="26"/>
        <v>Pais para Todos</v>
      </c>
    </row>
    <row r="372" spans="1:11" x14ac:dyDescent="0.3">
      <c r="A372" s="52"/>
      <c r="B372" s="58" t="s">
        <v>187</v>
      </c>
      <c r="C372" s="55">
        <f t="shared" si="19"/>
        <v>16</v>
      </c>
      <c r="D372" s="55">
        <f t="shared" si="20"/>
        <v>2</v>
      </c>
      <c r="E372" s="55">
        <f t="shared" si="21"/>
        <v>35</v>
      </c>
      <c r="F372" s="55">
        <f t="shared" si="22"/>
        <v>3</v>
      </c>
      <c r="G372" s="55">
        <f t="shared" si="23"/>
        <v>19</v>
      </c>
      <c r="H372" s="55">
        <f t="shared" si="24"/>
        <v>11</v>
      </c>
      <c r="I372" s="55">
        <f t="shared" si="25"/>
        <v>11</v>
      </c>
      <c r="J372" s="60">
        <f>+'Tabla 100'!$D$3*C372+'Tabla 100'!$E$3*D372+'Tabla 100'!$F$3*E372+'Tabla 100'!$G$3*F372+'Tabla 100'!$H$3*G372+'Tabla 100'!$I$3*H372+I372*'Tabla 100'!$J$3+'Tabla Ranking'!A15/1000</f>
        <v>14.461</v>
      </c>
      <c r="K372" s="52" t="str">
        <f t="shared" si="26"/>
        <v>Cooperación Popular</v>
      </c>
    </row>
    <row r="373" spans="1:11" x14ac:dyDescent="0.3">
      <c r="A373" s="52"/>
      <c r="B373" s="58" t="s">
        <v>450</v>
      </c>
      <c r="C373" s="55">
        <f t="shared" si="19"/>
        <v>35</v>
      </c>
      <c r="D373" s="55">
        <f t="shared" si="20"/>
        <v>18</v>
      </c>
      <c r="E373" s="55">
        <f t="shared" si="21"/>
        <v>15</v>
      </c>
      <c r="F373" s="55">
        <f t="shared" si="22"/>
        <v>27</v>
      </c>
      <c r="G373" s="55">
        <f t="shared" si="23"/>
        <v>18</v>
      </c>
      <c r="H373" s="55">
        <f t="shared" si="24"/>
        <v>35</v>
      </c>
      <c r="I373" s="55">
        <f t="shared" si="25"/>
        <v>19</v>
      </c>
      <c r="J373" s="60">
        <f>+'Tabla 100'!$D$3*C373+'Tabla 100'!$E$3*D373+'Tabla 100'!$F$3*E373+'Tabla 100'!$G$3*F373+'Tabla 100'!$H$3*G373+'Tabla 100'!$I$3*H373+I373*'Tabla 100'!$J$3+'Tabla Ranking'!A16/1000</f>
        <v>24.161999999999999</v>
      </c>
      <c r="K373" s="52" t="str">
        <f t="shared" si="26"/>
        <v>Frente de la Esperanza</v>
      </c>
    </row>
    <row r="374" spans="1:11" x14ac:dyDescent="0.3">
      <c r="A374" s="52"/>
      <c r="B374" s="58" t="s">
        <v>441</v>
      </c>
      <c r="C374" s="55">
        <f t="shared" si="19"/>
        <v>35</v>
      </c>
      <c r="D374" s="55">
        <f t="shared" si="20"/>
        <v>11</v>
      </c>
      <c r="E374" s="55">
        <f t="shared" si="21"/>
        <v>25</v>
      </c>
      <c r="F374" s="55">
        <f t="shared" si="22"/>
        <v>19</v>
      </c>
      <c r="G374" s="55">
        <f t="shared" si="23"/>
        <v>15</v>
      </c>
      <c r="H374" s="55">
        <f t="shared" si="24"/>
        <v>35</v>
      </c>
      <c r="I374" s="55">
        <f t="shared" si="25"/>
        <v>1</v>
      </c>
      <c r="J374" s="60">
        <f>+'Tabla 100'!$D$3*C374+'Tabla 100'!$E$3*D374+'Tabla 100'!$F$3*E374+'Tabla 100'!$G$3*F374+'Tabla 100'!$H$3*G374+'Tabla 100'!$I$3*H374+I374*'Tabla 100'!$J$3+'Tabla Ranking'!A17/1000</f>
        <v>21.713000000000001</v>
      </c>
      <c r="K374" s="52" t="str">
        <f t="shared" si="26"/>
        <v>Fe en el Peru</v>
      </c>
    </row>
    <row r="375" spans="1:11" x14ac:dyDescent="0.3">
      <c r="A375" s="52"/>
      <c r="B375" s="58" t="s">
        <v>304</v>
      </c>
      <c r="C375" s="55">
        <f t="shared" si="19"/>
        <v>6</v>
      </c>
      <c r="D375" s="55">
        <f t="shared" si="20"/>
        <v>33</v>
      </c>
      <c r="E375" s="55">
        <f t="shared" si="21"/>
        <v>25</v>
      </c>
      <c r="F375" s="55">
        <f t="shared" si="22"/>
        <v>15</v>
      </c>
      <c r="G375" s="55">
        <f t="shared" si="23"/>
        <v>15</v>
      </c>
      <c r="H375" s="55">
        <f t="shared" si="24"/>
        <v>35</v>
      </c>
      <c r="I375" s="55">
        <f t="shared" si="25"/>
        <v>1</v>
      </c>
      <c r="J375" s="60">
        <f>+'Tabla 100'!$D$3*C375+'Tabla 100'!$E$3*D375+'Tabla 100'!$F$3*E375+'Tabla 100'!$G$3*F375+'Tabla 100'!$H$3*G375+'Tabla 100'!$I$3*H375+I375*'Tabla 100'!$J$3+'Tabla Ranking'!A18/1000</f>
        <v>18.664000000000001</v>
      </c>
      <c r="K375" s="52" t="str">
        <f t="shared" si="26"/>
        <v>Unido Perú</v>
      </c>
    </row>
    <row r="376" spans="1:11" x14ac:dyDescent="0.3">
      <c r="A376" s="52"/>
      <c r="B376" s="58" t="s">
        <v>447</v>
      </c>
      <c r="C376" s="55">
        <f t="shared" si="19"/>
        <v>19</v>
      </c>
      <c r="D376" s="55">
        <f t="shared" si="20"/>
        <v>5</v>
      </c>
      <c r="E376" s="55">
        <f t="shared" si="21"/>
        <v>9</v>
      </c>
      <c r="F376" s="55">
        <f t="shared" si="22"/>
        <v>5</v>
      </c>
      <c r="G376" s="55">
        <f t="shared" si="23"/>
        <v>14</v>
      </c>
      <c r="H376" s="55">
        <f t="shared" si="24"/>
        <v>35</v>
      </c>
      <c r="I376" s="55">
        <f t="shared" si="25"/>
        <v>19</v>
      </c>
      <c r="J376" s="60">
        <f>+'Tabla 100'!$D$3*C376+'Tabla 100'!$E$3*D376+'Tabla 100'!$F$3*E376+'Tabla 100'!$G$3*F376+'Tabla 100'!$H$3*G376+'Tabla 100'!$I$3*H376+I376*'Tabla 100'!$J$3+'Tabla Ranking'!A19/1000</f>
        <v>14.865</v>
      </c>
      <c r="K376" s="52" t="str">
        <f t="shared" si="26"/>
        <v>Verde</v>
      </c>
    </row>
    <row r="377" spans="1:11" x14ac:dyDescent="0.3">
      <c r="A377" s="52"/>
      <c r="B377" s="58" t="s">
        <v>448</v>
      </c>
      <c r="C377" s="55">
        <f t="shared" si="19"/>
        <v>2</v>
      </c>
      <c r="D377" s="55">
        <f t="shared" si="20"/>
        <v>19</v>
      </c>
      <c r="E377" s="55">
        <f t="shared" si="21"/>
        <v>19</v>
      </c>
      <c r="F377" s="55">
        <f t="shared" si="22"/>
        <v>25</v>
      </c>
      <c r="G377" s="55">
        <f t="shared" si="23"/>
        <v>12</v>
      </c>
      <c r="H377" s="55">
        <f t="shared" si="24"/>
        <v>35</v>
      </c>
      <c r="I377" s="55">
        <f t="shared" si="25"/>
        <v>4</v>
      </c>
      <c r="J377" s="60">
        <f>+'Tabla 100'!$D$3*C377+'Tabla 100'!$E$3*D377+'Tabla 100'!$F$3*E377+'Tabla 100'!$G$3*F377+'Tabla 100'!$H$3*G377+'Tabla 100'!$I$3*H377+I377*'Tabla 100'!$J$3+'Tabla Ranking'!A20/1000</f>
        <v>14.166</v>
      </c>
      <c r="K377" s="52" t="str">
        <f t="shared" si="26"/>
        <v>Peru Federal</v>
      </c>
    </row>
    <row r="378" spans="1:11" x14ac:dyDescent="0.3">
      <c r="A378" s="52"/>
      <c r="B378" s="58" t="s">
        <v>288</v>
      </c>
      <c r="C378" s="55">
        <f t="shared" si="19"/>
        <v>35</v>
      </c>
      <c r="D378" s="55">
        <f t="shared" si="20"/>
        <v>28</v>
      </c>
      <c r="E378" s="55">
        <f t="shared" si="21"/>
        <v>12</v>
      </c>
      <c r="F378" s="55">
        <f t="shared" si="22"/>
        <v>12</v>
      </c>
      <c r="G378" s="55">
        <f t="shared" si="23"/>
        <v>1</v>
      </c>
      <c r="H378" s="55">
        <f t="shared" si="24"/>
        <v>35</v>
      </c>
      <c r="I378" s="55">
        <f t="shared" si="25"/>
        <v>19</v>
      </c>
      <c r="J378" s="60">
        <f>+'Tabla 100'!$D$3*C378+'Tabla 100'!$E$3*D378+'Tabla 100'!$F$3*E378+'Tabla 100'!$G$3*F378+'Tabla 100'!$H$3*G378+'Tabla 100'!$I$3*H378+I378*'Tabla 100'!$J$3+'Tabla Ranking'!A21/1000</f>
        <v>20.867000000000001</v>
      </c>
      <c r="K378" s="52" t="str">
        <f t="shared" si="26"/>
        <v>APRA</v>
      </c>
    </row>
    <row r="379" spans="1:11" x14ac:dyDescent="0.3">
      <c r="A379" s="52"/>
      <c r="B379" s="58" t="s">
        <v>443</v>
      </c>
      <c r="C379" s="55">
        <f t="shared" si="19"/>
        <v>35</v>
      </c>
      <c r="D379" s="55">
        <f t="shared" si="20"/>
        <v>6</v>
      </c>
      <c r="E379" s="55">
        <f t="shared" si="21"/>
        <v>2</v>
      </c>
      <c r="F379" s="55">
        <f t="shared" si="22"/>
        <v>13</v>
      </c>
      <c r="G379" s="55">
        <f t="shared" si="23"/>
        <v>35</v>
      </c>
      <c r="H379" s="55">
        <f t="shared" si="24"/>
        <v>35</v>
      </c>
      <c r="I379" s="55">
        <f t="shared" si="25"/>
        <v>35</v>
      </c>
      <c r="J379" s="60">
        <f>+'Tabla 100'!$D$3*C379+'Tabla 100'!$E$3*D379+'Tabla 100'!$F$3*E379+'Tabla 100'!$G$3*F379+'Tabla 100'!$H$3*G379+'Tabla 100'!$I$3*H379+I379*'Tabla 100'!$J$3+'Tabla Ranking'!A22/1000</f>
        <v>24.817999999999998</v>
      </c>
      <c r="K379" s="52" t="str">
        <f t="shared" si="26"/>
        <v>FREPAP</v>
      </c>
    </row>
    <row r="380" spans="1:11" x14ac:dyDescent="0.3">
      <c r="A380" s="52"/>
      <c r="B380" s="58" t="s">
        <v>444</v>
      </c>
      <c r="C380" s="55">
        <f t="shared" si="19"/>
        <v>35</v>
      </c>
      <c r="D380" s="55">
        <f t="shared" si="20"/>
        <v>21</v>
      </c>
      <c r="E380" s="55">
        <f t="shared" si="21"/>
        <v>9</v>
      </c>
      <c r="F380" s="55">
        <f t="shared" si="22"/>
        <v>35</v>
      </c>
      <c r="G380" s="55">
        <f t="shared" si="23"/>
        <v>29</v>
      </c>
      <c r="H380" s="55">
        <f t="shared" si="24"/>
        <v>35</v>
      </c>
      <c r="I380" s="55">
        <f t="shared" si="25"/>
        <v>11</v>
      </c>
      <c r="J380" s="60">
        <f>+'Tabla 100'!$D$3*C380+'Tabla 100'!$E$3*D380+'Tabla 100'!$F$3*E380+'Tabla 100'!$G$3*F380+'Tabla 100'!$H$3*G380+'Tabla 100'!$I$3*H380+I380*'Tabla 100'!$J$3+'Tabla Ranking'!A23/1000</f>
        <v>26.919</v>
      </c>
      <c r="K380" s="52" t="str">
        <f t="shared" si="26"/>
        <v>Fuerza y Libertad</v>
      </c>
    </row>
    <row r="381" spans="1:11" x14ac:dyDescent="0.3">
      <c r="A381" s="52"/>
      <c r="B381" s="58" t="s">
        <v>415</v>
      </c>
      <c r="C381" s="55">
        <f t="shared" si="19"/>
        <v>5</v>
      </c>
      <c r="D381" s="55">
        <f t="shared" si="20"/>
        <v>24</v>
      </c>
      <c r="E381" s="55">
        <f t="shared" si="21"/>
        <v>19</v>
      </c>
      <c r="F381" s="55">
        <f t="shared" si="22"/>
        <v>18</v>
      </c>
      <c r="G381" s="55">
        <f t="shared" si="23"/>
        <v>21</v>
      </c>
      <c r="H381" s="55">
        <f t="shared" si="24"/>
        <v>35</v>
      </c>
      <c r="I381" s="55">
        <f t="shared" si="25"/>
        <v>9</v>
      </c>
      <c r="J381" s="60">
        <f>+'Tabla 100'!$D$3*C381+'Tabla 100'!$E$3*D381+'Tabla 100'!$F$3*E381+'Tabla 100'!$G$3*F381+'Tabla 100'!$H$3*G381+'Tabla 100'!$I$3*H381+I381*'Tabla 100'!$J$3+'Tabla Ranking'!A24/1000</f>
        <v>18.07</v>
      </c>
      <c r="K381" s="52" t="str">
        <f t="shared" si="26"/>
        <v>Primero La Gente</v>
      </c>
    </row>
    <row r="382" spans="1:11" x14ac:dyDescent="0.3">
      <c r="A382" s="52"/>
      <c r="B382" s="58" t="s">
        <v>250</v>
      </c>
      <c r="C382" s="55">
        <f t="shared" si="19"/>
        <v>10</v>
      </c>
      <c r="D382" s="55">
        <f t="shared" si="20"/>
        <v>21</v>
      </c>
      <c r="E382" s="55">
        <f t="shared" si="21"/>
        <v>31</v>
      </c>
      <c r="F382" s="55">
        <f t="shared" si="22"/>
        <v>32</v>
      </c>
      <c r="G382" s="55">
        <f t="shared" si="23"/>
        <v>1</v>
      </c>
      <c r="H382" s="55">
        <f t="shared" si="24"/>
        <v>35</v>
      </c>
      <c r="I382" s="55">
        <f t="shared" si="25"/>
        <v>11</v>
      </c>
      <c r="J382" s="60">
        <f>+'Tabla 100'!$D$3*C382+'Tabla 100'!$E$3*D382+'Tabla 100'!$F$3*E382+'Tabla 100'!$G$3*F382+'Tabla 100'!$H$3*G382+'Tabla 100'!$I$3*H382+I382*'Tabla 100'!$J$3+'Tabla Ranking'!A25/1000</f>
        <v>15.721000000000002</v>
      </c>
      <c r="K382" s="52" t="str">
        <f t="shared" si="26"/>
        <v>Partido Morado</v>
      </c>
    </row>
    <row r="383" spans="1:11" x14ac:dyDescent="0.3">
      <c r="A383" s="52"/>
      <c r="B383" s="58" t="s">
        <v>457</v>
      </c>
      <c r="C383" s="55">
        <f t="shared" si="19"/>
        <v>10</v>
      </c>
      <c r="D383" s="55">
        <f t="shared" si="20"/>
        <v>3</v>
      </c>
      <c r="E383" s="55">
        <f t="shared" si="21"/>
        <v>2</v>
      </c>
      <c r="F383" s="55">
        <f t="shared" si="22"/>
        <v>14</v>
      </c>
      <c r="G383" s="55">
        <f t="shared" si="23"/>
        <v>33</v>
      </c>
      <c r="H383" s="55">
        <f t="shared" si="24"/>
        <v>11</v>
      </c>
      <c r="I383" s="55">
        <f t="shared" si="25"/>
        <v>19</v>
      </c>
      <c r="J383" s="60">
        <f>+'Tabla 100'!$D$3*C383+'Tabla 100'!$E$3*D383+'Tabla 100'!$F$3*E383+'Tabla 100'!$G$3*F383+'Tabla 100'!$H$3*G383+'Tabla 100'!$I$3*H383+I383*'Tabla 100'!$J$3+'Tabla Ranking'!A26/1000</f>
        <v>14.321999999999999</v>
      </c>
      <c r="K383" s="52" t="str">
        <f t="shared" si="26"/>
        <v>Progresemos</v>
      </c>
    </row>
    <row r="384" spans="1:11" x14ac:dyDescent="0.3">
      <c r="A384" s="52"/>
      <c r="B384" s="58" t="s">
        <v>3</v>
      </c>
      <c r="C384" s="55">
        <f t="shared" si="19"/>
        <v>35</v>
      </c>
      <c r="D384" s="55">
        <f t="shared" si="20"/>
        <v>29</v>
      </c>
      <c r="E384" s="55">
        <f t="shared" si="21"/>
        <v>35</v>
      </c>
      <c r="F384" s="55">
        <f t="shared" si="22"/>
        <v>34</v>
      </c>
      <c r="G384" s="55">
        <f t="shared" si="23"/>
        <v>22</v>
      </c>
      <c r="H384" s="55">
        <f t="shared" si="24"/>
        <v>11</v>
      </c>
      <c r="I384" s="55">
        <f t="shared" si="25"/>
        <v>11</v>
      </c>
      <c r="J384" s="60">
        <f>+'Tabla 100'!$D$3*C384+'Tabla 100'!$E$3*D384+'Tabla 100'!$F$3*E384+'Tabla 100'!$G$3*F384+'Tabla 100'!$H$3*G384+'Tabla 100'!$I$3*H384+I384*'Tabla 100'!$J$3+'Tabla Ranking'!A27/1000</f>
        <v>26.923000000000002</v>
      </c>
      <c r="K384" s="52" t="str">
        <f t="shared" si="26"/>
        <v>Ahora Nación</v>
      </c>
    </row>
    <row r="385" spans="1:13" x14ac:dyDescent="0.3">
      <c r="A385" s="52"/>
      <c r="B385" s="58" t="s">
        <v>459</v>
      </c>
      <c r="C385" s="55">
        <f t="shared" si="19"/>
        <v>19</v>
      </c>
      <c r="D385" s="55">
        <f t="shared" si="20"/>
        <v>26</v>
      </c>
      <c r="E385" s="55">
        <f t="shared" si="21"/>
        <v>17</v>
      </c>
      <c r="F385" s="55">
        <f t="shared" si="22"/>
        <v>20</v>
      </c>
      <c r="G385" s="55">
        <f t="shared" si="23"/>
        <v>17</v>
      </c>
      <c r="H385" s="55">
        <f t="shared" si="24"/>
        <v>11</v>
      </c>
      <c r="I385" s="55">
        <f t="shared" si="25"/>
        <v>35</v>
      </c>
      <c r="J385" s="60">
        <f>+'Tabla 100'!$D$3*C385+'Tabla 100'!$E$3*D385+'Tabla 100'!$F$3*E385+'Tabla 100'!$G$3*F385+'Tabla 100'!$H$3*G385+'Tabla 100'!$I$3*H385+I385*'Tabla 100'!$J$3+'Tabla Ranking'!A28/1000</f>
        <v>19.774000000000001</v>
      </c>
      <c r="K385" s="52" t="str">
        <f t="shared" si="26"/>
        <v>Unidad Nacional</v>
      </c>
    </row>
    <row r="386" spans="1:13" x14ac:dyDescent="0.3">
      <c r="A386" s="52"/>
      <c r="B386" s="58" t="s">
        <v>353</v>
      </c>
      <c r="C386" s="55">
        <f t="shared" si="19"/>
        <v>35</v>
      </c>
      <c r="D386" s="55">
        <f t="shared" si="20"/>
        <v>15</v>
      </c>
      <c r="E386" s="55">
        <f t="shared" si="21"/>
        <v>12</v>
      </c>
      <c r="F386" s="55">
        <f t="shared" si="22"/>
        <v>33</v>
      </c>
      <c r="G386" s="55">
        <f t="shared" si="23"/>
        <v>1</v>
      </c>
      <c r="H386" s="55">
        <f t="shared" si="24"/>
        <v>11</v>
      </c>
      <c r="I386" s="55">
        <f t="shared" si="25"/>
        <v>11</v>
      </c>
      <c r="J386" s="60">
        <f>+'Tabla 100'!$D$3*C386+'Tabla 100'!$E$3*D386+'Tabla 100'!$F$3*E386+'Tabla 100'!$G$3*F386+'Tabla 100'!$H$3*G386+'Tabla 100'!$I$3*H386+I386*'Tabla 100'!$J$3+'Tabla Ranking'!A29/1000</f>
        <v>16.524999999999999</v>
      </c>
      <c r="K386" s="52" t="str">
        <f t="shared" si="26"/>
        <v>Venceremos</v>
      </c>
    </row>
    <row r="387" spans="1:13" x14ac:dyDescent="0.3">
      <c r="A387" s="52"/>
      <c r="B387" s="58" t="s">
        <v>454</v>
      </c>
      <c r="C387" s="55">
        <f t="shared" si="19"/>
        <v>16</v>
      </c>
      <c r="D387" s="55">
        <f t="shared" si="20"/>
        <v>14</v>
      </c>
      <c r="E387" s="55">
        <f t="shared" si="21"/>
        <v>19</v>
      </c>
      <c r="F387" s="55">
        <f t="shared" si="22"/>
        <v>31</v>
      </c>
      <c r="G387" s="55">
        <f t="shared" si="23"/>
        <v>24</v>
      </c>
      <c r="H387" s="55">
        <f t="shared" si="24"/>
        <v>7</v>
      </c>
      <c r="I387" s="55">
        <f t="shared" si="25"/>
        <v>11</v>
      </c>
      <c r="J387" s="60">
        <f>+'Tabla 100'!$D$3*C387+'Tabla 100'!$E$3*D387+'Tabla 100'!$F$3*E387+'Tabla 100'!$G$3*F387+'Tabla 100'!$H$3*G387+'Tabla 100'!$I$3*H387+I387*'Tabla 100'!$J$3+'Tabla Ranking'!A30/1000</f>
        <v>17.526</v>
      </c>
      <c r="K387" s="52" t="str">
        <f t="shared" si="26"/>
        <v>Si Creo</v>
      </c>
    </row>
    <row r="388" spans="1:13" x14ac:dyDescent="0.3">
      <c r="A388" s="52"/>
      <c r="B388" s="58" t="s">
        <v>385</v>
      </c>
      <c r="C388" s="55">
        <f t="shared" si="19"/>
        <v>6</v>
      </c>
      <c r="D388" s="55">
        <f t="shared" si="20"/>
        <v>32</v>
      </c>
      <c r="E388" s="55">
        <f t="shared" si="21"/>
        <v>22</v>
      </c>
      <c r="F388" s="55">
        <f t="shared" si="22"/>
        <v>26</v>
      </c>
      <c r="G388" s="55">
        <f t="shared" si="23"/>
        <v>13</v>
      </c>
      <c r="H388" s="55">
        <f t="shared" si="24"/>
        <v>7</v>
      </c>
      <c r="I388" s="55">
        <f t="shared" si="25"/>
        <v>11</v>
      </c>
      <c r="J388" s="60">
        <f>+'Tabla 100'!$D$3*C388+'Tabla 100'!$E$3*D388+'Tabla 100'!$F$3*E388+'Tabla 100'!$G$3*F388+'Tabla 100'!$H$3*G388+'Tabla 100'!$I$3*H388+I388*'Tabla 100'!$J$3+'Tabla Ranking'!A31/1000</f>
        <v>15.927000000000001</v>
      </c>
      <c r="K388" s="52" t="str">
        <f t="shared" si="26"/>
        <v>Peru Primero</v>
      </c>
    </row>
    <row r="389" spans="1:13" x14ac:dyDescent="0.3">
      <c r="A389" s="52"/>
      <c r="B389" s="58" t="s">
        <v>442</v>
      </c>
      <c r="C389" s="55">
        <f t="shared" si="19"/>
        <v>35</v>
      </c>
      <c r="D389" s="55">
        <f t="shared" si="20"/>
        <v>25</v>
      </c>
      <c r="E389" s="55">
        <f t="shared" si="21"/>
        <v>6</v>
      </c>
      <c r="F389" s="55">
        <f t="shared" si="22"/>
        <v>2</v>
      </c>
      <c r="G389" s="55">
        <f t="shared" si="23"/>
        <v>1</v>
      </c>
      <c r="H389" s="55">
        <f t="shared" si="24"/>
        <v>7</v>
      </c>
      <c r="I389" s="55">
        <f t="shared" si="25"/>
        <v>6</v>
      </c>
      <c r="J389" s="60">
        <f>+'Tabla 100'!$D$3*C389+'Tabla 100'!$E$3*D389+'Tabla 100'!$F$3*E389+'Tabla 100'!$G$3*F389+'Tabla 100'!$H$3*G389+'Tabla 100'!$I$3*H389+I389*'Tabla 100'!$J$3+'Tabla Ranking'!A32/1000</f>
        <v>15.728</v>
      </c>
      <c r="K389" s="52" t="str">
        <f t="shared" si="26"/>
        <v>Avanza Pais</v>
      </c>
    </row>
    <row r="390" spans="1:13" x14ac:dyDescent="0.3">
      <c r="A390" s="52"/>
      <c r="B390" s="58" t="s">
        <v>45</v>
      </c>
      <c r="C390" s="55">
        <f t="shared" si="19"/>
        <v>4</v>
      </c>
      <c r="D390" s="55">
        <f t="shared" si="20"/>
        <v>16</v>
      </c>
      <c r="E390" s="55">
        <f t="shared" si="21"/>
        <v>12</v>
      </c>
      <c r="F390" s="55">
        <f t="shared" si="22"/>
        <v>8</v>
      </c>
      <c r="G390" s="55">
        <f t="shared" si="23"/>
        <v>1</v>
      </c>
      <c r="H390" s="55">
        <f t="shared" si="24"/>
        <v>7</v>
      </c>
      <c r="I390" s="55">
        <f t="shared" si="25"/>
        <v>19</v>
      </c>
      <c r="J390" s="60">
        <f>+'Tabla 100'!$D$3*C390+'Tabla 100'!$E$3*D390+'Tabla 100'!$F$3*E390+'Tabla 100'!$G$3*F390+'Tabla 100'!$H$3*G390+'Tabla 100'!$I$3*H390+I390*'Tabla 100'!$J$3+'Tabla Ranking'!A33/1000</f>
        <v>7.729000000000001</v>
      </c>
      <c r="K390" s="52" t="str">
        <f t="shared" si="26"/>
        <v>Renovación Popular</v>
      </c>
    </row>
    <row r="391" spans="1:13" x14ac:dyDescent="0.3">
      <c r="A391" s="52"/>
      <c r="B391" s="58" t="s">
        <v>449</v>
      </c>
      <c r="C391" s="55">
        <f t="shared" si="19"/>
        <v>10</v>
      </c>
      <c r="D391" s="55">
        <f t="shared" si="20"/>
        <v>20</v>
      </c>
      <c r="E391" s="55">
        <f t="shared" si="21"/>
        <v>22</v>
      </c>
      <c r="F391" s="55">
        <f t="shared" si="22"/>
        <v>24</v>
      </c>
      <c r="G391" s="55">
        <f t="shared" si="23"/>
        <v>1</v>
      </c>
      <c r="H391" s="55">
        <f t="shared" si="24"/>
        <v>6</v>
      </c>
      <c r="I391" s="55">
        <f t="shared" si="25"/>
        <v>11</v>
      </c>
      <c r="J391" s="60">
        <f>+'Tabla 100'!$D$3*C391+'Tabla 100'!$E$3*D391+'Tabla 100'!$F$3*E391+'Tabla 100'!$G$3*F391+'Tabla 100'!$H$3*G391+'Tabla 100'!$I$3*H391+I391*'Tabla 100'!$J$3+'Tabla Ranking'!A34/1000</f>
        <v>11.329999999999998</v>
      </c>
      <c r="K391" s="52" t="str">
        <f t="shared" si="26"/>
        <v>Somos Perú</v>
      </c>
    </row>
    <row r="392" spans="1:13" x14ac:dyDescent="0.3">
      <c r="A392" s="52"/>
      <c r="B392" s="58" t="s">
        <v>107</v>
      </c>
      <c r="C392" s="55">
        <f t="shared" si="19"/>
        <v>1</v>
      </c>
      <c r="D392" s="55">
        <f t="shared" si="20"/>
        <v>35</v>
      </c>
      <c r="E392" s="55">
        <f t="shared" si="21"/>
        <v>22</v>
      </c>
      <c r="F392" s="55">
        <f t="shared" si="22"/>
        <v>4</v>
      </c>
      <c r="G392" s="55">
        <f t="shared" si="23"/>
        <v>1</v>
      </c>
      <c r="H392" s="55">
        <f t="shared" si="24"/>
        <v>3</v>
      </c>
      <c r="I392" s="55">
        <f t="shared" si="25"/>
        <v>19</v>
      </c>
      <c r="J392" s="60">
        <f>+'Tabla 100'!$D$3*C392+'Tabla 100'!$E$3*D392+'Tabla 100'!$F$3*E392+'Tabla 100'!$G$3*F392+'Tabla 100'!$H$3*G392+'Tabla 100'!$I$3*H392+I392*'Tabla 100'!$J$3+'Tabla Ranking'!A35/1000</f>
        <v>11.180999999999999</v>
      </c>
      <c r="K392" s="52" t="str">
        <f t="shared" si="26"/>
        <v>Alianza para el Progreso</v>
      </c>
    </row>
    <row r="393" spans="1:13" x14ac:dyDescent="0.3">
      <c r="A393" s="52"/>
      <c r="B393" s="58" t="s">
        <v>138</v>
      </c>
      <c r="C393" s="55">
        <f t="shared" si="19"/>
        <v>10</v>
      </c>
      <c r="D393" s="55">
        <f t="shared" si="20"/>
        <v>12</v>
      </c>
      <c r="E393" s="55">
        <f t="shared" si="21"/>
        <v>9</v>
      </c>
      <c r="F393" s="55">
        <f t="shared" si="22"/>
        <v>28</v>
      </c>
      <c r="G393" s="55">
        <f t="shared" si="23"/>
        <v>1</v>
      </c>
      <c r="H393" s="55">
        <f t="shared" si="24"/>
        <v>3</v>
      </c>
      <c r="I393" s="55">
        <f t="shared" si="25"/>
        <v>35</v>
      </c>
      <c r="J393" s="60">
        <f>+'Tabla 100'!$D$3*C393+'Tabla 100'!$E$3*D393+'Tabla 100'!$F$3*E393+'Tabla 100'!$G$3*F393+'Tabla 100'!$H$3*G393+'Tabla 100'!$I$3*H393+I393*'Tabla 100'!$J$3+'Tabla Ranking'!A36/1000</f>
        <v>9.532</v>
      </c>
      <c r="K393" s="52" t="str">
        <f t="shared" si="26"/>
        <v>Juntos por el Perú</v>
      </c>
    </row>
    <row r="394" spans="1:13" x14ac:dyDescent="0.3">
      <c r="A394" s="52"/>
      <c r="B394" s="58" t="s">
        <v>456</v>
      </c>
      <c r="C394" s="55">
        <f t="shared" si="19"/>
        <v>8</v>
      </c>
      <c r="D394" s="55">
        <f t="shared" si="20"/>
        <v>9</v>
      </c>
      <c r="E394" s="55">
        <f t="shared" si="21"/>
        <v>7</v>
      </c>
      <c r="F394" s="55">
        <f t="shared" si="22"/>
        <v>22</v>
      </c>
      <c r="G394" s="55">
        <f t="shared" si="23"/>
        <v>1</v>
      </c>
      <c r="H394" s="55">
        <f t="shared" si="24"/>
        <v>3</v>
      </c>
      <c r="I394" s="55">
        <f t="shared" si="25"/>
        <v>19</v>
      </c>
      <c r="J394" s="60">
        <f>+'Tabla 100'!$D$3*C394+'Tabla 100'!$E$3*D394+'Tabla 100'!$F$3*E394+'Tabla 100'!$G$3*F394+'Tabla 100'!$H$3*G394+'Tabla 100'!$I$3*H394+I394*'Tabla 100'!$J$3+'Tabla Ranking'!A37/1000</f>
        <v>7.133</v>
      </c>
      <c r="K394" s="52" t="str">
        <f t="shared" si="26"/>
        <v>Podemos Perú</v>
      </c>
    </row>
    <row r="395" spans="1:13" x14ac:dyDescent="0.3">
      <c r="A395" s="52"/>
      <c r="B395" s="58" t="s">
        <v>76</v>
      </c>
      <c r="C395" s="55">
        <f t="shared" si="19"/>
        <v>3</v>
      </c>
      <c r="D395" s="55">
        <f t="shared" si="20"/>
        <v>27</v>
      </c>
      <c r="E395" s="55">
        <f t="shared" si="21"/>
        <v>31</v>
      </c>
      <c r="F395" s="55">
        <f t="shared" si="22"/>
        <v>6</v>
      </c>
      <c r="G395" s="55">
        <f t="shared" si="23"/>
        <v>1</v>
      </c>
      <c r="H395" s="55">
        <f t="shared" si="24"/>
        <v>2</v>
      </c>
      <c r="I395" s="55">
        <f t="shared" si="25"/>
        <v>35</v>
      </c>
      <c r="J395" s="60">
        <f>+'Tabla 100'!$D$3*C395+'Tabla 100'!$E$3*D395+'Tabla 100'!$F$3*E395+'Tabla 100'!$G$3*F395+'Tabla 100'!$H$3*G395+'Tabla 100'!$I$3*H395+I395*'Tabla 100'!$J$3+'Tabla Ranking'!A38/1000</f>
        <v>11.784000000000001</v>
      </c>
      <c r="K395" s="52" t="str">
        <f t="shared" si="26"/>
        <v>Fuerza Popular</v>
      </c>
    </row>
    <row r="396" spans="1:13" x14ac:dyDescent="0.3">
      <c r="A396" s="52"/>
      <c r="B396" s="58" t="s">
        <v>140</v>
      </c>
      <c r="C396" s="55">
        <f t="shared" si="19"/>
        <v>8</v>
      </c>
      <c r="D396" s="55">
        <f t="shared" si="20"/>
        <v>23</v>
      </c>
      <c r="E396" s="55">
        <f t="shared" si="21"/>
        <v>31</v>
      </c>
      <c r="F396" s="55">
        <f t="shared" si="22"/>
        <v>10</v>
      </c>
      <c r="G396" s="55">
        <f t="shared" si="23"/>
        <v>1</v>
      </c>
      <c r="H396" s="55">
        <f t="shared" si="24"/>
        <v>1</v>
      </c>
      <c r="I396" s="55">
        <f t="shared" si="25"/>
        <v>35</v>
      </c>
      <c r="J396" s="60">
        <f>+'Tabla 100'!$D$3*C396+'Tabla 100'!$E$3*D396+'Tabla 100'!$F$3*E396+'Tabla 100'!$G$3*F396+'Tabla 100'!$H$3*G396+'Tabla 100'!$I$3*H396+I396*'Tabla 100'!$J$3+'Tabla Ranking'!A39/1000</f>
        <v>12.335000000000001</v>
      </c>
      <c r="K396" s="52" t="str">
        <f t="shared" si="26"/>
        <v>Peru Libre</v>
      </c>
    </row>
    <row r="397" spans="1:13" x14ac:dyDescent="0.3">
      <c r="A397" s="52"/>
      <c r="B397" s="52"/>
      <c r="J397" s="52"/>
      <c r="K397" s="52"/>
      <c r="L397" s="52"/>
      <c r="M397" s="52"/>
    </row>
    <row r="398" spans="1:13" x14ac:dyDescent="0.3">
      <c r="C398">
        <v>2</v>
      </c>
      <c r="D398">
        <v>3</v>
      </c>
      <c r="E398">
        <v>4</v>
      </c>
      <c r="F398">
        <v>5</v>
      </c>
      <c r="G398">
        <v>6</v>
      </c>
      <c r="H398">
        <v>7</v>
      </c>
      <c r="I398">
        <v>8</v>
      </c>
    </row>
  </sheetData>
  <mergeCells count="4">
    <mergeCell ref="C3:D3"/>
    <mergeCell ref="E3:F3"/>
    <mergeCell ref="G3:H3"/>
    <mergeCell ref="I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2DEC-4C55-4B43-9BE9-B493D33A699A}">
  <dimension ref="A1:G35"/>
  <sheetViews>
    <sheetView tabSelected="1" zoomScale="80" zoomScaleNormal="80" workbookViewId="0"/>
  </sheetViews>
  <sheetFormatPr baseColWidth="10" defaultRowHeight="14.4" x14ac:dyDescent="0.3"/>
  <sheetData>
    <row r="1" spans="1:7" x14ac:dyDescent="0.3">
      <c r="A1" s="52"/>
      <c r="B1" s="52"/>
      <c r="C1" s="52"/>
      <c r="D1" s="52"/>
      <c r="E1" s="52"/>
      <c r="F1" s="52"/>
      <c r="G1" s="52"/>
    </row>
    <row r="2" spans="1:7" x14ac:dyDescent="0.3">
      <c r="A2" s="52"/>
      <c r="B2" s="52"/>
      <c r="C2" s="52"/>
      <c r="D2" s="52"/>
      <c r="E2" s="52"/>
      <c r="F2" s="52"/>
      <c r="G2" s="52"/>
    </row>
    <row r="3" spans="1:7" x14ac:dyDescent="0.3">
      <c r="A3" s="52"/>
      <c r="B3" s="52"/>
      <c r="C3" s="52"/>
      <c r="D3" s="52"/>
      <c r="E3" s="52"/>
      <c r="F3" s="52"/>
      <c r="G3" s="52"/>
    </row>
    <row r="4" spans="1:7" x14ac:dyDescent="0.3">
      <c r="A4" s="52"/>
      <c r="B4" s="52"/>
      <c r="C4" s="52"/>
      <c r="D4" s="52"/>
      <c r="E4" s="52"/>
      <c r="F4" s="52"/>
      <c r="G4" s="52"/>
    </row>
    <row r="5" spans="1:7" x14ac:dyDescent="0.3">
      <c r="A5" s="52"/>
      <c r="B5" s="52"/>
      <c r="C5" s="52"/>
      <c r="D5" s="52"/>
      <c r="E5" s="52"/>
      <c r="F5" s="52"/>
      <c r="G5" s="52"/>
    </row>
    <row r="6" spans="1:7" x14ac:dyDescent="0.3">
      <c r="A6" s="52"/>
      <c r="B6" s="52"/>
      <c r="C6" s="52"/>
      <c r="D6" s="52"/>
      <c r="E6" s="52"/>
      <c r="F6" s="52"/>
      <c r="G6" s="52"/>
    </row>
    <row r="7" spans="1:7" x14ac:dyDescent="0.3">
      <c r="A7" s="52"/>
      <c r="B7" s="52"/>
      <c r="C7" s="52"/>
      <c r="D7" s="52"/>
      <c r="E7" s="52"/>
      <c r="F7" s="52"/>
      <c r="G7" s="52"/>
    </row>
    <row r="8" spans="1:7" x14ac:dyDescent="0.3">
      <c r="A8" s="52"/>
      <c r="B8" s="52"/>
      <c r="C8" s="52"/>
      <c r="D8" s="52"/>
      <c r="E8" s="52"/>
      <c r="F8" s="52"/>
      <c r="G8" s="52"/>
    </row>
    <row r="9" spans="1:7" x14ac:dyDescent="0.3">
      <c r="A9" s="52"/>
      <c r="B9" s="52"/>
      <c r="C9" s="52"/>
      <c r="D9" s="52"/>
      <c r="E9" s="52"/>
      <c r="F9" s="52"/>
      <c r="G9" s="52"/>
    </row>
    <row r="10" spans="1:7" x14ac:dyDescent="0.3">
      <c r="A10" s="52"/>
      <c r="B10" s="52"/>
      <c r="C10" s="52"/>
      <c r="D10" s="52"/>
      <c r="E10" s="52"/>
      <c r="F10" s="52"/>
      <c r="G10" s="52"/>
    </row>
    <row r="11" spans="1:7" x14ac:dyDescent="0.3">
      <c r="A11" s="52"/>
      <c r="B11" s="52"/>
      <c r="C11" s="52"/>
      <c r="D11" s="52"/>
      <c r="E11" s="52"/>
      <c r="F11" s="52"/>
      <c r="G11" s="52"/>
    </row>
    <row r="12" spans="1:7" x14ac:dyDescent="0.3">
      <c r="A12" s="52"/>
      <c r="B12" s="52"/>
      <c r="C12" s="52"/>
      <c r="D12" s="52"/>
      <c r="E12" s="52"/>
      <c r="F12" s="52"/>
      <c r="G12" s="52"/>
    </row>
    <row r="13" spans="1:7" x14ac:dyDescent="0.3">
      <c r="A13" s="52"/>
      <c r="B13" s="52"/>
      <c r="C13" s="52"/>
      <c r="D13" s="52"/>
      <c r="E13" s="52"/>
      <c r="F13" s="52"/>
      <c r="G13" s="52"/>
    </row>
    <row r="14" spans="1:7" x14ac:dyDescent="0.3">
      <c r="A14" s="52"/>
      <c r="B14" s="52"/>
      <c r="C14" s="52"/>
      <c r="D14" s="52"/>
      <c r="E14" s="52"/>
      <c r="F14" s="52"/>
      <c r="G14" s="52"/>
    </row>
    <row r="15" spans="1:7" x14ac:dyDescent="0.3">
      <c r="A15" s="52"/>
      <c r="B15" s="52"/>
      <c r="C15" s="52"/>
      <c r="D15" s="52"/>
      <c r="E15" s="52"/>
      <c r="F15" s="52"/>
      <c r="G15" s="52"/>
    </row>
    <row r="16" spans="1:7" x14ac:dyDescent="0.3">
      <c r="A16" s="52"/>
      <c r="B16" s="52"/>
      <c r="C16" s="52"/>
      <c r="D16" s="52"/>
      <c r="E16" s="52"/>
      <c r="F16" s="52"/>
      <c r="G16" s="52"/>
    </row>
    <row r="17" spans="1:7" x14ac:dyDescent="0.3">
      <c r="A17" s="52"/>
      <c r="B17" s="52"/>
      <c r="C17" s="52"/>
      <c r="D17" s="52"/>
      <c r="E17" s="52"/>
      <c r="F17" s="52"/>
      <c r="G17" s="52"/>
    </row>
    <row r="18" spans="1:7" x14ac:dyDescent="0.3">
      <c r="A18" s="52"/>
      <c r="B18" s="52"/>
      <c r="C18" s="52"/>
      <c r="D18" s="52"/>
      <c r="E18" s="52"/>
      <c r="F18" s="52"/>
      <c r="G18" s="52"/>
    </row>
    <row r="19" spans="1:7" x14ac:dyDescent="0.3">
      <c r="A19" s="52"/>
      <c r="B19" s="52"/>
      <c r="C19" s="52"/>
      <c r="D19" s="52"/>
      <c r="E19" s="52"/>
      <c r="F19" s="52"/>
      <c r="G19" s="52"/>
    </row>
    <row r="20" spans="1:7" x14ac:dyDescent="0.3">
      <c r="A20" s="52"/>
      <c r="B20" s="52"/>
      <c r="C20" s="52"/>
      <c r="D20" s="52"/>
      <c r="E20" s="52"/>
      <c r="F20" s="52"/>
      <c r="G20" s="52"/>
    </row>
    <row r="21" spans="1:7" x14ac:dyDescent="0.3">
      <c r="A21" s="52"/>
      <c r="B21" s="52"/>
      <c r="C21" s="52"/>
      <c r="D21" s="52"/>
      <c r="E21" s="52"/>
      <c r="F21" s="52"/>
      <c r="G21" s="52"/>
    </row>
    <row r="22" spans="1:7" x14ac:dyDescent="0.3">
      <c r="A22" s="52"/>
      <c r="B22" s="52"/>
      <c r="C22" s="52"/>
      <c r="D22" s="52"/>
      <c r="E22" s="52"/>
      <c r="F22" s="52"/>
      <c r="G22" s="52"/>
    </row>
    <row r="23" spans="1:7" x14ac:dyDescent="0.3">
      <c r="A23" s="52"/>
      <c r="B23" s="52"/>
      <c r="C23" s="52"/>
      <c r="D23" s="52"/>
      <c r="E23" s="52"/>
      <c r="F23" s="52"/>
      <c r="G23" s="52"/>
    </row>
    <row r="24" spans="1:7" x14ac:dyDescent="0.3">
      <c r="A24" s="52"/>
      <c r="B24" s="52"/>
      <c r="C24" s="52"/>
      <c r="D24" s="52"/>
      <c r="E24" s="52"/>
      <c r="F24" s="52"/>
      <c r="G24" s="52"/>
    </row>
    <row r="25" spans="1:7" x14ac:dyDescent="0.3">
      <c r="A25" s="52"/>
      <c r="B25" s="52"/>
      <c r="C25" s="52"/>
      <c r="D25" s="52"/>
      <c r="E25" s="52"/>
      <c r="F25" s="52"/>
      <c r="G25" s="52"/>
    </row>
    <row r="26" spans="1:7" x14ac:dyDescent="0.3">
      <c r="A26" s="52"/>
      <c r="B26" s="52"/>
      <c r="C26" s="52"/>
      <c r="D26" s="52"/>
      <c r="E26" s="52"/>
      <c r="F26" s="52"/>
      <c r="G26" s="52"/>
    </row>
    <row r="27" spans="1:7" x14ac:dyDescent="0.3">
      <c r="A27" s="52"/>
      <c r="B27" s="52"/>
      <c r="C27" s="52"/>
      <c r="D27" s="52"/>
      <c r="E27" s="52"/>
      <c r="F27" s="52"/>
      <c r="G27" s="52"/>
    </row>
    <row r="28" spans="1:7" x14ac:dyDescent="0.3">
      <c r="A28" s="52"/>
      <c r="B28" s="52"/>
      <c r="C28" s="52"/>
      <c r="D28" s="52"/>
      <c r="E28" s="52"/>
      <c r="F28" s="52"/>
      <c r="G28" s="52"/>
    </row>
    <row r="29" spans="1:7" x14ac:dyDescent="0.3">
      <c r="A29" s="52"/>
      <c r="B29" s="52"/>
      <c r="C29" s="52"/>
      <c r="D29" s="52"/>
      <c r="E29" s="52"/>
      <c r="F29" s="52"/>
      <c r="G29" s="52"/>
    </row>
    <row r="30" spans="1:7" x14ac:dyDescent="0.3">
      <c r="A30" s="52"/>
      <c r="B30" s="52"/>
      <c r="C30" s="52"/>
      <c r="D30" s="52"/>
      <c r="E30" s="52"/>
      <c r="F30" s="52"/>
      <c r="G30" s="52"/>
    </row>
    <row r="31" spans="1:7" x14ac:dyDescent="0.3">
      <c r="A31" s="52"/>
      <c r="B31" s="52"/>
      <c r="C31" s="52"/>
      <c r="D31" s="52"/>
      <c r="E31" s="52"/>
      <c r="F31" s="52"/>
      <c r="G31" s="52"/>
    </row>
    <row r="32" spans="1:7" x14ac:dyDescent="0.3">
      <c r="A32" s="52"/>
      <c r="B32" s="52"/>
      <c r="C32" s="52"/>
      <c r="D32" s="52"/>
      <c r="E32" s="52"/>
      <c r="F32" s="52"/>
      <c r="G32" s="52"/>
    </row>
    <row r="33" spans="1:7" x14ac:dyDescent="0.3">
      <c r="A33" s="52"/>
      <c r="B33" s="52"/>
      <c r="C33" s="52"/>
      <c r="D33" s="52"/>
      <c r="E33" s="52"/>
      <c r="F33" s="52"/>
      <c r="G33" s="52"/>
    </row>
    <row r="34" spans="1:7" x14ac:dyDescent="0.3">
      <c r="A34" s="52"/>
      <c r="B34" s="52"/>
      <c r="C34" s="52"/>
      <c r="D34" s="52"/>
      <c r="E34" s="52"/>
      <c r="F34" s="52"/>
      <c r="G34" s="52"/>
    </row>
    <row r="35" spans="1:7" x14ac:dyDescent="0.3">
      <c r="A35" s="52"/>
      <c r="B35" s="52"/>
      <c r="C35" s="52"/>
      <c r="D35" s="52"/>
      <c r="E35" s="52"/>
      <c r="F35" s="52"/>
      <c r="G35" s="5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2F7A-A05D-4AA2-AB05-C338843E4CF2}">
  <dimension ref="A1:G33"/>
  <sheetViews>
    <sheetView workbookViewId="0">
      <selection activeCell="I10" sqref="I10"/>
    </sheetView>
  </sheetViews>
  <sheetFormatPr baseColWidth="10" defaultRowHeight="14.4" x14ac:dyDescent="0.3"/>
  <sheetData>
    <row r="1" spans="1:7" x14ac:dyDescent="0.3">
      <c r="A1" s="52"/>
      <c r="B1" s="52"/>
      <c r="C1" s="52"/>
      <c r="D1" s="52"/>
      <c r="E1" s="52"/>
      <c r="F1" s="52"/>
      <c r="G1" s="52"/>
    </row>
    <row r="2" spans="1:7" x14ac:dyDescent="0.3">
      <c r="A2" s="52"/>
      <c r="B2" s="52"/>
      <c r="C2" s="52"/>
      <c r="D2" s="52"/>
      <c r="E2" s="52"/>
      <c r="F2" s="52"/>
      <c r="G2" s="52"/>
    </row>
    <row r="3" spans="1:7" x14ac:dyDescent="0.3">
      <c r="A3" s="52"/>
      <c r="B3" s="52"/>
      <c r="C3" s="52"/>
      <c r="D3" s="52"/>
      <c r="E3" s="52"/>
      <c r="F3" s="52"/>
      <c r="G3" s="52"/>
    </row>
    <row r="4" spans="1:7" x14ac:dyDescent="0.3">
      <c r="A4" s="52"/>
      <c r="B4" s="52"/>
      <c r="C4" s="52"/>
      <c r="D4" s="52"/>
      <c r="E4" s="52"/>
      <c r="F4" s="52"/>
      <c r="G4" s="52"/>
    </row>
    <row r="5" spans="1:7" x14ac:dyDescent="0.3">
      <c r="A5" s="52"/>
      <c r="B5" s="52"/>
      <c r="C5" s="52"/>
      <c r="D5" s="52"/>
      <c r="E5" s="52"/>
      <c r="F5" s="52"/>
      <c r="G5" s="52"/>
    </row>
    <row r="6" spans="1:7" x14ac:dyDescent="0.3">
      <c r="A6" s="52"/>
      <c r="B6" s="52"/>
      <c r="C6" s="52"/>
      <c r="D6" s="52"/>
      <c r="E6" s="52"/>
      <c r="F6" s="52"/>
      <c r="G6" s="52"/>
    </row>
    <row r="7" spans="1:7" x14ac:dyDescent="0.3">
      <c r="A7" s="52"/>
      <c r="B7" s="52"/>
      <c r="C7" s="52"/>
      <c r="D7" s="52"/>
      <c r="E7" s="52"/>
      <c r="F7" s="52"/>
      <c r="G7" s="52"/>
    </row>
    <row r="8" spans="1:7" x14ac:dyDescent="0.3">
      <c r="A8" s="52"/>
      <c r="B8" s="52"/>
      <c r="C8" s="52"/>
      <c r="D8" s="52"/>
      <c r="E8" s="52"/>
      <c r="F8" s="52"/>
      <c r="G8" s="52"/>
    </row>
    <row r="9" spans="1:7" x14ac:dyDescent="0.3">
      <c r="A9" s="52"/>
      <c r="B9" s="52"/>
      <c r="C9" s="52"/>
      <c r="D9" s="52"/>
      <c r="E9" s="52"/>
      <c r="F9" s="52"/>
      <c r="G9" s="52"/>
    </row>
    <row r="10" spans="1:7" x14ac:dyDescent="0.3">
      <c r="A10" s="52"/>
      <c r="B10" s="52"/>
      <c r="C10" s="52"/>
      <c r="D10" s="52"/>
      <c r="E10" s="52"/>
      <c r="F10" s="52"/>
      <c r="G10" s="52"/>
    </row>
    <row r="11" spans="1:7" x14ac:dyDescent="0.3">
      <c r="A11" s="52"/>
      <c r="B11" s="52"/>
      <c r="C11" s="52"/>
      <c r="D11" s="52"/>
      <c r="E11" s="52"/>
      <c r="F11" s="52"/>
      <c r="G11" s="52"/>
    </row>
    <row r="12" spans="1:7" x14ac:dyDescent="0.3">
      <c r="A12" s="52"/>
      <c r="B12" s="52"/>
      <c r="C12" s="52"/>
      <c r="D12" s="52"/>
      <c r="E12" s="52"/>
      <c r="F12" s="52"/>
      <c r="G12" s="52"/>
    </row>
    <row r="13" spans="1:7" x14ac:dyDescent="0.3">
      <c r="A13" s="52"/>
      <c r="B13" s="52"/>
      <c r="C13" s="52"/>
      <c r="D13" s="52"/>
      <c r="E13" s="52"/>
      <c r="F13" s="52"/>
      <c r="G13" s="52"/>
    </row>
    <row r="14" spans="1:7" x14ac:dyDescent="0.3">
      <c r="A14" s="52"/>
      <c r="B14" s="52"/>
      <c r="C14" s="52"/>
      <c r="D14" s="52"/>
      <c r="E14" s="52"/>
      <c r="F14" s="52"/>
      <c r="G14" s="52"/>
    </row>
    <row r="15" spans="1:7" x14ac:dyDescent="0.3">
      <c r="A15" s="52"/>
      <c r="B15" s="52"/>
      <c r="C15" s="52"/>
      <c r="D15" s="52"/>
      <c r="E15" s="52"/>
      <c r="F15" s="52"/>
      <c r="G15" s="52"/>
    </row>
    <row r="16" spans="1:7" x14ac:dyDescent="0.3">
      <c r="A16" s="52"/>
      <c r="B16" s="52"/>
      <c r="C16" s="52"/>
      <c r="D16" s="52"/>
      <c r="E16" s="52"/>
      <c r="F16" s="52"/>
      <c r="G16" s="52"/>
    </row>
    <row r="17" spans="1:7" x14ac:dyDescent="0.3">
      <c r="A17" s="52"/>
      <c r="B17" s="52"/>
      <c r="C17" s="52"/>
      <c r="D17" s="52"/>
      <c r="E17" s="52"/>
      <c r="F17" s="52"/>
      <c r="G17" s="52"/>
    </row>
    <row r="18" spans="1:7" x14ac:dyDescent="0.3">
      <c r="A18" s="52"/>
      <c r="B18" s="52"/>
      <c r="C18" s="52"/>
      <c r="D18" s="52"/>
      <c r="E18" s="52"/>
      <c r="F18" s="52"/>
      <c r="G18" s="52"/>
    </row>
    <row r="19" spans="1:7" x14ac:dyDescent="0.3">
      <c r="A19" s="52"/>
      <c r="B19" s="52"/>
      <c r="C19" s="52"/>
      <c r="D19" s="52"/>
      <c r="E19" s="52"/>
      <c r="F19" s="52"/>
      <c r="G19" s="52"/>
    </row>
    <row r="20" spans="1:7" x14ac:dyDescent="0.3">
      <c r="A20" s="52"/>
      <c r="B20" s="52"/>
      <c r="C20" s="52"/>
      <c r="D20" s="52"/>
      <c r="E20" s="52"/>
      <c r="F20" s="52"/>
      <c r="G20" s="52"/>
    </row>
    <row r="21" spans="1:7" x14ac:dyDescent="0.3">
      <c r="A21" s="52"/>
      <c r="B21" s="52"/>
      <c r="C21" s="52"/>
      <c r="D21" s="52"/>
      <c r="E21" s="52"/>
      <c r="F21" s="52"/>
      <c r="G21" s="52"/>
    </row>
    <row r="22" spans="1:7" x14ac:dyDescent="0.3">
      <c r="A22" s="52"/>
      <c r="B22" s="52"/>
      <c r="C22" s="52"/>
      <c r="D22" s="52"/>
      <c r="E22" s="52"/>
      <c r="F22" s="52"/>
      <c r="G22" s="52"/>
    </row>
    <row r="23" spans="1:7" x14ac:dyDescent="0.3">
      <c r="A23" s="52"/>
      <c r="B23" s="52"/>
      <c r="C23" s="52"/>
      <c r="D23" s="52"/>
      <c r="E23" s="52"/>
      <c r="F23" s="52"/>
      <c r="G23" s="52"/>
    </row>
    <row r="24" spans="1:7" x14ac:dyDescent="0.3">
      <c r="A24" s="52"/>
      <c r="B24" s="52"/>
      <c r="C24" s="52"/>
      <c r="D24" s="52"/>
      <c r="E24" s="52"/>
      <c r="F24" s="52"/>
      <c r="G24" s="52"/>
    </row>
    <row r="25" spans="1:7" x14ac:dyDescent="0.3">
      <c r="A25" s="52"/>
      <c r="B25" s="52"/>
      <c r="C25" s="52"/>
      <c r="D25" s="52"/>
      <c r="E25" s="52"/>
      <c r="F25" s="52"/>
      <c r="G25" s="52"/>
    </row>
    <row r="26" spans="1:7" x14ac:dyDescent="0.3">
      <c r="A26" s="52"/>
      <c r="B26" s="52"/>
      <c r="C26" s="52"/>
      <c r="D26" s="52"/>
      <c r="E26" s="52"/>
      <c r="F26" s="52"/>
      <c r="G26" s="52"/>
    </row>
    <row r="27" spans="1:7" x14ac:dyDescent="0.3">
      <c r="A27" s="52"/>
      <c r="B27" s="52"/>
      <c r="C27" s="52"/>
      <c r="D27" s="52"/>
      <c r="E27" s="52"/>
      <c r="F27" s="52"/>
      <c r="G27" s="52"/>
    </row>
    <row r="28" spans="1:7" x14ac:dyDescent="0.3">
      <c r="A28" s="52"/>
      <c r="B28" s="52"/>
      <c r="C28" s="52"/>
      <c r="D28" s="52"/>
      <c r="E28" s="52"/>
      <c r="F28" s="52"/>
      <c r="G28" s="52"/>
    </row>
    <row r="29" spans="1:7" x14ac:dyDescent="0.3">
      <c r="A29" s="52"/>
      <c r="B29" s="52"/>
      <c r="C29" s="52"/>
      <c r="D29" s="52"/>
      <c r="E29" s="52"/>
      <c r="F29" s="52"/>
      <c r="G29" s="52"/>
    </row>
    <row r="30" spans="1:7" x14ac:dyDescent="0.3">
      <c r="A30" s="52"/>
      <c r="B30" s="52"/>
      <c r="C30" s="52"/>
      <c r="D30" s="52"/>
      <c r="E30" s="52"/>
      <c r="F30" s="52"/>
      <c r="G30" s="52"/>
    </row>
    <row r="31" spans="1:7" x14ac:dyDescent="0.3">
      <c r="A31" s="52"/>
      <c r="B31" s="52"/>
      <c r="C31" s="52"/>
      <c r="D31" s="52"/>
      <c r="E31" s="52"/>
      <c r="F31" s="52"/>
      <c r="G31" s="52"/>
    </row>
    <row r="32" spans="1:7" x14ac:dyDescent="0.3">
      <c r="A32" s="52"/>
      <c r="B32" s="52"/>
      <c r="C32" s="52"/>
      <c r="D32" s="52"/>
      <c r="E32" s="52"/>
      <c r="F32" s="52"/>
      <c r="G32" s="52"/>
    </row>
    <row r="33" spans="1:7" x14ac:dyDescent="0.3">
      <c r="A33" s="52"/>
      <c r="B33" s="52"/>
      <c r="C33" s="52"/>
      <c r="D33" s="52"/>
      <c r="E33" s="52"/>
      <c r="F33" s="52"/>
      <c r="G33" s="5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0BF4-297A-43CC-8B5F-1BC04D0E9BDB}">
  <dimension ref="A1:F34"/>
  <sheetViews>
    <sheetView workbookViewId="0">
      <selection activeCell="F34" sqref="A1:F34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  <row r="34" spans="1:6" x14ac:dyDescent="0.3">
      <c r="A34" s="52"/>
      <c r="B34" s="52"/>
      <c r="C34" s="52"/>
      <c r="D34" s="52"/>
      <c r="E34" s="52"/>
      <c r="F34" s="5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2AF2-BB37-4910-B7AC-5B3CE81C236E}">
  <dimension ref="A1:F33"/>
  <sheetViews>
    <sheetView topLeftCell="A6" workbookViewId="0">
      <selection sqref="A1:F33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0B4F7-026D-4294-8338-69D5566675EE}">
  <dimension ref="A1:F34"/>
  <sheetViews>
    <sheetView workbookViewId="0">
      <selection activeCell="G7" sqref="G7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  <row r="34" spans="1:6" x14ac:dyDescent="0.3">
      <c r="A34" s="52"/>
      <c r="B34" s="52"/>
      <c r="C34" s="52"/>
      <c r="D34" s="52"/>
      <c r="E34" s="52"/>
      <c r="F34" s="5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40F2-4AC1-4968-959F-7CCAA9A71B45}">
  <dimension ref="A1:F33"/>
  <sheetViews>
    <sheetView workbookViewId="0">
      <selection activeCell="H10" sqref="H10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63DB-B080-41FB-8386-C9FCA435F789}">
  <dimension ref="A1:F33"/>
  <sheetViews>
    <sheetView topLeftCell="A6" workbookViewId="0">
      <selection activeCell="I31" sqref="I31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8DC7-5A78-4522-82BB-722E2E664B18}">
  <dimension ref="A1:F33"/>
  <sheetViews>
    <sheetView workbookViewId="0">
      <selection sqref="A1:F33"/>
    </sheetView>
  </sheetViews>
  <sheetFormatPr baseColWidth="10" defaultRowHeight="14.4" x14ac:dyDescent="0.3"/>
  <sheetData>
    <row r="1" spans="1:6" x14ac:dyDescent="0.3">
      <c r="A1" s="52"/>
      <c r="B1" s="52"/>
      <c r="C1" s="52"/>
      <c r="D1" s="52"/>
      <c r="E1" s="52"/>
      <c r="F1" s="52"/>
    </row>
    <row r="2" spans="1:6" x14ac:dyDescent="0.3">
      <c r="A2" s="52"/>
      <c r="B2" s="52"/>
      <c r="C2" s="52"/>
      <c r="D2" s="52"/>
      <c r="E2" s="52"/>
      <c r="F2" s="52"/>
    </row>
    <row r="3" spans="1:6" x14ac:dyDescent="0.3">
      <c r="A3" s="52"/>
      <c r="B3" s="52"/>
      <c r="C3" s="52"/>
      <c r="D3" s="52"/>
      <c r="E3" s="52"/>
      <c r="F3" s="52"/>
    </row>
    <row r="4" spans="1:6" x14ac:dyDescent="0.3">
      <c r="A4" s="52"/>
      <c r="B4" s="52"/>
      <c r="C4" s="52"/>
      <c r="D4" s="52"/>
      <c r="E4" s="52"/>
      <c r="F4" s="52"/>
    </row>
    <row r="5" spans="1:6" x14ac:dyDescent="0.3">
      <c r="A5" s="52"/>
      <c r="B5" s="52"/>
      <c r="C5" s="52"/>
      <c r="D5" s="52"/>
      <c r="E5" s="52"/>
      <c r="F5" s="52"/>
    </row>
    <row r="6" spans="1:6" x14ac:dyDescent="0.3">
      <c r="A6" s="52"/>
      <c r="B6" s="52"/>
      <c r="C6" s="52"/>
      <c r="D6" s="52"/>
      <c r="E6" s="52"/>
      <c r="F6" s="52"/>
    </row>
    <row r="7" spans="1:6" x14ac:dyDescent="0.3">
      <c r="A7" s="52"/>
      <c r="B7" s="52"/>
      <c r="C7" s="52"/>
      <c r="D7" s="52"/>
      <c r="E7" s="52"/>
      <c r="F7" s="52"/>
    </row>
    <row r="8" spans="1:6" x14ac:dyDescent="0.3">
      <c r="A8" s="52"/>
      <c r="B8" s="52"/>
      <c r="C8" s="52"/>
      <c r="D8" s="52"/>
      <c r="E8" s="52"/>
      <c r="F8" s="52"/>
    </row>
    <row r="9" spans="1:6" x14ac:dyDescent="0.3">
      <c r="A9" s="52"/>
      <c r="B9" s="52"/>
      <c r="C9" s="52"/>
      <c r="D9" s="52"/>
      <c r="E9" s="52"/>
      <c r="F9" s="52"/>
    </row>
    <row r="10" spans="1:6" x14ac:dyDescent="0.3">
      <c r="A10" s="52"/>
      <c r="B10" s="52"/>
      <c r="C10" s="52"/>
      <c r="D10" s="52"/>
      <c r="E10" s="52"/>
      <c r="F10" s="52"/>
    </row>
    <row r="11" spans="1:6" x14ac:dyDescent="0.3">
      <c r="A11" s="52"/>
      <c r="B11" s="52"/>
      <c r="C11" s="52"/>
      <c r="D11" s="52"/>
      <c r="E11" s="52"/>
      <c r="F11" s="52"/>
    </row>
    <row r="12" spans="1:6" x14ac:dyDescent="0.3">
      <c r="A12" s="52"/>
      <c r="B12" s="52"/>
      <c r="C12" s="52"/>
      <c r="D12" s="52"/>
      <c r="E12" s="52"/>
      <c r="F12" s="52"/>
    </row>
    <row r="13" spans="1:6" x14ac:dyDescent="0.3">
      <c r="A13" s="52"/>
      <c r="B13" s="52"/>
      <c r="C13" s="52"/>
      <c r="D13" s="52"/>
      <c r="E13" s="52"/>
      <c r="F13" s="52"/>
    </row>
    <row r="14" spans="1:6" x14ac:dyDescent="0.3">
      <c r="A14" s="52"/>
      <c r="B14" s="52"/>
      <c r="C14" s="52"/>
      <c r="D14" s="52"/>
      <c r="E14" s="52"/>
      <c r="F14" s="52"/>
    </row>
    <row r="15" spans="1:6" x14ac:dyDescent="0.3">
      <c r="A15" s="52"/>
      <c r="B15" s="52"/>
      <c r="C15" s="52"/>
      <c r="D15" s="52"/>
      <c r="E15" s="52"/>
      <c r="F15" s="52"/>
    </row>
    <row r="16" spans="1:6" x14ac:dyDescent="0.3">
      <c r="A16" s="52"/>
      <c r="B16" s="52"/>
      <c r="C16" s="52"/>
      <c r="D16" s="52"/>
      <c r="E16" s="52"/>
      <c r="F16" s="52"/>
    </row>
    <row r="17" spans="1:6" x14ac:dyDescent="0.3">
      <c r="A17" s="52"/>
      <c r="B17" s="52"/>
      <c r="C17" s="52"/>
      <c r="D17" s="52"/>
      <c r="E17" s="52"/>
      <c r="F17" s="52"/>
    </row>
    <row r="18" spans="1:6" x14ac:dyDescent="0.3">
      <c r="A18" s="52"/>
      <c r="B18" s="52"/>
      <c r="C18" s="52"/>
      <c r="D18" s="52"/>
      <c r="E18" s="52"/>
      <c r="F18" s="52"/>
    </row>
    <row r="19" spans="1:6" x14ac:dyDescent="0.3">
      <c r="A19" s="52"/>
      <c r="B19" s="52"/>
      <c r="C19" s="52"/>
      <c r="D19" s="52"/>
      <c r="E19" s="52"/>
      <c r="F19" s="52"/>
    </row>
    <row r="20" spans="1:6" x14ac:dyDescent="0.3">
      <c r="A20" s="52"/>
      <c r="B20" s="52"/>
      <c r="C20" s="52"/>
      <c r="D20" s="52"/>
      <c r="E20" s="52"/>
      <c r="F20" s="52"/>
    </row>
    <row r="21" spans="1:6" x14ac:dyDescent="0.3">
      <c r="A21" s="52"/>
      <c r="B21" s="52"/>
      <c r="C21" s="52"/>
      <c r="D21" s="52"/>
      <c r="E21" s="52"/>
      <c r="F21" s="52"/>
    </row>
    <row r="22" spans="1:6" x14ac:dyDescent="0.3">
      <c r="A22" s="52"/>
      <c r="B22" s="52"/>
      <c r="C22" s="52"/>
      <c r="D22" s="52"/>
      <c r="E22" s="52"/>
      <c r="F22" s="52"/>
    </row>
    <row r="23" spans="1:6" x14ac:dyDescent="0.3">
      <c r="A23" s="52"/>
      <c r="B23" s="52"/>
      <c r="C23" s="52"/>
      <c r="D23" s="52"/>
      <c r="E23" s="52"/>
      <c r="F23" s="52"/>
    </row>
    <row r="24" spans="1:6" x14ac:dyDescent="0.3">
      <c r="A24" s="52"/>
      <c r="B24" s="52"/>
      <c r="C24" s="52"/>
      <c r="D24" s="52"/>
      <c r="E24" s="52"/>
      <c r="F24" s="52"/>
    </row>
    <row r="25" spans="1:6" x14ac:dyDescent="0.3">
      <c r="A25" s="52"/>
      <c r="B25" s="52"/>
      <c r="C25" s="52"/>
      <c r="D25" s="52"/>
      <c r="E25" s="52"/>
      <c r="F25" s="52"/>
    </row>
    <row r="26" spans="1:6" x14ac:dyDescent="0.3">
      <c r="A26" s="52"/>
      <c r="B26" s="52"/>
      <c r="C26" s="52"/>
      <c r="D26" s="52"/>
      <c r="E26" s="52"/>
      <c r="F26" s="52"/>
    </row>
    <row r="27" spans="1:6" x14ac:dyDescent="0.3">
      <c r="A27" s="52"/>
      <c r="B27" s="52"/>
      <c r="C27" s="52"/>
      <c r="D27" s="52"/>
      <c r="E27" s="52"/>
      <c r="F27" s="52"/>
    </row>
    <row r="28" spans="1:6" x14ac:dyDescent="0.3">
      <c r="A28" s="52"/>
      <c r="B28" s="52"/>
      <c r="C28" s="52"/>
      <c r="D28" s="52"/>
      <c r="E28" s="52"/>
      <c r="F28" s="52"/>
    </row>
    <row r="29" spans="1:6" x14ac:dyDescent="0.3">
      <c r="A29" s="52"/>
      <c r="B29" s="52"/>
      <c r="C29" s="52"/>
      <c r="D29" s="52"/>
      <c r="E29" s="52"/>
      <c r="F29" s="52"/>
    </row>
    <row r="30" spans="1:6" x14ac:dyDescent="0.3">
      <c r="A30" s="52"/>
      <c r="B30" s="52"/>
      <c r="C30" s="52"/>
      <c r="D30" s="52"/>
      <c r="E30" s="52"/>
      <c r="F30" s="52"/>
    </row>
    <row r="31" spans="1:6" x14ac:dyDescent="0.3">
      <c r="A31" s="52"/>
      <c r="B31" s="52"/>
      <c r="C31" s="52"/>
      <c r="D31" s="52"/>
      <c r="E31" s="52"/>
      <c r="F31" s="52"/>
    </row>
    <row r="32" spans="1:6" x14ac:dyDescent="0.3">
      <c r="A32" s="52"/>
      <c r="B32" s="52"/>
      <c r="C32" s="52"/>
      <c r="D32" s="52"/>
      <c r="E32" s="52"/>
      <c r="F32" s="52"/>
    </row>
    <row r="33" spans="1:6" x14ac:dyDescent="0.3">
      <c r="A33" s="52"/>
      <c r="B33" s="52"/>
      <c r="C33" s="52"/>
      <c r="D33" s="52"/>
      <c r="E33" s="52"/>
      <c r="F33" s="52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8E0E8-DA6E-410E-93FD-FF674D3AA872}">
  <dimension ref="A1:K39"/>
  <sheetViews>
    <sheetView topLeftCell="C1" workbookViewId="0">
      <selection activeCell="C1" sqref="C1"/>
    </sheetView>
  </sheetViews>
  <sheetFormatPr baseColWidth="10" defaultRowHeight="14.4" x14ac:dyDescent="0.3"/>
  <cols>
    <col min="1" max="2" width="0" hidden="1" customWidth="1"/>
    <col min="3" max="3" width="20.5546875" bestFit="1" customWidth="1"/>
    <col min="4" max="11" width="17.88671875" customWidth="1"/>
  </cols>
  <sheetData>
    <row r="1" spans="1:11" x14ac:dyDescent="0.3">
      <c r="A1" s="52"/>
      <c r="B1" s="52"/>
      <c r="D1" s="70">
        <v>2</v>
      </c>
      <c r="E1" s="70">
        <f>++D1+1</f>
        <v>3</v>
      </c>
      <c r="F1" s="70">
        <f>++E1+1</f>
        <v>4</v>
      </c>
      <c r="G1" s="70">
        <f>++F1+1</f>
        <v>5</v>
      </c>
      <c r="H1" s="70">
        <f>++G1+1</f>
        <v>6</v>
      </c>
      <c r="I1" s="70">
        <f>++H1+1</f>
        <v>7</v>
      </c>
      <c r="J1" s="70">
        <f>++I1+1</f>
        <v>8</v>
      </c>
      <c r="K1" s="70">
        <f>++J1+1</f>
        <v>9</v>
      </c>
    </row>
    <row r="2" spans="1:11" x14ac:dyDescent="0.3">
      <c r="A2" s="52"/>
      <c r="B2" s="52"/>
      <c r="D2" s="73" t="s">
        <v>924</v>
      </c>
      <c r="E2" s="73"/>
      <c r="F2" s="73"/>
      <c r="G2" s="73"/>
      <c r="H2" s="73"/>
      <c r="I2" s="73"/>
      <c r="J2" s="73"/>
      <c r="K2" s="73"/>
    </row>
    <row r="3" spans="1:11" x14ac:dyDescent="0.3">
      <c r="A3" s="52"/>
      <c r="B3" s="52"/>
      <c r="C3" s="52"/>
      <c r="D3" s="75">
        <v>0.25</v>
      </c>
      <c r="E3" s="75">
        <v>0.2</v>
      </c>
      <c r="F3" s="75">
        <v>0.1</v>
      </c>
      <c r="G3" s="75">
        <v>0.05</v>
      </c>
      <c r="H3" s="75">
        <v>0.25</v>
      </c>
      <c r="I3" s="75">
        <v>0.1</v>
      </c>
      <c r="J3" s="75">
        <v>0.05</v>
      </c>
      <c r="K3" s="72">
        <f>+SUM(D3:J3)</f>
        <v>1</v>
      </c>
    </row>
    <row r="4" spans="1:11" ht="28.8" x14ac:dyDescent="0.3">
      <c r="A4" s="52"/>
      <c r="B4" s="52"/>
      <c r="C4" s="71" t="s">
        <v>917</v>
      </c>
      <c r="D4" s="74" t="s">
        <v>911</v>
      </c>
      <c r="E4" s="74" t="s">
        <v>926</v>
      </c>
      <c r="F4" s="74" t="s">
        <v>925</v>
      </c>
      <c r="G4" s="74" t="s">
        <v>440</v>
      </c>
      <c r="H4" s="74" t="s">
        <v>927</v>
      </c>
      <c r="I4" s="74" t="s">
        <v>928</v>
      </c>
      <c r="J4" s="74" t="s">
        <v>910</v>
      </c>
      <c r="K4" s="74" t="s">
        <v>909</v>
      </c>
    </row>
    <row r="5" spans="1:11" x14ac:dyDescent="0.3">
      <c r="A5" s="55">
        <v>1</v>
      </c>
      <c r="B5" s="60">
        <f>+SMALL('Op4'!$J$362:$J$396,A5)</f>
        <v>7.133</v>
      </c>
      <c r="C5" s="76" t="s">
        <v>235</v>
      </c>
      <c r="D5" s="85">
        <f>+VLOOKUP($C5,'Op4'!$B$362:$J$396,D$1,FALSE)</f>
        <v>35</v>
      </c>
      <c r="E5" s="85">
        <f>+VLOOKUP($C5,'Op4'!$B$362:$J$396,E$1,FALSE)</f>
        <v>30</v>
      </c>
      <c r="F5" s="85">
        <f>+VLOOKUP($C5,'Op4'!$B$362:$J$396,F$1,FALSE)</f>
        <v>5</v>
      </c>
      <c r="G5" s="85">
        <f>+VLOOKUP($C5,'Op4'!$B$362:$J$396,G$1,FALSE)</f>
        <v>29</v>
      </c>
      <c r="H5" s="85">
        <f>+VLOOKUP($C5,'Op4'!$B$362:$J$396,H$1,FALSE)</f>
        <v>34</v>
      </c>
      <c r="I5" s="85">
        <f>+VLOOKUP($C5,'Op4'!$B$362:$J$396,I$1,FALSE)</f>
        <v>35</v>
      </c>
      <c r="J5" s="85">
        <f>+VLOOKUP($C5,'Op4'!$B$362:$J$396,J$1,FALSE)</f>
        <v>35</v>
      </c>
      <c r="K5" s="78">
        <f>+'Tabla Ranking'!$D$3*D5+'Tabla Ranking'!$E$3*E5+'Tabla Ranking'!$F$3*F5+'Tabla Ranking'!$G$3*G5+'Tabla Ranking'!$H$3*H5+'Tabla Ranking'!$I$3*I5+J5*'Tabla Ranking'!$J$3+A5/1000</f>
        <v>30.451000000000001</v>
      </c>
    </row>
    <row r="6" spans="1:11" x14ac:dyDescent="0.3">
      <c r="A6" s="55">
        <f>+A5+1</f>
        <v>2</v>
      </c>
      <c r="B6" s="60">
        <f>+SMALL('Op4'!$J$362:$J$396,A6)</f>
        <v>7.729000000000001</v>
      </c>
      <c r="C6" s="76" t="s">
        <v>333</v>
      </c>
      <c r="D6" s="85">
        <f>+VLOOKUP($C6,'Op4'!$B$362:$J$396,D$1,FALSE)</f>
        <v>35</v>
      </c>
      <c r="E6" s="85">
        <f>+VLOOKUP($C6,'Op4'!$B$362:$J$396,E$1,FALSE)</f>
        <v>31</v>
      </c>
      <c r="F6" s="85">
        <f>+VLOOKUP($C6,'Op4'!$B$362:$J$396,F$1,FALSE)</f>
        <v>25</v>
      </c>
      <c r="G6" s="85">
        <f>+VLOOKUP($C6,'Op4'!$B$362:$J$396,G$1,FALSE)</f>
        <v>16</v>
      </c>
      <c r="H6" s="85">
        <f>+VLOOKUP($C6,'Op4'!$B$362:$J$396,H$1,FALSE)</f>
        <v>31</v>
      </c>
      <c r="I6" s="85">
        <f>+VLOOKUP($C6,'Op4'!$B$362:$J$396,I$1,FALSE)</f>
        <v>35</v>
      </c>
      <c r="J6" s="85">
        <f>+VLOOKUP($C6,'Op4'!$B$362:$J$396,J$1,FALSE)</f>
        <v>9</v>
      </c>
      <c r="K6" s="78">
        <f>+'Tabla Ranking'!$D$3*D6+'Tabla Ranking'!$E$3*E6+'Tabla Ranking'!$F$3*F6+'Tabla Ranking'!$G$3*G6+'Tabla Ranking'!$H$3*H6+'Tabla Ranking'!$I$3*I6+J6*'Tabla Ranking'!$J$3+A6/1000</f>
        <v>29.951999999999998</v>
      </c>
    </row>
    <row r="7" spans="1:11" x14ac:dyDescent="0.3">
      <c r="A7" s="55">
        <f>+A6+1</f>
        <v>3</v>
      </c>
      <c r="B7" s="60">
        <f>+SMALL('Op4'!$J$362:$J$396,A7)</f>
        <v>9.532</v>
      </c>
      <c r="C7" s="76" t="s">
        <v>444</v>
      </c>
      <c r="D7" s="85">
        <f>+VLOOKUP($C7,'Op4'!$B$362:$J$396,D$1,FALSE)</f>
        <v>35</v>
      </c>
      <c r="E7" s="85">
        <f>+VLOOKUP($C7,'Op4'!$B$362:$J$396,E$1,FALSE)</f>
        <v>21</v>
      </c>
      <c r="F7" s="85">
        <f>+VLOOKUP($C7,'Op4'!$B$362:$J$396,F$1,FALSE)</f>
        <v>9</v>
      </c>
      <c r="G7" s="85">
        <f>+VLOOKUP($C7,'Op4'!$B$362:$J$396,G$1,FALSE)</f>
        <v>35</v>
      </c>
      <c r="H7" s="85">
        <f>+VLOOKUP($C7,'Op4'!$B$362:$J$396,H$1,FALSE)</f>
        <v>29</v>
      </c>
      <c r="I7" s="85">
        <f>+VLOOKUP($C7,'Op4'!$B$362:$J$396,I$1,FALSE)</f>
        <v>35</v>
      </c>
      <c r="J7" s="85">
        <f>+VLOOKUP($C7,'Op4'!$B$362:$J$396,J$1,FALSE)</f>
        <v>11</v>
      </c>
      <c r="K7" s="78">
        <f>+'Tabla Ranking'!$D$3*D7+'Tabla Ranking'!$E$3*E7+'Tabla Ranking'!$F$3*F7+'Tabla Ranking'!$G$3*G7+'Tabla Ranking'!$H$3*H7+'Tabla Ranking'!$I$3*I7+J7*'Tabla Ranking'!$J$3+A7/1000</f>
        <v>26.903000000000002</v>
      </c>
    </row>
    <row r="8" spans="1:11" x14ac:dyDescent="0.3">
      <c r="A8" s="55">
        <f>+A7+1</f>
        <v>4</v>
      </c>
      <c r="B8" s="60">
        <f>+SMALL('Op4'!$J$362:$J$396,A8)</f>
        <v>11.180999999999999</v>
      </c>
      <c r="C8" s="76" t="s">
        <v>3</v>
      </c>
      <c r="D8" s="85">
        <f>+VLOOKUP($C8,'Op4'!$B$362:$J$396,D$1,FALSE)</f>
        <v>35</v>
      </c>
      <c r="E8" s="85">
        <f>+VLOOKUP($C8,'Op4'!$B$362:$J$396,E$1,FALSE)</f>
        <v>29</v>
      </c>
      <c r="F8" s="85">
        <f>+VLOOKUP($C8,'Op4'!$B$362:$J$396,F$1,FALSE)</f>
        <v>35</v>
      </c>
      <c r="G8" s="85">
        <f>+VLOOKUP($C8,'Op4'!$B$362:$J$396,G$1,FALSE)</f>
        <v>34</v>
      </c>
      <c r="H8" s="85">
        <f>+VLOOKUP($C8,'Op4'!$B$362:$J$396,H$1,FALSE)</f>
        <v>22</v>
      </c>
      <c r="I8" s="85">
        <f>+VLOOKUP($C8,'Op4'!$B$362:$J$396,I$1,FALSE)</f>
        <v>11</v>
      </c>
      <c r="J8" s="85">
        <f>+VLOOKUP($C8,'Op4'!$B$362:$J$396,J$1,FALSE)</f>
        <v>11</v>
      </c>
      <c r="K8" s="78">
        <f>+'Tabla Ranking'!$D$3*D8+'Tabla Ranking'!$E$3*E8+'Tabla Ranking'!$F$3*F8+'Tabla Ranking'!$G$3*G8+'Tabla Ranking'!$H$3*H8+'Tabla Ranking'!$I$3*I8+J8*'Tabla Ranking'!$J$3+A8/1000</f>
        <v>26.904000000000003</v>
      </c>
    </row>
    <row r="9" spans="1:11" x14ac:dyDescent="0.3">
      <c r="A9" s="55">
        <f>+A8+1</f>
        <v>5</v>
      </c>
      <c r="B9" s="60">
        <f>+SMALL('Op4'!$J$362:$J$396,A9)</f>
        <v>11.329999999999998</v>
      </c>
      <c r="C9" s="76" t="s">
        <v>451</v>
      </c>
      <c r="D9" s="85">
        <f>+VLOOKUP($C9,'Op4'!$B$362:$J$396,D$1,FALSE)</f>
        <v>35</v>
      </c>
      <c r="E9" s="85">
        <f>+VLOOKUP($C9,'Op4'!$B$362:$J$396,E$1,FALSE)</f>
        <v>13</v>
      </c>
      <c r="F9" s="85">
        <f>+VLOOKUP($C9,'Op4'!$B$362:$J$396,F$1,FALSE)</f>
        <v>25</v>
      </c>
      <c r="G9" s="85">
        <f>+VLOOKUP($C9,'Op4'!$B$362:$J$396,G$1,FALSE)</f>
        <v>7</v>
      </c>
      <c r="H9" s="85">
        <f>+VLOOKUP($C9,'Op4'!$B$362:$J$396,H$1,FALSE)</f>
        <v>32</v>
      </c>
      <c r="I9" s="85">
        <f>+VLOOKUP($C9,'Op4'!$B$362:$J$396,I$1,FALSE)</f>
        <v>35</v>
      </c>
      <c r="J9" s="85">
        <f>+VLOOKUP($C9,'Op4'!$B$362:$J$396,J$1,FALSE)</f>
        <v>7</v>
      </c>
      <c r="K9" s="78">
        <f>+'Tabla Ranking'!$D$3*D9+'Tabla Ranking'!$E$3*E9+'Tabla Ranking'!$F$3*F9+'Tabla Ranking'!$G$3*G9+'Tabla Ranking'!$H$3*H9+'Tabla Ranking'!$I$3*I9+J9*'Tabla Ranking'!$J$3+A9/1000</f>
        <v>26.055</v>
      </c>
    </row>
    <row r="10" spans="1:11" x14ac:dyDescent="0.3">
      <c r="A10" s="55">
        <f>+A9+1</f>
        <v>6</v>
      </c>
      <c r="B10" s="60">
        <f>+SMALL('Op4'!$J$362:$J$396,A10)</f>
        <v>11.784000000000001</v>
      </c>
      <c r="C10" s="76" t="s">
        <v>443</v>
      </c>
      <c r="D10" s="85">
        <f>+VLOOKUP($C10,'Op4'!$B$362:$J$396,D$1,FALSE)</f>
        <v>35</v>
      </c>
      <c r="E10" s="85">
        <f>+VLOOKUP($C10,'Op4'!$B$362:$J$396,E$1,FALSE)</f>
        <v>6</v>
      </c>
      <c r="F10" s="85">
        <f>+VLOOKUP($C10,'Op4'!$B$362:$J$396,F$1,FALSE)</f>
        <v>2</v>
      </c>
      <c r="G10" s="85">
        <f>+VLOOKUP($C10,'Op4'!$B$362:$J$396,G$1,FALSE)</f>
        <v>13</v>
      </c>
      <c r="H10" s="85">
        <f>+VLOOKUP($C10,'Op4'!$B$362:$J$396,H$1,FALSE)</f>
        <v>35</v>
      </c>
      <c r="I10" s="85">
        <f>+VLOOKUP($C10,'Op4'!$B$362:$J$396,I$1,FALSE)</f>
        <v>35</v>
      </c>
      <c r="J10" s="85">
        <f>+VLOOKUP($C10,'Op4'!$B$362:$J$396,J$1,FALSE)</f>
        <v>35</v>
      </c>
      <c r="K10" s="78">
        <f>+'Tabla Ranking'!$D$3*D10+'Tabla Ranking'!$E$3*E10+'Tabla Ranking'!$F$3*F10+'Tabla Ranking'!$G$3*G10+'Tabla Ranking'!$H$3*H10+'Tabla Ranking'!$I$3*I10+J10*'Tabla Ranking'!$J$3+A10/1000</f>
        <v>24.805999999999997</v>
      </c>
    </row>
    <row r="11" spans="1:11" x14ac:dyDescent="0.3">
      <c r="A11" s="55">
        <f>+A10+1</f>
        <v>7</v>
      </c>
      <c r="B11" s="60">
        <f>+SMALL('Op4'!$J$362:$J$396,A11)</f>
        <v>12.335000000000001</v>
      </c>
      <c r="C11" s="76" t="s">
        <v>450</v>
      </c>
      <c r="D11" s="85">
        <f>+VLOOKUP($C11,'Op4'!$B$362:$J$396,D$1,FALSE)</f>
        <v>35</v>
      </c>
      <c r="E11" s="85">
        <f>+VLOOKUP($C11,'Op4'!$B$362:$J$396,E$1,FALSE)</f>
        <v>18</v>
      </c>
      <c r="F11" s="85">
        <f>+VLOOKUP($C11,'Op4'!$B$362:$J$396,F$1,FALSE)</f>
        <v>15</v>
      </c>
      <c r="G11" s="85">
        <f>+VLOOKUP($C11,'Op4'!$B$362:$J$396,G$1,FALSE)</f>
        <v>27</v>
      </c>
      <c r="H11" s="85">
        <f>+VLOOKUP($C11,'Op4'!$B$362:$J$396,H$1,FALSE)</f>
        <v>18</v>
      </c>
      <c r="I11" s="85">
        <f>+VLOOKUP($C11,'Op4'!$B$362:$J$396,I$1,FALSE)</f>
        <v>35</v>
      </c>
      <c r="J11" s="85">
        <f>+VLOOKUP($C11,'Op4'!$B$362:$J$396,J$1,FALSE)</f>
        <v>19</v>
      </c>
      <c r="K11" s="78">
        <f>+'Tabla Ranking'!$D$3*D11+'Tabla Ranking'!$E$3*E11+'Tabla Ranking'!$F$3*F11+'Tabla Ranking'!$G$3*G11+'Tabla Ranking'!$H$3*H11+'Tabla Ranking'!$I$3*I11+J11*'Tabla Ranking'!$J$3+A11/1000</f>
        <v>24.157</v>
      </c>
    </row>
    <row r="12" spans="1:11" x14ac:dyDescent="0.3">
      <c r="A12" s="55">
        <f>+A11+1</f>
        <v>8</v>
      </c>
      <c r="B12" s="60">
        <f>+SMALL('Op4'!$J$362:$J$396,A12)</f>
        <v>14.166</v>
      </c>
      <c r="C12" s="76" t="s">
        <v>177</v>
      </c>
      <c r="D12" s="85">
        <f>+VLOOKUP($C12,'Op4'!$B$362:$J$396,D$1,FALSE)</f>
        <v>19</v>
      </c>
      <c r="E12" s="85">
        <f>+VLOOKUP($C12,'Op4'!$B$362:$J$396,E$1,FALSE)</f>
        <v>17</v>
      </c>
      <c r="F12" s="85">
        <f>+VLOOKUP($C12,'Op4'!$B$362:$J$396,F$1,FALSE)</f>
        <v>25</v>
      </c>
      <c r="G12" s="85">
        <f>+VLOOKUP($C12,'Op4'!$B$362:$J$396,G$1,FALSE)</f>
        <v>23</v>
      </c>
      <c r="H12" s="85">
        <f>+VLOOKUP($C12,'Op4'!$B$362:$J$396,H$1,FALSE)</f>
        <v>27</v>
      </c>
      <c r="I12" s="85">
        <f>+VLOOKUP($C12,'Op4'!$B$362:$J$396,I$1,FALSE)</f>
        <v>35</v>
      </c>
      <c r="J12" s="85">
        <f>+VLOOKUP($C12,'Op4'!$B$362:$J$396,J$1,FALSE)</f>
        <v>35</v>
      </c>
      <c r="K12" s="78">
        <f>+'Tabla Ranking'!$D$3*D12+'Tabla Ranking'!$E$3*E12+'Tabla Ranking'!$F$3*F12+'Tabla Ranking'!$G$3*G12+'Tabla Ranking'!$H$3*H12+'Tabla Ranking'!$I$3*I12+J12*'Tabla Ranking'!$J$3+A12/1000</f>
        <v>23.808</v>
      </c>
    </row>
    <row r="13" spans="1:11" x14ac:dyDescent="0.3">
      <c r="A13" s="55">
        <f>+A12+1</f>
        <v>9</v>
      </c>
      <c r="B13" s="60">
        <f>+SMALL('Op4'!$J$362:$J$396,A13)</f>
        <v>14.321999999999999</v>
      </c>
      <c r="C13" s="76" t="s">
        <v>446</v>
      </c>
      <c r="D13" s="85">
        <f>+VLOOKUP($C13,'Op4'!$B$362:$J$396,D$1,FALSE)</f>
        <v>35</v>
      </c>
      <c r="E13" s="85">
        <f>+VLOOKUP($C13,'Op4'!$B$362:$J$396,E$1,FALSE)</f>
        <v>7</v>
      </c>
      <c r="F13" s="85">
        <f>+VLOOKUP($C13,'Op4'!$B$362:$J$396,F$1,FALSE)</f>
        <v>25</v>
      </c>
      <c r="G13" s="85">
        <f>+VLOOKUP($C13,'Op4'!$B$362:$J$396,G$1,FALSE)</f>
        <v>21</v>
      </c>
      <c r="H13" s="85">
        <f>+VLOOKUP($C13,'Op4'!$B$362:$J$396,H$1,FALSE)</f>
        <v>25</v>
      </c>
      <c r="I13" s="85">
        <f>+VLOOKUP($C13,'Op4'!$B$362:$J$396,I$1,FALSE)</f>
        <v>35</v>
      </c>
      <c r="J13" s="85">
        <f>+VLOOKUP($C13,'Op4'!$B$362:$J$396,J$1,FALSE)</f>
        <v>3</v>
      </c>
      <c r="K13" s="78">
        <f>+'Tabla Ranking'!$D$3*D13+'Tabla Ranking'!$E$3*E13+'Tabla Ranking'!$F$3*F13+'Tabla Ranking'!$G$3*G13+'Tabla Ranking'!$H$3*H13+'Tabla Ranking'!$I$3*I13+J13*'Tabla Ranking'!$J$3+A13/1000</f>
        <v>23.609000000000002</v>
      </c>
    </row>
    <row r="14" spans="1:11" x14ac:dyDescent="0.3">
      <c r="A14" s="55">
        <f>+A13+1</f>
        <v>10</v>
      </c>
      <c r="B14" s="60">
        <f>+SMALL('Op4'!$J$362:$J$396,A14)</f>
        <v>14.461</v>
      </c>
      <c r="C14" s="76" t="s">
        <v>453</v>
      </c>
      <c r="D14" s="85">
        <f>+VLOOKUP($C14,'Op4'!$B$362:$J$396,D$1,FALSE)</f>
        <v>35</v>
      </c>
      <c r="E14" s="85">
        <f>+VLOOKUP($C14,'Op4'!$B$362:$J$396,E$1,FALSE)</f>
        <v>8</v>
      </c>
      <c r="F14" s="85">
        <f>+VLOOKUP($C14,'Op4'!$B$362:$J$396,F$1,FALSE)</f>
        <v>15</v>
      </c>
      <c r="G14" s="85">
        <f>+VLOOKUP($C14,'Op4'!$B$362:$J$396,G$1,FALSE)</f>
        <v>17</v>
      </c>
      <c r="H14" s="85">
        <f>+VLOOKUP($C14,'Op4'!$B$362:$J$396,H$1,FALSE)</f>
        <v>26</v>
      </c>
      <c r="I14" s="85">
        <f>+VLOOKUP($C14,'Op4'!$B$362:$J$396,I$1,FALSE)</f>
        <v>35</v>
      </c>
      <c r="J14" s="85">
        <f>+VLOOKUP($C14,'Op4'!$B$362:$J$396,J$1,FALSE)</f>
        <v>7</v>
      </c>
      <c r="K14" s="78">
        <f>+'Tabla Ranking'!$D$3*D14+'Tabla Ranking'!$E$3*E14+'Tabla Ranking'!$F$3*F14+'Tabla Ranking'!$G$3*G14+'Tabla Ranking'!$H$3*H14+'Tabla Ranking'!$I$3*I14+J14*'Tabla Ranking'!$J$3+A14/1000</f>
        <v>23.060000000000002</v>
      </c>
    </row>
    <row r="15" spans="1:11" x14ac:dyDescent="0.3">
      <c r="A15" s="55">
        <f>+A14+1</f>
        <v>11</v>
      </c>
      <c r="B15" s="60">
        <f>+SMALL('Op4'!$J$362:$J$396,A15)</f>
        <v>14.865</v>
      </c>
      <c r="C15" s="79" t="s">
        <v>318</v>
      </c>
      <c r="D15" s="86">
        <f>+VLOOKUP($C15,'Op4'!$B$362:$J$396,D$1,FALSE)</f>
        <v>16</v>
      </c>
      <c r="E15" s="86">
        <f>+VLOOKUP($C15,'Op4'!$B$362:$J$396,E$1,FALSE)</f>
        <v>34</v>
      </c>
      <c r="F15" s="86">
        <f>+VLOOKUP($C15,'Op4'!$B$362:$J$396,F$1,FALSE)</f>
        <v>17</v>
      </c>
      <c r="G15" s="86">
        <f>+VLOOKUP($C15,'Op4'!$B$362:$J$396,G$1,FALSE)</f>
        <v>30</v>
      </c>
      <c r="H15" s="86">
        <f>+VLOOKUP($C15,'Op4'!$B$362:$J$396,H$1,FALSE)</f>
        <v>20</v>
      </c>
      <c r="I15" s="86">
        <f>+VLOOKUP($C15,'Op4'!$B$362:$J$396,I$1,FALSE)</f>
        <v>35</v>
      </c>
      <c r="J15" s="86">
        <f>+VLOOKUP($C15,'Op4'!$B$362:$J$396,J$1,FALSE)</f>
        <v>4</v>
      </c>
      <c r="K15" s="81">
        <f>+'Tabla Ranking'!$D$3*D15+'Tabla Ranking'!$E$3*E15+'Tabla Ranking'!$F$3*F15+'Tabla Ranking'!$G$3*G15+'Tabla Ranking'!$H$3*H15+'Tabla Ranking'!$I$3*I15+J15*'Tabla Ranking'!$J$3+A15/1000</f>
        <v>22.710999999999999</v>
      </c>
    </row>
    <row r="16" spans="1:11" x14ac:dyDescent="0.3">
      <c r="A16" s="55">
        <f>+A15+1</f>
        <v>12</v>
      </c>
      <c r="B16" s="60">
        <f>+SMALL('Op4'!$J$362:$J$396,A16)</f>
        <v>15.721000000000002</v>
      </c>
      <c r="C16" s="79" t="s">
        <v>441</v>
      </c>
      <c r="D16" s="86">
        <f>+VLOOKUP($C16,'Op4'!$B$362:$J$396,D$1,FALSE)</f>
        <v>35</v>
      </c>
      <c r="E16" s="86">
        <f>+VLOOKUP($C16,'Op4'!$B$362:$J$396,E$1,FALSE)</f>
        <v>11</v>
      </c>
      <c r="F16" s="86">
        <f>+VLOOKUP($C16,'Op4'!$B$362:$J$396,F$1,FALSE)</f>
        <v>25</v>
      </c>
      <c r="G16" s="86">
        <f>+VLOOKUP($C16,'Op4'!$B$362:$J$396,G$1,FALSE)</f>
        <v>19</v>
      </c>
      <c r="H16" s="86">
        <f>+VLOOKUP($C16,'Op4'!$B$362:$J$396,H$1,FALSE)</f>
        <v>15</v>
      </c>
      <c r="I16" s="86">
        <f>+VLOOKUP($C16,'Op4'!$B$362:$J$396,I$1,FALSE)</f>
        <v>35</v>
      </c>
      <c r="J16" s="86">
        <f>+VLOOKUP($C16,'Op4'!$B$362:$J$396,J$1,FALSE)</f>
        <v>1</v>
      </c>
      <c r="K16" s="81">
        <f>+'Tabla Ranking'!$D$3*D16+'Tabla Ranking'!$E$3*E16+'Tabla Ranking'!$F$3*F16+'Tabla Ranking'!$G$3*G16+'Tabla Ranking'!$H$3*H16+'Tabla Ranking'!$I$3*I16+J16*'Tabla Ranking'!$J$3+A16/1000</f>
        <v>21.712</v>
      </c>
    </row>
    <row r="17" spans="1:11" x14ac:dyDescent="0.3">
      <c r="A17" s="55">
        <f>+A16+1</f>
        <v>13</v>
      </c>
      <c r="B17" s="60">
        <f>+SMALL('Op4'!$J$362:$J$396,A17)</f>
        <v>15.728</v>
      </c>
      <c r="C17" s="79" t="s">
        <v>288</v>
      </c>
      <c r="D17" s="86">
        <f>+VLOOKUP($C17,'Op4'!$B$362:$J$396,D$1,FALSE)</f>
        <v>35</v>
      </c>
      <c r="E17" s="86">
        <f>+VLOOKUP($C17,'Op4'!$B$362:$J$396,E$1,FALSE)</f>
        <v>28</v>
      </c>
      <c r="F17" s="86">
        <f>+VLOOKUP($C17,'Op4'!$B$362:$J$396,F$1,FALSE)</f>
        <v>12</v>
      </c>
      <c r="G17" s="86">
        <f>+VLOOKUP($C17,'Op4'!$B$362:$J$396,G$1,FALSE)</f>
        <v>12</v>
      </c>
      <c r="H17" s="86">
        <f>+VLOOKUP($C17,'Op4'!$B$362:$J$396,H$1,FALSE)</f>
        <v>1</v>
      </c>
      <c r="I17" s="86">
        <f>+VLOOKUP($C17,'Op4'!$B$362:$J$396,I$1,FALSE)</f>
        <v>35</v>
      </c>
      <c r="J17" s="86">
        <f>+VLOOKUP($C17,'Op4'!$B$362:$J$396,J$1,FALSE)</f>
        <v>19</v>
      </c>
      <c r="K17" s="81">
        <f>+'Tabla Ranking'!$D$3*D17+'Tabla Ranking'!$E$3*E17+'Tabla Ranking'!$F$3*F17+'Tabla Ranking'!$G$3*G17+'Tabla Ranking'!$H$3*H17+'Tabla Ranking'!$I$3*I17+J17*'Tabla Ranking'!$J$3+A17/1000</f>
        <v>20.863000000000003</v>
      </c>
    </row>
    <row r="18" spans="1:11" x14ac:dyDescent="0.3">
      <c r="A18" s="55">
        <f>+A17+1</f>
        <v>14</v>
      </c>
      <c r="B18" s="60">
        <f>+SMALL('Op4'!$J$362:$J$396,A18)</f>
        <v>15.927000000000001</v>
      </c>
      <c r="C18" s="79" t="s">
        <v>458</v>
      </c>
      <c r="D18" s="86">
        <f>+VLOOKUP($C18,'Op4'!$B$362:$J$396,D$1,FALSE)</f>
        <v>35</v>
      </c>
      <c r="E18" s="86">
        <f>+VLOOKUP($C18,'Op4'!$B$362:$J$396,E$1,FALSE)</f>
        <v>1</v>
      </c>
      <c r="F18" s="86">
        <f>+VLOOKUP($C18,'Op4'!$B$362:$J$396,F$1,FALSE)</f>
        <v>1</v>
      </c>
      <c r="G18" s="86">
        <f>+VLOOKUP($C18,'Op4'!$B$362:$J$396,G$1,FALSE)</f>
        <v>1</v>
      </c>
      <c r="H18" s="86">
        <f>+VLOOKUP($C18,'Op4'!$B$362:$J$396,H$1,FALSE)</f>
        <v>23</v>
      </c>
      <c r="I18" s="86">
        <f>+VLOOKUP($C18,'Op4'!$B$362:$J$396,I$1,FALSE)</f>
        <v>35</v>
      </c>
      <c r="J18" s="86">
        <f>+VLOOKUP($C18,'Op4'!$B$362:$J$396,J$1,FALSE)</f>
        <v>35</v>
      </c>
      <c r="K18" s="81">
        <f>+'Tabla Ranking'!$D$3*D18+'Tabla Ranking'!$E$3*E18+'Tabla Ranking'!$F$3*F18+'Tabla Ranking'!$G$3*G18+'Tabla Ranking'!$H$3*H18+'Tabla Ranking'!$I$3*I18+J18*'Tabla Ranking'!$J$3+A18/1000</f>
        <v>20.114000000000001</v>
      </c>
    </row>
    <row r="19" spans="1:11" x14ac:dyDescent="0.3">
      <c r="A19" s="55">
        <f>+A18+1</f>
        <v>15</v>
      </c>
      <c r="B19" s="60">
        <f>+SMALL('Op4'!$J$362:$J$396,A19)</f>
        <v>16.524999999999999</v>
      </c>
      <c r="C19" s="79" t="s">
        <v>459</v>
      </c>
      <c r="D19" s="86">
        <f>+VLOOKUP($C19,'Op4'!$B$362:$J$396,D$1,FALSE)</f>
        <v>19</v>
      </c>
      <c r="E19" s="86">
        <f>+VLOOKUP($C19,'Op4'!$B$362:$J$396,E$1,FALSE)</f>
        <v>26</v>
      </c>
      <c r="F19" s="86">
        <f>+VLOOKUP($C19,'Op4'!$B$362:$J$396,F$1,FALSE)</f>
        <v>17</v>
      </c>
      <c r="G19" s="86">
        <f>+VLOOKUP($C19,'Op4'!$B$362:$J$396,G$1,FALSE)</f>
        <v>20</v>
      </c>
      <c r="H19" s="86">
        <f>+VLOOKUP($C19,'Op4'!$B$362:$J$396,H$1,FALSE)</f>
        <v>17</v>
      </c>
      <c r="I19" s="86">
        <f>+VLOOKUP($C19,'Op4'!$B$362:$J$396,I$1,FALSE)</f>
        <v>11</v>
      </c>
      <c r="J19" s="86">
        <f>+VLOOKUP($C19,'Op4'!$B$362:$J$396,J$1,FALSE)</f>
        <v>35</v>
      </c>
      <c r="K19" s="81">
        <f>+'Tabla Ranking'!$D$3*D19+'Tabla Ranking'!$E$3*E19+'Tabla Ranking'!$F$3*F19+'Tabla Ranking'!$G$3*G19+'Tabla Ranking'!$H$3*H19+'Tabla Ranking'!$I$3*I19+J19*'Tabla Ranking'!$J$3+A19/1000</f>
        <v>19.765000000000001</v>
      </c>
    </row>
    <row r="20" spans="1:11" x14ac:dyDescent="0.3">
      <c r="A20" s="55">
        <f>+A19+1</f>
        <v>16</v>
      </c>
      <c r="B20" s="60">
        <f>+SMALL('Op4'!$J$362:$J$396,A20)</f>
        <v>16.556000000000001</v>
      </c>
      <c r="C20" s="79" t="s">
        <v>304</v>
      </c>
      <c r="D20" s="86">
        <f>+VLOOKUP($C20,'Op4'!$B$362:$J$396,D$1,FALSE)</f>
        <v>6</v>
      </c>
      <c r="E20" s="86">
        <f>+VLOOKUP($C20,'Op4'!$B$362:$J$396,E$1,FALSE)</f>
        <v>33</v>
      </c>
      <c r="F20" s="86">
        <f>+VLOOKUP($C20,'Op4'!$B$362:$J$396,F$1,FALSE)</f>
        <v>25</v>
      </c>
      <c r="G20" s="86">
        <f>+VLOOKUP($C20,'Op4'!$B$362:$J$396,G$1,FALSE)</f>
        <v>15</v>
      </c>
      <c r="H20" s="86">
        <f>+VLOOKUP($C20,'Op4'!$B$362:$J$396,H$1,FALSE)</f>
        <v>15</v>
      </c>
      <c r="I20" s="86">
        <f>+VLOOKUP($C20,'Op4'!$B$362:$J$396,I$1,FALSE)</f>
        <v>35</v>
      </c>
      <c r="J20" s="86">
        <f>+VLOOKUP($C20,'Op4'!$B$362:$J$396,J$1,FALSE)</f>
        <v>1</v>
      </c>
      <c r="K20" s="81">
        <f>+'Tabla Ranking'!$D$3*D20+'Tabla Ranking'!$E$3*E20+'Tabla Ranking'!$F$3*F20+'Tabla Ranking'!$G$3*G20+'Tabla Ranking'!$H$3*H20+'Tabla Ranking'!$I$3*I20+J20*'Tabla Ranking'!$J$3+A20/1000</f>
        <v>18.666</v>
      </c>
    </row>
    <row r="21" spans="1:11" x14ac:dyDescent="0.3">
      <c r="A21" s="55">
        <f>+A20+1</f>
        <v>17</v>
      </c>
      <c r="B21" s="60">
        <f>+SMALL('Op4'!$J$362:$J$396,A21)</f>
        <v>17.304000000000002</v>
      </c>
      <c r="C21" s="79" t="s">
        <v>415</v>
      </c>
      <c r="D21" s="86">
        <f>+VLOOKUP($C21,'Op4'!$B$362:$J$396,D$1,FALSE)</f>
        <v>5</v>
      </c>
      <c r="E21" s="86">
        <f>+VLOOKUP($C21,'Op4'!$B$362:$J$396,E$1,FALSE)</f>
        <v>24</v>
      </c>
      <c r="F21" s="86">
        <f>+VLOOKUP($C21,'Op4'!$B$362:$J$396,F$1,FALSE)</f>
        <v>19</v>
      </c>
      <c r="G21" s="86">
        <f>+VLOOKUP($C21,'Op4'!$B$362:$J$396,G$1,FALSE)</f>
        <v>18</v>
      </c>
      <c r="H21" s="86">
        <f>+VLOOKUP($C21,'Op4'!$B$362:$J$396,H$1,FALSE)</f>
        <v>21</v>
      </c>
      <c r="I21" s="86">
        <f>+VLOOKUP($C21,'Op4'!$B$362:$J$396,I$1,FALSE)</f>
        <v>35</v>
      </c>
      <c r="J21" s="86">
        <f>+VLOOKUP($C21,'Op4'!$B$362:$J$396,J$1,FALSE)</f>
        <v>9</v>
      </c>
      <c r="K21" s="81">
        <f>+'Tabla Ranking'!$D$3*D21+'Tabla Ranking'!$E$3*E21+'Tabla Ranking'!$F$3*F21+'Tabla Ranking'!$G$3*G21+'Tabla Ranking'!$H$3*H21+'Tabla Ranking'!$I$3*I21+J21*'Tabla Ranking'!$J$3+A21/1000</f>
        <v>18.067</v>
      </c>
    </row>
    <row r="22" spans="1:11" x14ac:dyDescent="0.3">
      <c r="A22" s="55">
        <f>+A21+1</f>
        <v>18</v>
      </c>
      <c r="B22" s="60">
        <f>+SMALL('Op4'!$J$362:$J$396,A22)</f>
        <v>17.526</v>
      </c>
      <c r="C22" s="79" t="s">
        <v>454</v>
      </c>
      <c r="D22" s="86">
        <f>+VLOOKUP($C22,'Op4'!$B$362:$J$396,D$1,FALSE)</f>
        <v>16</v>
      </c>
      <c r="E22" s="86">
        <f>+VLOOKUP($C22,'Op4'!$B$362:$J$396,E$1,FALSE)</f>
        <v>14</v>
      </c>
      <c r="F22" s="86">
        <f>+VLOOKUP($C22,'Op4'!$B$362:$J$396,F$1,FALSE)</f>
        <v>19</v>
      </c>
      <c r="G22" s="86">
        <f>+VLOOKUP($C22,'Op4'!$B$362:$J$396,G$1,FALSE)</f>
        <v>31</v>
      </c>
      <c r="H22" s="86">
        <f>+VLOOKUP($C22,'Op4'!$B$362:$J$396,H$1,FALSE)</f>
        <v>24</v>
      </c>
      <c r="I22" s="86">
        <f>+VLOOKUP($C22,'Op4'!$B$362:$J$396,I$1,FALSE)</f>
        <v>7</v>
      </c>
      <c r="J22" s="86">
        <f>+VLOOKUP($C22,'Op4'!$B$362:$J$396,J$1,FALSE)</f>
        <v>11</v>
      </c>
      <c r="K22" s="81">
        <f>+'Tabla Ranking'!$D$3*D22+'Tabla Ranking'!$E$3*E22+'Tabla Ranking'!$F$3*F22+'Tabla Ranking'!$G$3*G22+'Tabla Ranking'!$H$3*H22+'Tabla Ranking'!$I$3*I22+J22*'Tabla Ranking'!$J$3+A22/1000</f>
        <v>17.518000000000001</v>
      </c>
    </row>
    <row r="23" spans="1:11" x14ac:dyDescent="0.3">
      <c r="A23" s="55">
        <f>+A22+1</f>
        <v>19</v>
      </c>
      <c r="B23" s="60">
        <f>+SMALL('Op4'!$J$362:$J$396,A23)</f>
        <v>18.07</v>
      </c>
      <c r="C23" s="79" t="s">
        <v>452</v>
      </c>
      <c r="D23" s="86">
        <f>+VLOOKUP($C23,'Op4'!$B$362:$J$396,D$1,FALSE)</f>
        <v>10</v>
      </c>
      <c r="E23" s="86">
        <f>+VLOOKUP($C23,'Op4'!$B$362:$J$396,E$1,FALSE)</f>
        <v>10</v>
      </c>
      <c r="F23" s="86">
        <f>+VLOOKUP($C23,'Op4'!$B$362:$J$396,F$1,FALSE)</f>
        <v>4</v>
      </c>
      <c r="G23" s="86">
        <f>+VLOOKUP($C23,'Op4'!$B$362:$J$396,G$1,FALSE)</f>
        <v>9</v>
      </c>
      <c r="H23" s="86">
        <f>+VLOOKUP($C23,'Op4'!$B$362:$J$396,H$1,FALSE)</f>
        <v>30</v>
      </c>
      <c r="I23" s="86">
        <f>+VLOOKUP($C23,'Op4'!$B$362:$J$396,I$1,FALSE)</f>
        <v>35</v>
      </c>
      <c r="J23" s="86">
        <f>+VLOOKUP($C23,'Op4'!$B$362:$J$396,J$1,FALSE)</f>
        <v>19</v>
      </c>
      <c r="K23" s="81">
        <f>+'Tabla Ranking'!$D$3*D23+'Tabla Ranking'!$E$3*E23+'Tabla Ranking'!$F$3*F23+'Tabla Ranking'!$G$3*G23+'Tabla Ranking'!$H$3*H23+'Tabla Ranking'!$I$3*I23+J23*'Tabla Ranking'!$J$3+A23/1000</f>
        <v>17.318999999999999</v>
      </c>
    </row>
    <row r="24" spans="1:11" x14ac:dyDescent="0.3">
      <c r="A24" s="55">
        <f>+A23+1</f>
        <v>20</v>
      </c>
      <c r="B24" s="60">
        <f>+SMALL('Op4'!$J$362:$J$396,A24)</f>
        <v>18.664000000000001</v>
      </c>
      <c r="C24" s="79" t="s">
        <v>210</v>
      </c>
      <c r="D24" s="86">
        <f>+VLOOKUP($C24,'Op4'!$B$362:$J$396,D$1,FALSE)</f>
        <v>10</v>
      </c>
      <c r="E24" s="86">
        <f>+VLOOKUP($C24,'Op4'!$B$362:$J$396,E$1,FALSE)</f>
        <v>4</v>
      </c>
      <c r="F24" s="86">
        <f>+VLOOKUP($C24,'Op4'!$B$362:$J$396,F$1,FALSE)</f>
        <v>7</v>
      </c>
      <c r="G24" s="86">
        <f>+VLOOKUP($C24,'Op4'!$B$362:$J$396,G$1,FALSE)</f>
        <v>11</v>
      </c>
      <c r="H24" s="86">
        <f>+VLOOKUP($C24,'Op4'!$B$362:$J$396,H$1,FALSE)</f>
        <v>27</v>
      </c>
      <c r="I24" s="86">
        <f>+VLOOKUP($C24,'Op4'!$B$362:$J$396,I$1,FALSE)</f>
        <v>35</v>
      </c>
      <c r="J24" s="86">
        <f>+VLOOKUP($C24,'Op4'!$B$362:$J$396,J$1,FALSE)</f>
        <v>35</v>
      </c>
      <c r="K24" s="81">
        <f>+'Tabla Ranking'!$D$3*D24+'Tabla Ranking'!$E$3*E24+'Tabla Ranking'!$F$3*F24+'Tabla Ranking'!$G$3*G24+'Tabla Ranking'!$H$3*H24+'Tabla Ranking'!$I$3*I24+J24*'Tabla Ranking'!$J$3+A24/1000</f>
        <v>16.57</v>
      </c>
    </row>
    <row r="25" spans="1:11" x14ac:dyDescent="0.3">
      <c r="A25" s="55">
        <f>+A24+1</f>
        <v>21</v>
      </c>
      <c r="B25" s="60">
        <f>+SMALL('Op4'!$J$362:$J$396,A25)</f>
        <v>19.774000000000001</v>
      </c>
      <c r="C25" s="82" t="s">
        <v>353</v>
      </c>
      <c r="D25" s="87">
        <f>+VLOOKUP($C25,'Op4'!$B$362:$J$396,D$1,FALSE)</f>
        <v>35</v>
      </c>
      <c r="E25" s="87">
        <f>+VLOOKUP($C25,'Op4'!$B$362:$J$396,E$1,FALSE)</f>
        <v>15</v>
      </c>
      <c r="F25" s="87">
        <f>+VLOOKUP($C25,'Op4'!$B$362:$J$396,F$1,FALSE)</f>
        <v>12</v>
      </c>
      <c r="G25" s="87">
        <f>+VLOOKUP($C25,'Op4'!$B$362:$J$396,G$1,FALSE)</f>
        <v>33</v>
      </c>
      <c r="H25" s="87">
        <f>+VLOOKUP($C25,'Op4'!$B$362:$J$396,H$1,FALSE)</f>
        <v>1</v>
      </c>
      <c r="I25" s="87">
        <f>+VLOOKUP($C25,'Op4'!$B$362:$J$396,I$1,FALSE)</f>
        <v>11</v>
      </c>
      <c r="J25" s="87">
        <f>+VLOOKUP($C25,'Op4'!$B$362:$J$396,J$1,FALSE)</f>
        <v>11</v>
      </c>
      <c r="K25" s="84">
        <f>+'Tabla Ranking'!$D$3*D25+'Tabla Ranking'!$E$3*E25+'Tabla Ranking'!$F$3*F25+'Tabla Ranking'!$G$3*G25+'Tabla Ranking'!$H$3*H25+'Tabla Ranking'!$I$3*I25+J25*'Tabla Ranking'!$J$3+A25/1000</f>
        <v>16.521000000000001</v>
      </c>
    </row>
    <row r="26" spans="1:11" x14ac:dyDescent="0.3">
      <c r="A26" s="55">
        <f>+A25+1</f>
        <v>22</v>
      </c>
      <c r="B26" s="60">
        <f>+SMALL('Op4'!$J$362:$J$396,A26)</f>
        <v>20.109000000000002</v>
      </c>
      <c r="C26" s="82" t="s">
        <v>385</v>
      </c>
      <c r="D26" s="87">
        <f>+VLOOKUP($C26,'Op4'!$B$362:$J$396,D$1,FALSE)</f>
        <v>6</v>
      </c>
      <c r="E26" s="87">
        <f>+VLOOKUP($C26,'Op4'!$B$362:$J$396,E$1,FALSE)</f>
        <v>32</v>
      </c>
      <c r="F26" s="87">
        <f>+VLOOKUP($C26,'Op4'!$B$362:$J$396,F$1,FALSE)</f>
        <v>22</v>
      </c>
      <c r="G26" s="87">
        <f>+VLOOKUP($C26,'Op4'!$B$362:$J$396,G$1,FALSE)</f>
        <v>26</v>
      </c>
      <c r="H26" s="87">
        <f>+VLOOKUP($C26,'Op4'!$B$362:$J$396,H$1,FALSE)</f>
        <v>13</v>
      </c>
      <c r="I26" s="87">
        <f>+VLOOKUP($C26,'Op4'!$B$362:$J$396,I$1,FALSE)</f>
        <v>7</v>
      </c>
      <c r="J26" s="87">
        <f>+VLOOKUP($C26,'Op4'!$B$362:$J$396,J$1,FALSE)</f>
        <v>11</v>
      </c>
      <c r="K26" s="84">
        <f>+'Tabla Ranking'!$D$3*D26+'Tabla Ranking'!$E$3*E26+'Tabla Ranking'!$F$3*F26+'Tabla Ranking'!$G$3*G26+'Tabla Ranking'!$H$3*H26+'Tabla Ranking'!$I$3*I26+J26*'Tabla Ranking'!$J$3+A26/1000</f>
        <v>15.922000000000002</v>
      </c>
    </row>
    <row r="27" spans="1:11" x14ac:dyDescent="0.3">
      <c r="A27" s="55">
        <f>+A26+1</f>
        <v>23</v>
      </c>
      <c r="B27" s="60">
        <f>+SMALL('Op4'!$J$362:$J$396,A27)</f>
        <v>20.867000000000001</v>
      </c>
      <c r="C27" s="82" t="s">
        <v>250</v>
      </c>
      <c r="D27" s="87">
        <f>+VLOOKUP($C27,'Op4'!$B$362:$J$396,D$1,FALSE)</f>
        <v>10</v>
      </c>
      <c r="E27" s="87">
        <f>+VLOOKUP($C27,'Op4'!$B$362:$J$396,E$1,FALSE)</f>
        <v>21</v>
      </c>
      <c r="F27" s="87">
        <f>+VLOOKUP($C27,'Op4'!$B$362:$J$396,F$1,FALSE)</f>
        <v>31</v>
      </c>
      <c r="G27" s="87">
        <f>+VLOOKUP($C27,'Op4'!$B$362:$J$396,G$1,FALSE)</f>
        <v>32</v>
      </c>
      <c r="H27" s="87">
        <f>+VLOOKUP($C27,'Op4'!$B$362:$J$396,H$1,FALSE)</f>
        <v>1</v>
      </c>
      <c r="I27" s="87">
        <f>+VLOOKUP($C27,'Op4'!$B$362:$J$396,I$1,FALSE)</f>
        <v>35</v>
      </c>
      <c r="J27" s="87">
        <f>+VLOOKUP($C27,'Op4'!$B$362:$J$396,J$1,FALSE)</f>
        <v>11</v>
      </c>
      <c r="K27" s="84">
        <f>+'Tabla Ranking'!$D$3*D27+'Tabla Ranking'!$E$3*E27+'Tabla Ranking'!$F$3*F27+'Tabla Ranking'!$G$3*G27+'Tabla Ranking'!$H$3*H27+'Tabla Ranking'!$I$3*I27+J27*'Tabla Ranking'!$J$3+A27/1000</f>
        <v>15.723000000000001</v>
      </c>
    </row>
    <row r="28" spans="1:11" x14ac:dyDescent="0.3">
      <c r="A28" s="55">
        <f>+A27+1</f>
        <v>24</v>
      </c>
      <c r="B28" s="60">
        <f>+SMALL('Op4'!$J$362:$J$396,A28)</f>
        <v>21.713000000000001</v>
      </c>
      <c r="C28" s="82" t="s">
        <v>442</v>
      </c>
      <c r="D28" s="87">
        <f>+VLOOKUP($C28,'Op4'!$B$362:$J$396,D$1,FALSE)</f>
        <v>35</v>
      </c>
      <c r="E28" s="87">
        <f>+VLOOKUP($C28,'Op4'!$B$362:$J$396,E$1,FALSE)</f>
        <v>25</v>
      </c>
      <c r="F28" s="87">
        <f>+VLOOKUP($C28,'Op4'!$B$362:$J$396,F$1,FALSE)</f>
        <v>6</v>
      </c>
      <c r="G28" s="87">
        <f>+VLOOKUP($C28,'Op4'!$B$362:$J$396,G$1,FALSE)</f>
        <v>2</v>
      </c>
      <c r="H28" s="87">
        <f>+VLOOKUP($C28,'Op4'!$B$362:$J$396,H$1,FALSE)</f>
        <v>1</v>
      </c>
      <c r="I28" s="87">
        <f>+VLOOKUP($C28,'Op4'!$B$362:$J$396,I$1,FALSE)</f>
        <v>7</v>
      </c>
      <c r="J28" s="87">
        <f>+VLOOKUP($C28,'Op4'!$B$362:$J$396,J$1,FALSE)</f>
        <v>6</v>
      </c>
      <c r="K28" s="84">
        <f>+'Tabla Ranking'!$D$3*D28+'Tabla Ranking'!$E$3*E28+'Tabla Ranking'!$F$3*F28+'Tabla Ranking'!$G$3*G28+'Tabla Ranking'!$H$3*H28+'Tabla Ranking'!$I$3*I28+J28*'Tabla Ranking'!$J$3+A28/1000</f>
        <v>15.723999999999998</v>
      </c>
    </row>
    <row r="29" spans="1:11" x14ac:dyDescent="0.3">
      <c r="A29" s="55">
        <f>+A28+1</f>
        <v>25</v>
      </c>
      <c r="B29" s="60">
        <f>+SMALL('Op4'!$J$362:$J$396,A29)</f>
        <v>22.71</v>
      </c>
      <c r="C29" s="82" t="s">
        <v>447</v>
      </c>
      <c r="D29" s="87">
        <f>+VLOOKUP($C29,'Op4'!$B$362:$J$396,D$1,FALSE)</f>
        <v>19</v>
      </c>
      <c r="E29" s="87">
        <f>+VLOOKUP($C29,'Op4'!$B$362:$J$396,E$1,FALSE)</f>
        <v>5</v>
      </c>
      <c r="F29" s="87">
        <f>+VLOOKUP($C29,'Op4'!$B$362:$J$396,F$1,FALSE)</f>
        <v>9</v>
      </c>
      <c r="G29" s="87">
        <f>+VLOOKUP($C29,'Op4'!$B$362:$J$396,G$1,FALSE)</f>
        <v>5</v>
      </c>
      <c r="H29" s="87">
        <f>+VLOOKUP($C29,'Op4'!$B$362:$J$396,H$1,FALSE)</f>
        <v>14</v>
      </c>
      <c r="I29" s="87">
        <f>+VLOOKUP($C29,'Op4'!$B$362:$J$396,I$1,FALSE)</f>
        <v>35</v>
      </c>
      <c r="J29" s="87">
        <f>+VLOOKUP($C29,'Op4'!$B$362:$J$396,J$1,FALSE)</f>
        <v>19</v>
      </c>
      <c r="K29" s="84">
        <f>+'Tabla Ranking'!$D$3*D29+'Tabla Ranking'!$E$3*E29+'Tabla Ranking'!$F$3*F29+'Tabla Ranking'!$G$3*G29+'Tabla Ranking'!$H$3*H29+'Tabla Ranking'!$I$3*I29+J29*'Tabla Ranking'!$J$3+A29/1000</f>
        <v>14.875</v>
      </c>
    </row>
    <row r="30" spans="1:11" x14ac:dyDescent="0.3">
      <c r="A30" s="55">
        <f>+A29+1</f>
        <v>26</v>
      </c>
      <c r="B30" s="60">
        <f>+SMALL('Op4'!$J$362:$J$396,A30)</f>
        <v>23.057000000000002</v>
      </c>
      <c r="C30" s="82" t="s">
        <v>187</v>
      </c>
      <c r="D30" s="87">
        <f>+VLOOKUP($C30,'Op4'!$B$362:$J$396,D$1,FALSE)</f>
        <v>16</v>
      </c>
      <c r="E30" s="87">
        <f>+VLOOKUP($C30,'Op4'!$B$362:$J$396,E$1,FALSE)</f>
        <v>2</v>
      </c>
      <c r="F30" s="87">
        <f>+VLOOKUP($C30,'Op4'!$B$362:$J$396,F$1,FALSE)</f>
        <v>35</v>
      </c>
      <c r="G30" s="87">
        <f>+VLOOKUP($C30,'Op4'!$B$362:$J$396,G$1,FALSE)</f>
        <v>3</v>
      </c>
      <c r="H30" s="87">
        <f>+VLOOKUP($C30,'Op4'!$B$362:$J$396,H$1,FALSE)</f>
        <v>19</v>
      </c>
      <c r="I30" s="87">
        <f>+VLOOKUP($C30,'Op4'!$B$362:$J$396,I$1,FALSE)</f>
        <v>11</v>
      </c>
      <c r="J30" s="87">
        <f>+VLOOKUP($C30,'Op4'!$B$362:$J$396,J$1,FALSE)</f>
        <v>11</v>
      </c>
      <c r="K30" s="84">
        <f>+'Tabla Ranking'!$D$3*D30+'Tabla Ranking'!$E$3*E30+'Tabla Ranking'!$F$3*F30+'Tabla Ranking'!$G$3*G30+'Tabla Ranking'!$H$3*H30+'Tabla Ranking'!$I$3*I30+J30*'Tabla Ranking'!$J$3+A30/1000</f>
        <v>14.476000000000001</v>
      </c>
    </row>
    <row r="31" spans="1:11" x14ac:dyDescent="0.3">
      <c r="A31" s="55">
        <f>+A30+1</f>
        <v>27</v>
      </c>
      <c r="B31" s="60">
        <f>+SMALL('Op4'!$J$362:$J$396,A31)</f>
        <v>23.608000000000001</v>
      </c>
      <c r="C31" s="82" t="s">
        <v>457</v>
      </c>
      <c r="D31" s="87">
        <f>+VLOOKUP($C31,'Op4'!$B$362:$J$396,D$1,FALSE)</f>
        <v>10</v>
      </c>
      <c r="E31" s="87">
        <f>+VLOOKUP($C31,'Op4'!$B$362:$J$396,E$1,FALSE)</f>
        <v>3</v>
      </c>
      <c r="F31" s="87">
        <f>+VLOOKUP($C31,'Op4'!$B$362:$J$396,F$1,FALSE)</f>
        <v>2</v>
      </c>
      <c r="G31" s="87">
        <f>+VLOOKUP($C31,'Op4'!$B$362:$J$396,G$1,FALSE)</f>
        <v>14</v>
      </c>
      <c r="H31" s="87">
        <f>+VLOOKUP($C31,'Op4'!$B$362:$J$396,H$1,FALSE)</f>
        <v>33</v>
      </c>
      <c r="I31" s="87">
        <f>+VLOOKUP($C31,'Op4'!$B$362:$J$396,I$1,FALSE)</f>
        <v>11</v>
      </c>
      <c r="J31" s="87">
        <f>+VLOOKUP($C31,'Op4'!$B$362:$J$396,J$1,FALSE)</f>
        <v>19</v>
      </c>
      <c r="K31" s="84">
        <f>+'Tabla Ranking'!$D$3*D31+'Tabla Ranking'!$E$3*E31+'Tabla Ranking'!$F$3*F31+'Tabla Ranking'!$G$3*G31+'Tabla Ranking'!$H$3*H31+'Tabla Ranking'!$I$3*I31+J31*'Tabla Ranking'!$J$3+A31/1000</f>
        <v>14.326999999999998</v>
      </c>
    </row>
    <row r="32" spans="1:11" x14ac:dyDescent="0.3">
      <c r="A32" s="55">
        <f>+A31+1</f>
        <v>28</v>
      </c>
      <c r="B32" s="60">
        <f>+SMALL('Op4'!$J$362:$J$396,A32)</f>
        <v>23.805</v>
      </c>
      <c r="C32" s="82" t="s">
        <v>448</v>
      </c>
      <c r="D32" s="87">
        <f>+VLOOKUP($C32,'Op4'!$B$362:$J$396,D$1,FALSE)</f>
        <v>2</v>
      </c>
      <c r="E32" s="87">
        <f>+VLOOKUP($C32,'Op4'!$B$362:$J$396,E$1,FALSE)</f>
        <v>19</v>
      </c>
      <c r="F32" s="87">
        <f>+VLOOKUP($C32,'Op4'!$B$362:$J$396,F$1,FALSE)</f>
        <v>19</v>
      </c>
      <c r="G32" s="87">
        <f>+VLOOKUP($C32,'Op4'!$B$362:$J$396,G$1,FALSE)</f>
        <v>25</v>
      </c>
      <c r="H32" s="87">
        <f>+VLOOKUP($C32,'Op4'!$B$362:$J$396,H$1,FALSE)</f>
        <v>12</v>
      </c>
      <c r="I32" s="87">
        <f>+VLOOKUP($C32,'Op4'!$B$362:$J$396,I$1,FALSE)</f>
        <v>35</v>
      </c>
      <c r="J32" s="87">
        <f>+VLOOKUP($C32,'Op4'!$B$362:$J$396,J$1,FALSE)</f>
        <v>4</v>
      </c>
      <c r="K32" s="84">
        <f>+'Tabla Ranking'!$D$3*D32+'Tabla Ranking'!$E$3*E32+'Tabla Ranking'!$F$3*F32+'Tabla Ranking'!$G$3*G32+'Tabla Ranking'!$H$3*H32+'Tabla Ranking'!$I$3*I32+J32*'Tabla Ranking'!$J$3+A32/1000</f>
        <v>14.178000000000001</v>
      </c>
    </row>
    <row r="33" spans="1:11" x14ac:dyDescent="0.3">
      <c r="A33" s="55">
        <f>+A32+1</f>
        <v>29</v>
      </c>
      <c r="B33" s="60">
        <f>+SMALL('Op4'!$J$362:$J$396,A33)</f>
        <v>24.161999999999999</v>
      </c>
      <c r="C33" s="82" t="s">
        <v>140</v>
      </c>
      <c r="D33" s="87">
        <f>+VLOOKUP($C33,'Op4'!$B$362:$J$396,D$1,FALSE)</f>
        <v>8</v>
      </c>
      <c r="E33" s="87">
        <f>+VLOOKUP($C33,'Op4'!$B$362:$J$396,E$1,FALSE)</f>
        <v>23</v>
      </c>
      <c r="F33" s="87">
        <f>+VLOOKUP($C33,'Op4'!$B$362:$J$396,F$1,FALSE)</f>
        <v>31</v>
      </c>
      <c r="G33" s="87">
        <f>+VLOOKUP($C33,'Op4'!$B$362:$J$396,G$1,FALSE)</f>
        <v>10</v>
      </c>
      <c r="H33" s="87">
        <f>+VLOOKUP($C33,'Op4'!$B$362:$J$396,H$1,FALSE)</f>
        <v>1</v>
      </c>
      <c r="I33" s="87">
        <f>+VLOOKUP($C33,'Op4'!$B$362:$J$396,I$1,FALSE)</f>
        <v>1</v>
      </c>
      <c r="J33" s="87">
        <f>+VLOOKUP($C33,'Op4'!$B$362:$J$396,J$1,FALSE)</f>
        <v>35</v>
      </c>
      <c r="K33" s="84">
        <f>+'Tabla Ranking'!$D$3*D33+'Tabla Ranking'!$E$3*E33+'Tabla Ranking'!$F$3*F33+'Tabla Ranking'!$G$3*G33+'Tabla Ranking'!$H$3*H33+'Tabla Ranking'!$I$3*I33+J33*'Tabla Ranking'!$J$3+A33/1000</f>
        <v>12.329000000000001</v>
      </c>
    </row>
    <row r="34" spans="1:11" x14ac:dyDescent="0.3">
      <c r="A34" s="55">
        <f>+A33+1</f>
        <v>30</v>
      </c>
      <c r="B34" s="60">
        <f>+SMALL('Op4'!$J$362:$J$396,A34)</f>
        <v>24.817999999999998</v>
      </c>
      <c r="C34" s="82" t="s">
        <v>76</v>
      </c>
      <c r="D34" s="87">
        <f>+VLOOKUP($C34,'Op4'!$B$362:$J$396,D$1,FALSE)</f>
        <v>3</v>
      </c>
      <c r="E34" s="87">
        <f>+VLOOKUP($C34,'Op4'!$B$362:$J$396,E$1,FALSE)</f>
        <v>27</v>
      </c>
      <c r="F34" s="87">
        <f>+VLOOKUP($C34,'Op4'!$B$362:$J$396,F$1,FALSE)</f>
        <v>31</v>
      </c>
      <c r="G34" s="87">
        <f>+VLOOKUP($C34,'Op4'!$B$362:$J$396,G$1,FALSE)</f>
        <v>6</v>
      </c>
      <c r="H34" s="87">
        <f>+VLOOKUP($C34,'Op4'!$B$362:$J$396,H$1,FALSE)</f>
        <v>1</v>
      </c>
      <c r="I34" s="87">
        <f>+VLOOKUP($C34,'Op4'!$B$362:$J$396,I$1,FALSE)</f>
        <v>2</v>
      </c>
      <c r="J34" s="87">
        <f>+VLOOKUP($C34,'Op4'!$B$362:$J$396,J$1,FALSE)</f>
        <v>35</v>
      </c>
      <c r="K34" s="84">
        <f>+'Tabla Ranking'!$D$3*D34+'Tabla Ranking'!$E$3*E34+'Tabla Ranking'!$F$3*F34+'Tabla Ranking'!$G$3*G34+'Tabla Ranking'!$H$3*H34+'Tabla Ranking'!$I$3*I34+J34*'Tabla Ranking'!$J$3+A34/1000</f>
        <v>11.78</v>
      </c>
    </row>
    <row r="35" spans="1:11" x14ac:dyDescent="0.3">
      <c r="A35" s="55">
        <f>+A34+1</f>
        <v>31</v>
      </c>
      <c r="B35" s="60">
        <f>+SMALL('Op4'!$J$362:$J$396,A35)</f>
        <v>26.052</v>
      </c>
      <c r="C35" s="82" t="s">
        <v>449</v>
      </c>
      <c r="D35" s="87">
        <f>+VLOOKUP($C35,'Op4'!$B$362:$J$396,D$1,FALSE)</f>
        <v>10</v>
      </c>
      <c r="E35" s="87">
        <f>+VLOOKUP($C35,'Op4'!$B$362:$J$396,E$1,FALSE)</f>
        <v>20</v>
      </c>
      <c r="F35" s="87">
        <f>+VLOOKUP($C35,'Op4'!$B$362:$J$396,F$1,FALSE)</f>
        <v>22</v>
      </c>
      <c r="G35" s="87">
        <f>+VLOOKUP($C35,'Op4'!$B$362:$J$396,G$1,FALSE)</f>
        <v>24</v>
      </c>
      <c r="H35" s="87">
        <f>+VLOOKUP($C35,'Op4'!$B$362:$J$396,H$1,FALSE)</f>
        <v>1</v>
      </c>
      <c r="I35" s="87">
        <f>+VLOOKUP($C35,'Op4'!$B$362:$J$396,I$1,FALSE)</f>
        <v>6</v>
      </c>
      <c r="J35" s="87">
        <f>+VLOOKUP($C35,'Op4'!$B$362:$J$396,J$1,FALSE)</f>
        <v>11</v>
      </c>
      <c r="K35" s="84">
        <f>+'Tabla Ranking'!$D$3*D35+'Tabla Ranking'!$E$3*E35+'Tabla Ranking'!$F$3*F35+'Tabla Ranking'!$G$3*G35+'Tabla Ranking'!$H$3*H35+'Tabla Ranking'!$I$3*I35+J35*'Tabla Ranking'!$J$3+A35/1000</f>
        <v>11.331</v>
      </c>
    </row>
    <row r="36" spans="1:11" x14ac:dyDescent="0.3">
      <c r="A36" s="55">
        <f>+A35+1</f>
        <v>32</v>
      </c>
      <c r="B36" s="60">
        <f>+SMALL('Op4'!$J$362:$J$396,A36)</f>
        <v>26.919</v>
      </c>
      <c r="C36" s="82" t="s">
        <v>107</v>
      </c>
      <c r="D36" s="87">
        <f>+VLOOKUP($C36,'Op4'!$B$362:$J$396,D$1,FALSE)</f>
        <v>1</v>
      </c>
      <c r="E36" s="87">
        <f>+VLOOKUP($C36,'Op4'!$B$362:$J$396,E$1,FALSE)</f>
        <v>35</v>
      </c>
      <c r="F36" s="87">
        <f>+VLOOKUP($C36,'Op4'!$B$362:$J$396,F$1,FALSE)</f>
        <v>22</v>
      </c>
      <c r="G36" s="87">
        <f>+VLOOKUP($C36,'Op4'!$B$362:$J$396,G$1,FALSE)</f>
        <v>4</v>
      </c>
      <c r="H36" s="87">
        <f>+VLOOKUP($C36,'Op4'!$B$362:$J$396,H$1,FALSE)</f>
        <v>1</v>
      </c>
      <c r="I36" s="87">
        <f>+VLOOKUP($C36,'Op4'!$B$362:$J$396,I$1,FALSE)</f>
        <v>3</v>
      </c>
      <c r="J36" s="87">
        <f>+VLOOKUP($C36,'Op4'!$B$362:$J$396,J$1,FALSE)</f>
        <v>19</v>
      </c>
      <c r="K36" s="84">
        <f>+'Tabla Ranking'!$D$3*D36+'Tabla Ranking'!$E$3*E36+'Tabla Ranking'!$F$3*F36+'Tabla Ranking'!$G$3*G36+'Tabla Ranking'!$H$3*H36+'Tabla Ranking'!$I$3*I36+J36*'Tabla Ranking'!$J$3+A36/1000</f>
        <v>11.181999999999999</v>
      </c>
    </row>
    <row r="37" spans="1:11" x14ac:dyDescent="0.3">
      <c r="A37" s="55">
        <f>+A36+1</f>
        <v>33</v>
      </c>
      <c r="B37" s="60">
        <f>+SMALL('Op4'!$J$362:$J$396,A37)</f>
        <v>26.923000000000002</v>
      </c>
      <c r="C37" s="82" t="s">
        <v>138</v>
      </c>
      <c r="D37" s="87">
        <f>+VLOOKUP($C37,'Op4'!$B$362:$J$396,D$1,FALSE)</f>
        <v>10</v>
      </c>
      <c r="E37" s="87">
        <f>+VLOOKUP($C37,'Op4'!$B$362:$J$396,E$1,FALSE)</f>
        <v>12</v>
      </c>
      <c r="F37" s="87">
        <f>+VLOOKUP($C37,'Op4'!$B$362:$J$396,F$1,FALSE)</f>
        <v>9</v>
      </c>
      <c r="G37" s="87">
        <f>+VLOOKUP($C37,'Op4'!$B$362:$J$396,G$1,FALSE)</f>
        <v>28</v>
      </c>
      <c r="H37" s="87">
        <f>+VLOOKUP($C37,'Op4'!$B$362:$J$396,H$1,FALSE)</f>
        <v>1</v>
      </c>
      <c r="I37" s="87">
        <f>+VLOOKUP($C37,'Op4'!$B$362:$J$396,I$1,FALSE)</f>
        <v>3</v>
      </c>
      <c r="J37" s="87">
        <f>+VLOOKUP($C37,'Op4'!$B$362:$J$396,J$1,FALSE)</f>
        <v>35</v>
      </c>
      <c r="K37" s="84">
        <f>+'Tabla Ranking'!$D$3*D37+'Tabla Ranking'!$E$3*E37+'Tabla Ranking'!$F$3*F37+'Tabla Ranking'!$G$3*G37+'Tabla Ranking'!$H$3*H37+'Tabla Ranking'!$I$3*I37+J37*'Tabla Ranking'!$J$3+A37/1000</f>
        <v>9.5329999999999995</v>
      </c>
    </row>
    <row r="38" spans="1:11" x14ac:dyDescent="0.3">
      <c r="A38" s="55">
        <f>+A37+1</f>
        <v>34</v>
      </c>
      <c r="B38" s="60">
        <f>+SMALL('Op4'!$J$362:$J$396,A38)</f>
        <v>29.952999999999999</v>
      </c>
      <c r="C38" s="82" t="s">
        <v>45</v>
      </c>
      <c r="D38" s="87">
        <f>+VLOOKUP($C38,'Op4'!$B$362:$J$396,D$1,FALSE)</f>
        <v>4</v>
      </c>
      <c r="E38" s="87">
        <f>+VLOOKUP($C38,'Op4'!$B$362:$J$396,E$1,FALSE)</f>
        <v>16</v>
      </c>
      <c r="F38" s="87">
        <f>+VLOOKUP($C38,'Op4'!$B$362:$J$396,F$1,FALSE)</f>
        <v>12</v>
      </c>
      <c r="G38" s="87">
        <f>+VLOOKUP($C38,'Op4'!$B$362:$J$396,G$1,FALSE)</f>
        <v>8</v>
      </c>
      <c r="H38" s="87">
        <f>+VLOOKUP($C38,'Op4'!$B$362:$J$396,H$1,FALSE)</f>
        <v>1</v>
      </c>
      <c r="I38" s="87">
        <f>+VLOOKUP($C38,'Op4'!$B$362:$J$396,I$1,FALSE)</f>
        <v>7</v>
      </c>
      <c r="J38" s="87">
        <f>+VLOOKUP($C38,'Op4'!$B$362:$J$396,J$1,FALSE)</f>
        <v>19</v>
      </c>
      <c r="K38" s="84">
        <f>+'Tabla Ranking'!$D$3*D38+'Tabla Ranking'!$E$3*E38+'Tabla Ranking'!$F$3*F38+'Tabla Ranking'!$G$3*G38+'Tabla Ranking'!$H$3*H38+'Tabla Ranking'!$I$3*I38+J38*'Tabla Ranking'!$J$3+A38/1000</f>
        <v>7.7340000000000009</v>
      </c>
    </row>
    <row r="39" spans="1:11" x14ac:dyDescent="0.3">
      <c r="A39" s="55">
        <f>+A38+1</f>
        <v>35</v>
      </c>
      <c r="B39" s="60">
        <f>+SMALL('Op4'!$J$362:$J$396,A39)</f>
        <v>30.451000000000001</v>
      </c>
      <c r="C39" s="82" t="s">
        <v>456</v>
      </c>
      <c r="D39" s="87">
        <f>+VLOOKUP($C39,'Op4'!$B$362:$J$396,D$1,FALSE)</f>
        <v>8</v>
      </c>
      <c r="E39" s="87">
        <f>+VLOOKUP($C39,'Op4'!$B$362:$J$396,E$1,FALSE)</f>
        <v>9</v>
      </c>
      <c r="F39" s="87">
        <f>+VLOOKUP($C39,'Op4'!$B$362:$J$396,F$1,FALSE)</f>
        <v>7</v>
      </c>
      <c r="G39" s="87">
        <f>+VLOOKUP($C39,'Op4'!$B$362:$J$396,G$1,FALSE)</f>
        <v>22</v>
      </c>
      <c r="H39" s="87">
        <f>+VLOOKUP($C39,'Op4'!$B$362:$J$396,H$1,FALSE)</f>
        <v>1</v>
      </c>
      <c r="I39" s="87">
        <f>+VLOOKUP($C39,'Op4'!$B$362:$J$396,I$1,FALSE)</f>
        <v>3</v>
      </c>
      <c r="J39" s="87">
        <f>+VLOOKUP($C39,'Op4'!$B$362:$J$396,J$1,FALSE)</f>
        <v>19</v>
      </c>
      <c r="K39" s="84">
        <f>+'Tabla Ranking'!$D$3*D39+'Tabla Ranking'!$E$3*E39+'Tabla Ranking'!$F$3*F39+'Tabla Ranking'!$G$3*G39+'Tabla Ranking'!$H$3*H39+'Tabla Ranking'!$I$3*I39+J39*'Tabla Ranking'!$J$3+A39/1000</f>
        <v>7.1349999999999998</v>
      </c>
    </row>
  </sheetData>
  <sortState xmlns:xlrd2="http://schemas.microsoft.com/office/spreadsheetml/2017/richdata2" ref="L5:M39">
    <sortCondition descending="1" ref="L5:L39"/>
  </sortState>
  <mergeCells count="1">
    <mergeCell ref="D2:K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4B12-EDD8-4361-BAF2-7862D48143FB}">
  <dimension ref="A1:K39"/>
  <sheetViews>
    <sheetView topLeftCell="C1" workbookViewId="0">
      <selection activeCell="C1" sqref="C1"/>
    </sheetView>
  </sheetViews>
  <sheetFormatPr baseColWidth="10" defaultRowHeight="14.4" x14ac:dyDescent="0.3"/>
  <cols>
    <col min="1" max="2" width="0" hidden="1" customWidth="1"/>
    <col min="3" max="3" width="20.5546875" bestFit="1" customWidth="1"/>
    <col min="4" max="11" width="17.88671875" customWidth="1"/>
  </cols>
  <sheetData>
    <row r="1" spans="1:11" x14ac:dyDescent="0.3">
      <c r="A1" s="52"/>
      <c r="B1" s="52"/>
      <c r="D1" s="70">
        <v>2</v>
      </c>
      <c r="E1" s="70">
        <f>++D1+1</f>
        <v>3</v>
      </c>
      <c r="F1" s="70">
        <f>++E1+1</f>
        <v>4</v>
      </c>
      <c r="G1" s="70">
        <f>++F1+1</f>
        <v>5</v>
      </c>
      <c r="H1" s="70">
        <f>++G1+1</f>
        <v>6</v>
      </c>
      <c r="I1" s="70">
        <f>++H1+1</f>
        <v>7</v>
      </c>
      <c r="J1" s="70">
        <f>++I1+1</f>
        <v>8</v>
      </c>
      <c r="K1" s="70">
        <f>++J1+1</f>
        <v>9</v>
      </c>
    </row>
    <row r="2" spans="1:11" x14ac:dyDescent="0.3">
      <c r="A2" s="52"/>
      <c r="B2" s="52"/>
      <c r="D2" s="73" t="s">
        <v>929</v>
      </c>
      <c r="E2" s="73"/>
      <c r="F2" s="73"/>
      <c r="G2" s="73"/>
      <c r="H2" s="73"/>
      <c r="I2" s="73"/>
      <c r="J2" s="73"/>
      <c r="K2" s="73"/>
    </row>
    <row r="3" spans="1:11" x14ac:dyDescent="0.3">
      <c r="A3" s="52"/>
      <c r="B3" s="52"/>
      <c r="C3" s="52"/>
      <c r="D3" s="75">
        <v>0.25</v>
      </c>
      <c r="E3" s="75">
        <v>0.2</v>
      </c>
      <c r="F3" s="75">
        <v>0.1</v>
      </c>
      <c r="G3" s="75">
        <v>0.05</v>
      </c>
      <c r="H3" s="75">
        <v>0.25</v>
      </c>
      <c r="I3" s="75">
        <v>0.1</v>
      </c>
      <c r="J3" s="75">
        <v>0.05</v>
      </c>
      <c r="K3" s="57">
        <f>+SUM(D3:J3)</f>
        <v>1</v>
      </c>
    </row>
    <row r="4" spans="1:11" ht="28.8" x14ac:dyDescent="0.3">
      <c r="A4" s="52"/>
      <c r="B4" s="52"/>
      <c r="C4" s="71" t="s">
        <v>917</v>
      </c>
      <c r="D4" s="74" t="s">
        <v>911</v>
      </c>
      <c r="E4" s="74" t="s">
        <v>926</v>
      </c>
      <c r="F4" s="74" t="s">
        <v>925</v>
      </c>
      <c r="G4" s="74" t="s">
        <v>440</v>
      </c>
      <c r="H4" s="74" t="s">
        <v>927</v>
      </c>
      <c r="I4" s="74" t="s">
        <v>928</v>
      </c>
      <c r="J4" s="74" t="s">
        <v>910</v>
      </c>
      <c r="K4" s="74" t="s">
        <v>909</v>
      </c>
    </row>
    <row r="5" spans="1:11" x14ac:dyDescent="0.3">
      <c r="A5" s="55">
        <v>1</v>
      </c>
      <c r="B5" s="60">
        <f>+SMALL('Op4'!$J$362:$J$396,A5)</f>
        <v>7.133</v>
      </c>
      <c r="C5" s="76" t="s">
        <v>333</v>
      </c>
      <c r="D5" s="77">
        <f>+VLOOKUP(C5,'Op4'!$B$45:$O$79,14,FALSE)</f>
        <v>100</v>
      </c>
      <c r="E5" s="77">
        <f>+VLOOKUP(C5,'Op4'!$B$84:$O$118,14,FALSE)</f>
        <v>89.359441408621734</v>
      </c>
      <c r="F5" s="77">
        <f>+VLOOKUP(C5,'Op4'!$B$123:$O$157,14,FALSE)</f>
        <v>93.333333333333329</v>
      </c>
      <c r="G5" s="77">
        <f>+VLOOKUP(C5,'Op4'!$B$206:$O$240,14,FALSE)</f>
        <v>48.910470058645139</v>
      </c>
      <c r="H5" s="77">
        <f>+VLOOKUP(C5,'Op4'!$B$245:$O$279,14,FALSE)</f>
        <v>85.964912280701753</v>
      </c>
      <c r="I5" s="77">
        <f>+VLOOKUP(C5,'Op4'!$B$285:$O$319,14,FALSE)</f>
        <v>100</v>
      </c>
      <c r="J5" s="77">
        <f>+VLOOKUP(C5,'Op4'!$B$324:$O$358,14,FALSE)</f>
        <v>90</v>
      </c>
      <c r="K5" s="78">
        <f>+'Tabla 100'!$D$3*D5+'Tabla 100'!$E$3*E5+'Tabla 100'!$F$3*F5+'Tabla 100'!$G$3*G5+'Tabla 100'!$H$3*H5+'Tabla 100'!$I$3*I5+J5*'Tabla 100'!$J$3+A5/1000</f>
        <v>90.642973188165385</v>
      </c>
    </row>
    <row r="6" spans="1:11" x14ac:dyDescent="0.3">
      <c r="A6" s="55">
        <f>+A5+1</f>
        <v>2</v>
      </c>
      <c r="B6" s="60">
        <f>+SMALL('Op4'!$J$362:$J$396,A6)</f>
        <v>7.729000000000001</v>
      </c>
      <c r="C6" s="76" t="s">
        <v>3</v>
      </c>
      <c r="D6" s="77">
        <f>+VLOOKUP(C6,'Op4'!$B$45:$O$79,14,FALSE)</f>
        <v>100</v>
      </c>
      <c r="E6" s="77">
        <f>+VLOOKUP(C6,'Op4'!$B$84:$O$118,14,FALSE)</f>
        <v>87.865925058548015</v>
      </c>
      <c r="F6" s="77">
        <f>+VLOOKUP(C6,'Op4'!$B$123:$O$157,14,FALSE)</f>
        <v>100</v>
      </c>
      <c r="G6" s="77">
        <f>+VLOOKUP(C6,'Op4'!$B$206:$O$240,14,FALSE)</f>
        <v>34.158536389209274</v>
      </c>
      <c r="H6" s="77">
        <f>+VLOOKUP(C6,'Op4'!$B$245:$O$279,14,FALSE)</f>
        <v>72.222222222222214</v>
      </c>
      <c r="I6" s="77">
        <f>+VLOOKUP(C6,'Op4'!$B$285:$O$319,14,FALSE)</f>
        <v>96.666666666666671</v>
      </c>
      <c r="J6" s="77">
        <f>+VLOOKUP(C6,'Op4'!$B$324:$O$358,14,FALSE)</f>
        <v>93.333333333333329</v>
      </c>
      <c r="K6" s="78">
        <f>+'Tabla 100'!$D$3*D6+'Tabla 100'!$E$3*E6+'Tabla 100'!$F$3*F6+'Tabla 100'!$G$3*G6+'Tabla 100'!$H$3*H6+'Tabla 100'!$I$3*I6+J6*'Tabla 100'!$J$3+A6/1000</f>
        <v>86.672000720058961</v>
      </c>
    </row>
    <row r="7" spans="1:11" x14ac:dyDescent="0.3">
      <c r="A7" s="55">
        <f>+A6+1</f>
        <v>3</v>
      </c>
      <c r="B7" s="60">
        <f>+SMALL('Op4'!$J$362:$J$396,A7)</f>
        <v>9.532</v>
      </c>
      <c r="C7" s="76" t="s">
        <v>235</v>
      </c>
      <c r="D7" s="77">
        <f>+VLOOKUP(C7,'Op4'!$B$45:$O$79,14,FALSE)</f>
        <v>100</v>
      </c>
      <c r="E7" s="77">
        <f>+VLOOKUP(C7,'Op4'!$B$84:$O$118,14,FALSE)</f>
        <v>88.34699453551913</v>
      </c>
      <c r="F7" s="77">
        <f>+VLOOKUP(C7,'Op4'!$B$123:$O$157,14,FALSE)</f>
        <v>53.333333333333336</v>
      </c>
      <c r="G7" s="77">
        <f>+VLOOKUP(C7,'Op4'!$B$206:$O$240,14,FALSE)</f>
        <v>30.796373027274786</v>
      </c>
      <c r="H7" s="77">
        <f>+VLOOKUP(C7,'Op4'!$B$245:$O$279,14,FALSE)</f>
        <v>88.333333333333329</v>
      </c>
      <c r="I7" s="77">
        <f>+VLOOKUP(C7,'Op4'!$B$285:$O$319,14,FALSE)</f>
        <v>100</v>
      </c>
      <c r="J7" s="77">
        <f>+VLOOKUP(C7,'Op4'!$B$324:$O$358,14,FALSE)</f>
        <v>100</v>
      </c>
      <c r="K7" s="78">
        <f>+'Tabla 100'!$D$3*D7+'Tabla 100'!$E$3*E7+'Tabla 100'!$F$3*F7+'Tabla 100'!$G$3*G7+'Tabla 100'!$H$3*H7+'Tabla 100'!$I$3*I7+J7*'Tabla 100'!$J$3+A7/1000</f>
        <v>86.628884225134229</v>
      </c>
    </row>
    <row r="8" spans="1:11" x14ac:dyDescent="0.3">
      <c r="A8" s="55">
        <f>+A7+1</f>
        <v>4</v>
      </c>
      <c r="B8" s="60">
        <f>+SMALL('Op4'!$J$362:$J$396,A8)</f>
        <v>11.180999999999999</v>
      </c>
      <c r="C8" s="76" t="s">
        <v>318</v>
      </c>
      <c r="D8" s="77">
        <f>+VLOOKUP(C8,'Op4'!$B$45:$O$79,14,FALSE)</f>
        <v>95.833333333333329</v>
      </c>
      <c r="E8" s="77">
        <f>+VLOOKUP(C8,'Op4'!$B$84:$O$118,14,FALSE)</f>
        <v>94.586748633879779</v>
      </c>
      <c r="F8" s="77">
        <f>+VLOOKUP(C8,'Op4'!$B$123:$O$157,14,FALSE)</f>
        <v>83.333333333333343</v>
      </c>
      <c r="G8" s="77">
        <f>+VLOOKUP(C8,'Op4'!$B$206:$O$240,14,FALSE)</f>
        <v>37.950520343765355</v>
      </c>
      <c r="H8" s="77">
        <f>+VLOOKUP(C8,'Op4'!$B$245:$O$279,14,FALSE)</f>
        <v>71.15384615384616</v>
      </c>
      <c r="I8" s="77">
        <f>+VLOOKUP(C8,'Op4'!$B$285:$O$319,14,FALSE)</f>
        <v>100</v>
      </c>
      <c r="J8" s="77">
        <f>+VLOOKUP(C8,'Op4'!$B$324:$O$358,14,FALSE)</f>
        <v>80</v>
      </c>
      <c r="K8" s="78">
        <f>+'Tabla 100'!$D$3*D8+'Tabla 100'!$E$3*E8+'Tabla 100'!$F$3*F8+'Tabla 100'!$G$3*G8+'Tabla 100'!$H$3*H8+'Tabla 100'!$I$3*I8+J8*'Tabla 100'!$J$3+A8/1000</f>
        <v>84.899003949092432</v>
      </c>
    </row>
    <row r="9" spans="1:11" x14ac:dyDescent="0.3">
      <c r="A9" s="55">
        <f>+A8+1</f>
        <v>5</v>
      </c>
      <c r="B9" s="60">
        <f>+SMALL('Op4'!$J$362:$J$396,A9)</f>
        <v>11.329999999999998</v>
      </c>
      <c r="C9" s="76" t="s">
        <v>177</v>
      </c>
      <c r="D9" s="77">
        <f>+VLOOKUP(C9,'Op4'!$B$45:$O$79,14,FALSE)</f>
        <v>96.666666666666671</v>
      </c>
      <c r="E9" s="77">
        <f>+VLOOKUP(C9,'Op4'!$B$84:$O$118,14,FALSE)</f>
        <v>71.311475409836063</v>
      </c>
      <c r="F9" s="77">
        <f>+VLOOKUP(C9,'Op4'!$B$123:$O$157,14,FALSE)</f>
        <v>93.333333333333329</v>
      </c>
      <c r="G9" s="77">
        <f>+VLOOKUP(C9,'Op4'!$B$206:$O$240,14,FALSE)</f>
        <v>26.174852427403035</v>
      </c>
      <c r="H9" s="77">
        <f>+VLOOKUP(C9,'Op4'!$B$245:$O$279,14,FALSE)</f>
        <v>81.666666666666671</v>
      </c>
      <c r="I9" s="77">
        <f>+VLOOKUP(C9,'Op4'!$B$285:$O$319,14,FALSE)</f>
        <v>100</v>
      </c>
      <c r="J9" s="77">
        <f>+VLOOKUP(C9,'Op4'!$B$324:$O$358,14,FALSE)</f>
        <v>100</v>
      </c>
      <c r="K9" s="78">
        <f>+'Tabla 100'!$D$3*D9+'Tabla 100'!$E$3*E9+'Tabla 100'!$F$3*F9+'Tabla 100'!$G$3*G9+'Tabla 100'!$H$3*H9+'Tabla 100'!$I$3*I9+J9*'Tabla 100'!$J$3+A9/1000</f>
        <v>84.492704370004034</v>
      </c>
    </row>
    <row r="10" spans="1:11" x14ac:dyDescent="0.3">
      <c r="A10" s="55">
        <f>+A9+1</f>
        <v>6</v>
      </c>
      <c r="B10" s="60">
        <f>+SMALL('Op4'!$J$362:$J$396,A10)</f>
        <v>11.784000000000001</v>
      </c>
      <c r="C10" s="76" t="s">
        <v>444</v>
      </c>
      <c r="D10" s="77">
        <f>+VLOOKUP(C10,'Op4'!$B$45:$O$79,14,FALSE)</f>
        <v>100</v>
      </c>
      <c r="E10" s="77">
        <f>+VLOOKUP(C10,'Op4'!$B$84:$O$118,14,FALSE)</f>
        <v>75.556206088992965</v>
      </c>
      <c r="F10" s="77">
        <f>+VLOOKUP(C10,'Op4'!$B$123:$O$157,14,FALSE)</f>
        <v>73.333333333333329</v>
      </c>
      <c r="G10" s="77">
        <f>+VLOOKUP(C10,'Op4'!$B$206:$O$240,14,FALSE)</f>
        <v>33.225756053492745</v>
      </c>
      <c r="H10" s="77">
        <f>+VLOOKUP(C10,'Op4'!$B$245:$O$279,14,FALSE)</f>
        <v>81.818181818181813</v>
      </c>
      <c r="I10" s="77">
        <f>+VLOOKUP(C10,'Op4'!$B$285:$O$319,14,FALSE)</f>
        <v>100</v>
      </c>
      <c r="J10" s="77">
        <f>+VLOOKUP(C10,'Op4'!$B$324:$O$358,14,FALSE)</f>
        <v>93.333333333333329</v>
      </c>
      <c r="K10" s="78">
        <f>+'Tabla 100'!$D$3*D10+'Tabla 100'!$E$3*E10+'Tabla 100'!$F$3*F10+'Tabla 100'!$G$3*G10+'Tabla 100'!$H$3*H10+'Tabla 100'!$I$3*I10+J10*'Tabla 100'!$J$3+A10/1000</f>
        <v>84.233074475018682</v>
      </c>
    </row>
    <row r="11" spans="1:11" x14ac:dyDescent="0.3">
      <c r="A11" s="55">
        <f>+A10+1</f>
        <v>7</v>
      </c>
      <c r="B11" s="60">
        <f>+SMALL('Op4'!$J$362:$J$396,A11)</f>
        <v>12.335000000000001</v>
      </c>
      <c r="C11" s="76" t="s">
        <v>451</v>
      </c>
      <c r="D11" s="77">
        <f>+VLOOKUP(C11,'Op4'!$B$45:$O$79,14,FALSE)</f>
        <v>100</v>
      </c>
      <c r="E11" s="77">
        <f>+VLOOKUP(C11,'Op4'!$B$84:$O$118,14,FALSE)</f>
        <v>60.79760403530895</v>
      </c>
      <c r="F11" s="77">
        <f>+VLOOKUP(C11,'Op4'!$B$123:$O$157,14,FALSE)</f>
        <v>93.333333333333329</v>
      </c>
      <c r="G11" s="77">
        <f>+VLOOKUP(C11,'Op4'!$B$206:$O$240,14,FALSE)</f>
        <v>13.656730802208255</v>
      </c>
      <c r="H11" s="77">
        <f>+VLOOKUP(C11,'Op4'!$B$245:$O$279,14,FALSE)</f>
        <v>86.79245283018868</v>
      </c>
      <c r="I11" s="77">
        <f>+VLOOKUP(C11,'Op4'!$B$285:$O$319,14,FALSE)</f>
        <v>100</v>
      </c>
      <c r="J11" s="77">
        <f>+VLOOKUP(C11,'Op4'!$B$324:$O$358,14,FALSE)</f>
        <v>86.666666666666671</v>
      </c>
      <c r="K11" s="78">
        <f>+'Tabla 100'!$D$3*D11+'Tabla 100'!$E$3*E11+'Tabla 100'!$F$3*F11+'Tabla 100'!$G$3*G11+'Tabla 100'!$H$3*H11+'Tabla 100'!$I$3*I11+J11*'Tabla 100'!$J$3+A11/1000</f>
        <v>83.214137221386039</v>
      </c>
    </row>
    <row r="12" spans="1:11" x14ac:dyDescent="0.3">
      <c r="A12" s="55">
        <f>+A11+1</f>
        <v>8</v>
      </c>
      <c r="B12" s="60">
        <f>+SMALL('Op4'!$J$362:$J$396,A12)</f>
        <v>14.166</v>
      </c>
      <c r="C12" s="76" t="s">
        <v>459</v>
      </c>
      <c r="D12" s="77">
        <f>+VLOOKUP(C12,'Op4'!$B$45:$O$79,14,FALSE)</f>
        <v>96.666666666666671</v>
      </c>
      <c r="E12" s="77">
        <f>+VLOOKUP(C12,'Op4'!$B$84:$O$118,14,FALSE)</f>
        <v>79.234972677595621</v>
      </c>
      <c r="F12" s="77">
        <f>+VLOOKUP(C12,'Op4'!$B$123:$O$157,14,FALSE)</f>
        <v>83.333333333333343</v>
      </c>
      <c r="G12" s="77">
        <f>+VLOOKUP(C12,'Op4'!$B$206:$O$240,14,FALSE)</f>
        <v>47.251970598624112</v>
      </c>
      <c r="H12" s="77">
        <f>+VLOOKUP(C12,'Op4'!$B$245:$O$279,14,FALSE)</f>
        <v>66.666666666666671</v>
      </c>
      <c r="I12" s="77">
        <f>+VLOOKUP(C12,'Op4'!$B$285:$O$319,14,FALSE)</f>
        <v>96.666666666666671</v>
      </c>
      <c r="J12" s="77">
        <f>+VLOOKUP(C12,'Op4'!$B$324:$O$358,14,FALSE)</f>
        <v>100</v>
      </c>
      <c r="K12" s="78">
        <f>+'Tabla 100'!$D$3*D12+'Tabla 100'!$E$3*E12+'Tabla 100'!$F$3*F12+'Tabla 100'!$G$3*G12+'Tabla 100'!$H$3*H12+'Tabla 100'!$I$3*I12+J12*'Tabla 100'!$J$3+A12/1000</f>
        <v>82.050926398783673</v>
      </c>
    </row>
    <row r="13" spans="1:11" x14ac:dyDescent="0.3">
      <c r="A13" s="55">
        <f>+A12+1</f>
        <v>9</v>
      </c>
      <c r="B13" s="60">
        <f>+SMALL('Op4'!$J$362:$J$396,A13)</f>
        <v>14.321999999999999</v>
      </c>
      <c r="C13" s="76" t="s">
        <v>454</v>
      </c>
      <c r="D13" s="77">
        <f>+VLOOKUP(C13,'Op4'!$B$45:$O$79,14,FALSE)</f>
        <v>96.428571428571431</v>
      </c>
      <c r="E13" s="77">
        <f>+VLOOKUP(C13,'Op4'!$B$84:$O$118,14,FALSE)</f>
        <v>67.066744730679162</v>
      </c>
      <c r="F13" s="77">
        <f>+VLOOKUP(C13,'Op4'!$B$123:$O$157,14,FALSE)</f>
        <v>86.666666666666671</v>
      </c>
      <c r="G13" s="77">
        <f>+VLOOKUP(C13,'Op4'!$B$206:$O$240,14,FALSE)</f>
        <v>31.405537973586561</v>
      </c>
      <c r="H13" s="77">
        <f>+VLOOKUP(C13,'Op4'!$B$245:$O$279,14,FALSE)</f>
        <v>78.571428571428569</v>
      </c>
      <c r="I13" s="77">
        <f>+VLOOKUP(C13,'Op4'!$B$285:$O$319,14,FALSE)</f>
        <v>93.333333333333329</v>
      </c>
      <c r="J13" s="77">
        <f>+VLOOKUP(C13,'Op4'!$B$324:$O$358,14,FALSE)</f>
        <v>93.333333333333329</v>
      </c>
      <c r="K13" s="78">
        <f>+'Tabla 100'!$D$3*D13+'Tabla 100'!$E$3*E13+'Tabla 100'!$F$3*F13+'Tabla 100'!$G$3*G13+'Tabla 100'!$H$3*H13+'Tabla 100'!$I$3*I13+J13*'Tabla 100'!$J$3+A13/1000</f>
        <v>81.409292511481823</v>
      </c>
    </row>
    <row r="14" spans="1:11" x14ac:dyDescent="0.3">
      <c r="A14" s="55">
        <f>+A13+1</f>
        <v>10</v>
      </c>
      <c r="B14" s="60">
        <f>+SMALL('Op4'!$J$362:$J$396,A14)</f>
        <v>14.461</v>
      </c>
      <c r="C14" s="76" t="s">
        <v>450</v>
      </c>
      <c r="D14" s="77">
        <f>+VLOOKUP(C14,'Op4'!$B$45:$O$79,14,FALSE)</f>
        <v>100</v>
      </c>
      <c r="E14" s="77">
        <f>+VLOOKUP(C14,'Op4'!$B$84:$O$118,14,FALSE)</f>
        <v>72.950819672131146</v>
      </c>
      <c r="F14" s="77">
        <f>+VLOOKUP(C14,'Op4'!$B$123:$O$157,14,FALSE)</f>
        <v>80</v>
      </c>
      <c r="G14" s="77">
        <f>+VLOOKUP(C14,'Op4'!$B$206:$O$240,14,FALSE)</f>
        <v>30.782577512567205</v>
      </c>
      <c r="H14" s="77">
        <f>+VLOOKUP(C14,'Op4'!$B$245:$O$279,14,FALSE)</f>
        <v>68.965517241379317</v>
      </c>
      <c r="I14" s="77">
        <f>+VLOOKUP(C14,'Op4'!$B$285:$O$319,14,FALSE)</f>
        <v>100</v>
      </c>
      <c r="J14" s="77">
        <f>+VLOOKUP(C14,'Op4'!$B$324:$O$358,14,FALSE)</f>
        <v>96.666666666666671</v>
      </c>
      <c r="K14" s="78">
        <f>+'Tabla 100'!$D$3*D14+'Tabla 100'!$E$3*E14+'Tabla 100'!$F$3*F14+'Tabla 100'!$G$3*G14+'Tabla 100'!$H$3*H14+'Tabla 100'!$I$3*I14+J14*'Tabla 100'!$J$3+A14/1000</f>
        <v>81.214005453732753</v>
      </c>
    </row>
    <row r="15" spans="1:11" x14ac:dyDescent="0.3">
      <c r="A15" s="55">
        <f>+A14+1</f>
        <v>11</v>
      </c>
      <c r="B15" s="60">
        <f>+SMALL('Op4'!$J$362:$J$396,A15)</f>
        <v>14.865</v>
      </c>
      <c r="C15" s="79" t="s">
        <v>304</v>
      </c>
      <c r="D15" s="80">
        <f>+VLOOKUP(C15,'Op4'!$B$45:$O$79,14,FALSE)</f>
        <v>88.888888888888886</v>
      </c>
      <c r="E15" s="80">
        <f>+VLOOKUP(C15,'Op4'!$B$84:$O$118,14,FALSE)</f>
        <v>94.421675774134798</v>
      </c>
      <c r="F15" s="80">
        <f>+VLOOKUP(C15,'Op4'!$B$123:$O$157,14,FALSE)</f>
        <v>93.333333333333329</v>
      </c>
      <c r="G15" s="80">
        <f>+VLOOKUP(C15,'Op4'!$B$206:$O$240,14,FALSE)</f>
        <v>20.403742525584427</v>
      </c>
      <c r="H15" s="80">
        <f>+VLOOKUP(C15,'Op4'!$B$245:$O$279,14,FALSE)</f>
        <v>64.285714285714278</v>
      </c>
      <c r="I15" s="80">
        <f>+VLOOKUP(C15,'Op4'!$B$285:$O$319,14,FALSE)</f>
        <v>100</v>
      </c>
      <c r="J15" s="80">
        <f>+VLOOKUP(C15,'Op4'!$B$324:$O$358,14,FALSE)</f>
        <v>60</v>
      </c>
      <c r="K15" s="81">
        <f>+'Tabla 100'!$D$3*D15+'Tabla 100'!$E$3*E15+'Tabla 100'!$F$3*F15+'Tabla 100'!$G$3*G15+'Tabla 100'!$H$3*H15+'Tabla 100'!$I$3*I15+J15*'Tabla 100'!$J$3+A15/1000</f>
        <v>80.542506408090304</v>
      </c>
    </row>
    <row r="16" spans="1:11" x14ac:dyDescent="0.3">
      <c r="A16" s="55">
        <f>+A15+1</f>
        <v>12</v>
      </c>
      <c r="B16" s="60">
        <f>+SMALL('Op4'!$J$362:$J$396,A16)</f>
        <v>15.721000000000002</v>
      </c>
      <c r="C16" s="79" t="s">
        <v>415</v>
      </c>
      <c r="D16" s="80">
        <f>+VLOOKUP(C16,'Op4'!$B$45:$O$79,14,FALSE)</f>
        <v>85.18518518518519</v>
      </c>
      <c r="E16" s="80">
        <f>+VLOOKUP(C16,'Op4'!$B$84:$O$118,14,FALSE)</f>
        <v>77.9143897996357</v>
      </c>
      <c r="F16" s="80">
        <f>+VLOOKUP(C16,'Op4'!$B$123:$O$157,14,FALSE)</f>
        <v>86.666666666666671</v>
      </c>
      <c r="G16" s="80">
        <f>+VLOOKUP(C16,'Op4'!$B$206:$O$240,14,FALSE)</f>
        <v>47.715543598330385</v>
      </c>
      <c r="H16" s="80">
        <f>+VLOOKUP(C16,'Op4'!$B$245:$O$279,14,FALSE)</f>
        <v>71.428571428571431</v>
      </c>
      <c r="I16" s="80">
        <f>+VLOOKUP(C16,'Op4'!$B$285:$O$319,14,FALSE)</f>
        <v>100</v>
      </c>
      <c r="J16" s="80">
        <f>+VLOOKUP(C16,'Op4'!$B$324:$O$358,14,FALSE)</f>
        <v>90</v>
      </c>
      <c r="K16" s="81">
        <f>+'Tabla 100'!$D$3*D16+'Tabla 100'!$E$3*E16+'Tabla 100'!$F$3*F16+'Tabla 100'!$G$3*G16+'Tabla 100'!$H$3*H16+'Tabla 100'!$I$3*I16+J16*'Tabla 100'!$J$3+A16/1000</f>
        <v>80.300760959949486</v>
      </c>
    </row>
    <row r="17" spans="1:11" x14ac:dyDescent="0.3">
      <c r="A17" s="55">
        <f>+A16+1</f>
        <v>13</v>
      </c>
      <c r="B17" s="60">
        <f>+SMALL('Op4'!$J$362:$J$396,A17)</f>
        <v>15.728</v>
      </c>
      <c r="C17" s="79" t="s">
        <v>385</v>
      </c>
      <c r="D17" s="80">
        <f>+VLOOKUP(C17,'Op4'!$B$45:$O$79,14,FALSE)</f>
        <v>89.285714285714292</v>
      </c>
      <c r="E17" s="80">
        <f>+VLOOKUP(C17,'Op4'!$B$84:$O$118,14,FALSE)</f>
        <v>94.233021077283368</v>
      </c>
      <c r="F17" s="80">
        <f>+VLOOKUP(C17,'Op4'!$B$123:$O$157,14,FALSE)</f>
        <v>90</v>
      </c>
      <c r="G17" s="80">
        <f>+VLOOKUP(C17,'Op4'!$B$206:$O$240,14,FALSE)</f>
        <v>43.846758669331045</v>
      </c>
      <c r="H17" s="80">
        <f>+VLOOKUP(C17,'Op4'!$B$245:$O$279,14,FALSE)</f>
        <v>54.385964912280706</v>
      </c>
      <c r="I17" s="80">
        <f>+VLOOKUP(C17,'Op4'!$B$285:$O$319,14,FALSE)</f>
        <v>93.333333333333329</v>
      </c>
      <c r="J17" s="80">
        <f>+VLOOKUP(C17,'Op4'!$B$324:$O$358,14,FALSE)</f>
        <v>93.333333333333329</v>
      </c>
      <c r="K17" s="81">
        <f>+'Tabla 100'!$D$3*D17+'Tabla 100'!$E$3*E17+'Tabla 100'!$F$3*F17+'Tabla 100'!$G$3*G17+'Tabla 100'!$H$3*H17+'Tabla 100'!$I$3*I17+J17*'Tabla 100'!$J$3+A17/1000</f>
        <v>79.969861948421979</v>
      </c>
    </row>
    <row r="18" spans="1:11" x14ac:dyDescent="0.3">
      <c r="A18" s="55">
        <f>+A17+1</f>
        <v>14</v>
      </c>
      <c r="B18" s="60">
        <f>+SMALL('Op4'!$J$362:$J$396,A18)</f>
        <v>15.927000000000001</v>
      </c>
      <c r="C18" s="79" t="s">
        <v>446</v>
      </c>
      <c r="D18" s="80">
        <f>+VLOOKUP(C18,'Op4'!$B$45:$O$79,14,FALSE)</f>
        <v>100</v>
      </c>
      <c r="E18" s="80">
        <f>+VLOOKUP(C18,'Op4'!$B$84:$O$118,14,FALSE)</f>
        <v>51.158232359230219</v>
      </c>
      <c r="F18" s="80">
        <f>+VLOOKUP(C18,'Op4'!$B$123:$O$157,14,FALSE)</f>
        <v>93.333333333333329</v>
      </c>
      <c r="G18" s="80">
        <f>+VLOOKUP(C18,'Op4'!$B$206:$O$240,14,FALSE)</f>
        <v>24.412590869919089</v>
      </c>
      <c r="H18" s="80">
        <f>+VLOOKUP(C18,'Op4'!$B$245:$O$279,14,FALSE)</f>
        <v>78.723404255319153</v>
      </c>
      <c r="I18" s="80">
        <f>+VLOOKUP(C18,'Op4'!$B$285:$O$319,14,FALSE)</f>
        <v>100</v>
      </c>
      <c r="J18" s="80">
        <f>+VLOOKUP(C18,'Op4'!$B$324:$O$358,14,FALSE)</f>
        <v>76.666666666666671</v>
      </c>
      <c r="K18" s="81">
        <f>+'Tabla 100'!$D$3*D18+'Tabla 100'!$E$3*E18+'Tabla 100'!$F$3*F18+'Tabla 100'!$G$3*G18+'Tabla 100'!$H$3*H18+'Tabla 100'!$I$3*I18+J18*'Tabla 100'!$J$3+A18/1000</f>
        <v>79.313793745838453</v>
      </c>
    </row>
    <row r="19" spans="1:11" x14ac:dyDescent="0.3">
      <c r="A19" s="55">
        <f>+A18+1</f>
        <v>15</v>
      </c>
      <c r="B19" s="60">
        <f>+SMALL('Op4'!$J$362:$J$396,A19)</f>
        <v>16.524999999999999</v>
      </c>
      <c r="C19" s="79" t="s">
        <v>453</v>
      </c>
      <c r="D19" s="80">
        <f>+VLOOKUP(C19,'Op4'!$B$45:$O$79,14,FALSE)</f>
        <v>100</v>
      </c>
      <c r="E19" s="80">
        <f>+VLOOKUP(C19,'Op4'!$B$84:$O$118,14,FALSE)</f>
        <v>52.569356872635566</v>
      </c>
      <c r="F19" s="80">
        <f>+VLOOKUP(C19,'Op4'!$B$123:$O$157,14,FALSE)</f>
        <v>80</v>
      </c>
      <c r="G19" s="80">
        <f>+VLOOKUP(C19,'Op4'!$B$206:$O$240,14,FALSE)</f>
        <v>20.539910103142329</v>
      </c>
      <c r="H19" s="80">
        <f>+VLOOKUP(C19,'Op4'!$B$245:$O$279,14,FALSE)</f>
        <v>80</v>
      </c>
      <c r="I19" s="80">
        <f>+VLOOKUP(C19,'Op4'!$B$285:$O$319,14,FALSE)</f>
        <v>100</v>
      </c>
      <c r="J19" s="80">
        <f>+VLOOKUP(C19,'Op4'!$B$324:$O$358,14,FALSE)</f>
        <v>86.666666666666671</v>
      </c>
      <c r="K19" s="81">
        <f>+'Tabla 100'!$D$3*D19+'Tabla 100'!$E$3*E19+'Tabla 100'!$F$3*F19+'Tabla 100'!$G$3*G19+'Tabla 100'!$H$3*H19+'Tabla 100'!$I$3*I19+J19*'Tabla 100'!$J$3+A19/1000</f>
        <v>78.88920021301756</v>
      </c>
    </row>
    <row r="20" spans="1:11" x14ac:dyDescent="0.3">
      <c r="A20" s="55">
        <f>+A19+1</f>
        <v>16</v>
      </c>
      <c r="B20" s="60">
        <f>+SMALL('Op4'!$J$362:$J$396,A20)</f>
        <v>16.556000000000001</v>
      </c>
      <c r="C20" s="79" t="s">
        <v>443</v>
      </c>
      <c r="D20" s="80">
        <f>+VLOOKUP(C20,'Op4'!$B$45:$O$79,14,FALSE)</f>
        <v>100</v>
      </c>
      <c r="E20" s="80">
        <f>+VLOOKUP(C20,'Op4'!$B$84:$O$118,14,FALSE)</f>
        <v>46.748633879781423</v>
      </c>
      <c r="F20" s="80">
        <f>+VLOOKUP(C20,'Op4'!$B$123:$O$157,14,FALSE)</f>
        <v>26.666666666666668</v>
      </c>
      <c r="G20" s="80">
        <f>+VLOOKUP(C20,'Op4'!$B$206:$O$240,14,FALSE)</f>
        <v>19.677460647812715</v>
      </c>
      <c r="H20" s="80">
        <f>+VLOOKUP(C20,'Op4'!$B$245:$O$279,14,FALSE)</f>
        <v>100</v>
      </c>
      <c r="I20" s="80">
        <f>+VLOOKUP(C20,'Op4'!$B$285:$O$319,14,FALSE)</f>
        <v>100</v>
      </c>
      <c r="J20" s="80">
        <f>+VLOOKUP(C20,'Op4'!$B$324:$O$358,14,FALSE)</f>
        <v>100</v>
      </c>
      <c r="K20" s="81">
        <f>+'Tabla 100'!$D$3*D20+'Tabla 100'!$E$3*E20+'Tabla 100'!$F$3*F20+'Tabla 100'!$G$3*G20+'Tabla 100'!$H$3*H20+'Tabla 100'!$I$3*I20+J20*'Tabla 100'!$J$3+A20/1000</f>
        <v>78.01626647501358</v>
      </c>
    </row>
    <row r="21" spans="1:11" x14ac:dyDescent="0.3">
      <c r="A21" s="55">
        <f>+A20+1</f>
        <v>17</v>
      </c>
      <c r="B21" s="60">
        <f>+SMALL('Op4'!$J$362:$J$396,A21)</f>
        <v>17.304000000000002</v>
      </c>
      <c r="C21" s="79" t="s">
        <v>441</v>
      </c>
      <c r="D21" s="80">
        <f>+VLOOKUP(C21,'Op4'!$B$45:$O$79,14,FALSE)</f>
        <v>100</v>
      </c>
      <c r="E21" s="80">
        <f>+VLOOKUP(C21,'Op4'!$B$84:$O$118,14,FALSE)</f>
        <v>58.633879781420774</v>
      </c>
      <c r="F21" s="80">
        <f>+VLOOKUP(C21,'Op4'!$B$123:$O$157,14,FALSE)</f>
        <v>93.333333333333329</v>
      </c>
      <c r="G21" s="80">
        <f>+VLOOKUP(C21,'Op4'!$B$206:$O$240,14,FALSE)</f>
        <v>23.385917077531669</v>
      </c>
      <c r="H21" s="80">
        <f>+VLOOKUP(C21,'Op4'!$B$245:$O$279,14,FALSE)</f>
        <v>64.285714285714278</v>
      </c>
      <c r="I21" s="80">
        <f>+VLOOKUP(C21,'Op4'!$B$285:$O$319,14,FALSE)</f>
        <v>100</v>
      </c>
      <c r="J21" s="80">
        <f>+VLOOKUP(C21,'Op4'!$B$324:$O$358,14,FALSE)</f>
        <v>60</v>
      </c>
      <c r="K21" s="81">
        <f>+'Tabla 100'!$D$3*D21+'Tabla 100'!$E$3*E21+'Tabla 100'!$F$3*F21+'Tabla 100'!$G$3*G21+'Tabla 100'!$H$3*H21+'Tabla 100'!$I$3*I21+J21*'Tabla 100'!$J$3+A21/1000</f>
        <v>76.317833714922642</v>
      </c>
    </row>
    <row r="22" spans="1:11" x14ac:dyDescent="0.3">
      <c r="A22" s="55">
        <f>+A21+1</f>
        <v>18</v>
      </c>
      <c r="B22" s="60">
        <f>+SMALL('Op4'!$J$362:$J$396,A22)</f>
        <v>17.526</v>
      </c>
      <c r="C22" s="79" t="s">
        <v>452</v>
      </c>
      <c r="D22" s="80">
        <f>+VLOOKUP(C22,'Op4'!$B$45:$O$79,14,FALSE)</f>
        <v>93.103448275862064</v>
      </c>
      <c r="E22" s="80">
        <f>+VLOOKUP(C22,'Op4'!$B$84:$O$118,14,FALSE)</f>
        <v>55.327868852459019</v>
      </c>
      <c r="F22" s="80">
        <f>+VLOOKUP(C22,'Op4'!$B$123:$O$157,14,FALSE)</f>
        <v>50</v>
      </c>
      <c r="G22" s="80">
        <f>+VLOOKUP(C22,'Op4'!$B$206:$O$240,14,FALSE)</f>
        <v>15.910373590166907</v>
      </c>
      <c r="H22" s="80">
        <f>+VLOOKUP(C22,'Op4'!$B$245:$O$279,14,FALSE)</f>
        <v>82.758620689655174</v>
      </c>
      <c r="I22" s="80">
        <f>+VLOOKUP(C22,'Op4'!$B$285:$O$319,14,FALSE)</f>
        <v>100</v>
      </c>
      <c r="J22" s="80">
        <f>+VLOOKUP(C22,'Op4'!$B$324:$O$358,14,FALSE)</f>
        <v>96.666666666666671</v>
      </c>
      <c r="K22" s="81">
        <f>+'Tabla 100'!$D$3*D22+'Tabla 100'!$E$3*E22+'Tabla 100'!$F$3*F22+'Tabla 100'!$G$3*G22+'Tabla 100'!$H$3*H22+'Tabla 100'!$I$3*I22+J22*'Tabla 100'!$J$3+A22/1000</f>
        <v>75.677943024712789</v>
      </c>
    </row>
    <row r="23" spans="1:11" x14ac:dyDescent="0.3">
      <c r="A23" s="55">
        <f>+A22+1</f>
        <v>19</v>
      </c>
      <c r="B23" s="60">
        <f>+SMALL('Op4'!$J$362:$J$396,A23)</f>
        <v>18.07</v>
      </c>
      <c r="C23" s="79" t="s">
        <v>210</v>
      </c>
      <c r="D23" s="80">
        <f>+VLOOKUP(C23,'Op4'!$B$45:$O$79,14,FALSE)</f>
        <v>93.333333333333329</v>
      </c>
      <c r="E23" s="80">
        <f>+VLOOKUP(C23,'Op4'!$B$84:$O$118,14,FALSE)</f>
        <v>43.975409836065573</v>
      </c>
      <c r="F23" s="80">
        <f>+VLOOKUP(C23,'Op4'!$B$123:$O$157,14,FALSE)</f>
        <v>70</v>
      </c>
      <c r="G23" s="80">
        <f>+VLOOKUP(C23,'Op4'!$B$206:$O$240,14,FALSE)</f>
        <v>16.444465670052768</v>
      </c>
      <c r="H23" s="80">
        <f>+VLOOKUP(C23,'Op4'!$B$245:$O$279,14,FALSE)</f>
        <v>81.666666666666671</v>
      </c>
      <c r="I23" s="80">
        <f>+VLOOKUP(C23,'Op4'!$B$285:$O$319,14,FALSE)</f>
        <v>100</v>
      </c>
      <c r="J23" s="80">
        <f>+VLOOKUP(C23,'Op4'!$B$324:$O$358,14,FALSE)</f>
        <v>100</v>
      </c>
      <c r="K23" s="81">
        <f>+'Tabla 100'!$D$3*D23+'Tabla 100'!$E$3*E23+'Tabla 100'!$F$3*F23+'Tabla 100'!$G$3*G23+'Tabla 100'!$H$3*H23+'Tabla 100'!$I$3*I23+J23*'Tabla 100'!$J$3+A23/1000</f>
        <v>75.386305250715765</v>
      </c>
    </row>
    <row r="24" spans="1:11" x14ac:dyDescent="0.3">
      <c r="A24" s="55">
        <f>+A23+1</f>
        <v>20</v>
      </c>
      <c r="B24" s="60">
        <f>+SMALL('Op4'!$J$362:$J$396,A24)</f>
        <v>18.664000000000001</v>
      </c>
      <c r="C24" s="79" t="s">
        <v>187</v>
      </c>
      <c r="D24" s="80">
        <f>+VLOOKUP(C24,'Op4'!$B$45:$O$79,14,FALSE)</f>
        <v>96.428571428571431</v>
      </c>
      <c r="E24" s="80">
        <f>+VLOOKUP(C24,'Op4'!$B$84:$O$118,14,FALSE)</f>
        <v>40.749414519906317</v>
      </c>
      <c r="F24" s="80">
        <f>+VLOOKUP(C24,'Op4'!$B$123:$O$157,14,FALSE)</f>
        <v>100</v>
      </c>
      <c r="G24" s="80">
        <f>+VLOOKUP(C24,'Op4'!$B$206:$O$240,14,FALSE)</f>
        <v>9.3720514433860291</v>
      </c>
      <c r="H24" s="80">
        <f>+VLOOKUP(C24,'Op4'!$B$245:$O$279,14,FALSE)</f>
        <v>70.909090909090907</v>
      </c>
      <c r="I24" s="80">
        <f>+VLOOKUP(C24,'Op4'!$B$285:$O$319,14,FALSE)</f>
        <v>96.666666666666671</v>
      </c>
      <c r="J24" s="80">
        <f>+VLOOKUP(C24,'Op4'!$B$324:$O$358,14,FALSE)</f>
        <v>93.333333333333329</v>
      </c>
      <c r="K24" s="81">
        <f>+'Tabla 100'!$D$3*D24+'Tabla 100'!$E$3*E24+'Tabla 100'!$F$3*F24+'Tabla 100'!$G$3*G24+'Tabla 100'!$H$3*H24+'Tabla 100'!$I$3*I24+J24*'Tabla 100'!$J$3+A24/1000</f>
        <v>74.806234393899487</v>
      </c>
    </row>
    <row r="25" spans="1:11" x14ac:dyDescent="0.3">
      <c r="A25" s="55">
        <f>+A24+1</f>
        <v>21</v>
      </c>
      <c r="B25" s="60">
        <f>+SMALL('Op4'!$J$362:$J$396,A25)</f>
        <v>19.774000000000001</v>
      </c>
      <c r="C25" s="82" t="s">
        <v>457</v>
      </c>
      <c r="D25" s="83">
        <f>+VLOOKUP(C25,'Op4'!$B$45:$O$79,14,FALSE)</f>
        <v>93.103448275862064</v>
      </c>
      <c r="E25" s="83">
        <f>+VLOOKUP(C25,'Op4'!$B$84:$O$118,14,FALSE)</f>
        <v>41.393442622950822</v>
      </c>
      <c r="F25" s="83">
        <f>+VLOOKUP(C25,'Op4'!$B$123:$O$157,14,FALSE)</f>
        <v>26.666666666666668</v>
      </c>
      <c r="G25" s="83">
        <f>+VLOOKUP(C25,'Op4'!$B$206:$O$240,14,FALSE)</f>
        <v>51.141133054486446</v>
      </c>
      <c r="H25" s="83">
        <f>+VLOOKUP(C25,'Op4'!$B$245:$O$279,14,FALSE)</f>
        <v>87.719298245614041</v>
      </c>
      <c r="I25" s="83">
        <f>+VLOOKUP(C25,'Op4'!$B$285:$O$319,14,FALSE)</f>
        <v>96.666666666666671</v>
      </c>
      <c r="J25" s="83">
        <f>+VLOOKUP(C25,'Op4'!$B$324:$O$358,14,FALSE)</f>
        <v>96.666666666666671</v>
      </c>
      <c r="K25" s="84">
        <f>+'Tabla 100'!$D$3*D25+'Tabla 100'!$E$3*E25+'Tabla 100'!$F$3*F25+'Tabla 100'!$G$3*G25+'Tabla 100'!$H$3*H25+'Tabla 100'!$I$3*I25+J25*'Tabla 100'!$J$3+A25/1000</f>
        <v>73.229098474350181</v>
      </c>
    </row>
    <row r="26" spans="1:11" x14ac:dyDescent="0.3">
      <c r="A26" s="55">
        <f>+A25+1</f>
        <v>22</v>
      </c>
      <c r="B26" s="60">
        <f>+SMALL('Op4'!$J$362:$J$396,A26)</f>
        <v>20.109000000000002</v>
      </c>
      <c r="C26" s="82" t="s">
        <v>448</v>
      </c>
      <c r="D26" s="83">
        <f>+VLOOKUP(C26,'Op4'!$B$45:$O$79,14,FALSE)</f>
        <v>79.166666666666657</v>
      </c>
      <c r="E26" s="83">
        <f>+VLOOKUP(C26,'Op4'!$B$84:$O$118,14,FALSE)</f>
        <v>73.292349726775967</v>
      </c>
      <c r="F26" s="83">
        <f>+VLOOKUP(C26,'Op4'!$B$123:$O$157,14,FALSE)</f>
        <v>86.666666666666671</v>
      </c>
      <c r="G26" s="83">
        <f>+VLOOKUP(C26,'Op4'!$B$206:$O$240,14,FALSE)</f>
        <v>28.86955107634564</v>
      </c>
      <c r="H26" s="83">
        <f>+VLOOKUP(C26,'Op4'!$B$245:$O$279,14,FALSE)</f>
        <v>52</v>
      </c>
      <c r="I26" s="83">
        <f>+VLOOKUP(C26,'Op4'!$B$285:$O$319,14,FALSE)</f>
        <v>100</v>
      </c>
      <c r="J26" s="83">
        <f>+VLOOKUP(C26,'Op4'!$B$324:$O$358,14,FALSE)</f>
        <v>80</v>
      </c>
      <c r="K26" s="84">
        <f>+'Tabla 100'!$D$3*D26+'Tabla 100'!$E$3*E26+'Tabla 100'!$F$3*F26+'Tabla 100'!$G$3*G26+'Tabla 100'!$H$3*H26+'Tabla 100'!$I$3*I26+J26*'Tabla 100'!$J$3+A26/1000</f>
        <v>71.582280832505816</v>
      </c>
    </row>
    <row r="27" spans="1:11" x14ac:dyDescent="0.3">
      <c r="A27" s="55">
        <f>+A26+1</f>
        <v>23</v>
      </c>
      <c r="B27" s="60">
        <f>+SMALL('Op4'!$J$362:$J$396,A27)</f>
        <v>20.867000000000001</v>
      </c>
      <c r="C27" s="82" t="s">
        <v>447</v>
      </c>
      <c r="D27" s="83">
        <f>+VLOOKUP(C27,'Op4'!$B$45:$O$79,14,FALSE)</f>
        <v>96.551724137931032</v>
      </c>
      <c r="E27" s="83">
        <f>+VLOOKUP(C27,'Op4'!$B$84:$O$118,14,FALSE)</f>
        <v>45.491803278688522</v>
      </c>
      <c r="F27" s="83">
        <f>+VLOOKUP(C27,'Op4'!$B$123:$O$157,14,FALSE)</f>
        <v>73.333333333333329</v>
      </c>
      <c r="G27" s="83">
        <f>+VLOOKUP(C27,'Op4'!$B$206:$O$240,14,FALSE)</f>
        <v>11.34996651037881</v>
      </c>
      <c r="H27" s="83">
        <f>+VLOOKUP(C27,'Op4'!$B$245:$O$279,14,FALSE)</f>
        <v>58.000000000000007</v>
      </c>
      <c r="I27" s="83">
        <f>+VLOOKUP(C27,'Op4'!$B$285:$O$319,14,FALSE)</f>
        <v>100</v>
      </c>
      <c r="J27" s="83">
        <f>+VLOOKUP(C27,'Op4'!$B$324:$O$358,14,FALSE)</f>
        <v>96.666666666666671</v>
      </c>
      <c r="K27" s="84">
        <f>+'Tabla 100'!$D$3*D27+'Tabla 100'!$E$3*E27+'Tabla 100'!$F$3*F27+'Tabla 100'!$G$3*G27+'Tabla 100'!$H$3*H27+'Tabla 100'!$I$3*I27+J27*'Tabla 100'!$J$3+A27/1000</f>
        <v>70.493456682406062</v>
      </c>
    </row>
    <row r="28" spans="1:11" x14ac:dyDescent="0.3">
      <c r="A28" s="55">
        <f>+A27+1</f>
        <v>24</v>
      </c>
      <c r="B28" s="60">
        <f>+SMALL('Op4'!$J$362:$J$396,A28)</f>
        <v>21.713000000000001</v>
      </c>
      <c r="C28" s="82" t="s">
        <v>458</v>
      </c>
      <c r="D28" s="83">
        <f>+VLOOKUP(C28,'Op4'!$B$45:$O$79,14,FALSE)</f>
        <v>100</v>
      </c>
      <c r="E28" s="83">
        <f>+VLOOKUP(C28,'Op4'!$B$84:$O$118,14,FALSE)</f>
        <v>38.825136612021858</v>
      </c>
      <c r="F28" s="83">
        <f>+VLOOKUP(C28,'Op4'!$B$123:$O$157,14,FALSE)</f>
        <v>13.333333333333334</v>
      </c>
      <c r="G28" s="83">
        <f>+VLOOKUP(C28,'Op4'!$B$206:$O$240,14,FALSE)</f>
        <v>5.8645961636731201</v>
      </c>
      <c r="H28" s="83">
        <f>+VLOOKUP(C28,'Op4'!$B$245:$O$279,14,FALSE)</f>
        <v>75</v>
      </c>
      <c r="I28" s="83">
        <f>+VLOOKUP(C28,'Op4'!$B$285:$O$319,14,FALSE)</f>
        <v>100</v>
      </c>
      <c r="J28" s="83">
        <f>+VLOOKUP(C28,'Op4'!$B$324:$O$358,14,FALSE)</f>
        <v>100</v>
      </c>
      <c r="K28" s="84">
        <f>+'Tabla 100'!$D$3*D28+'Tabla 100'!$E$3*E28+'Tabla 100'!$F$3*F28+'Tabla 100'!$G$3*G28+'Tabla 100'!$H$3*H28+'Tabla 100'!$I$3*I28+J28*'Tabla 100'!$J$3+A28/1000</f>
        <v>68.165590463921362</v>
      </c>
    </row>
    <row r="29" spans="1:11" x14ac:dyDescent="0.3">
      <c r="A29" s="55">
        <f>+A28+1</f>
        <v>25</v>
      </c>
      <c r="B29" s="60">
        <f>+SMALL('Op4'!$J$362:$J$396,A29)</f>
        <v>22.71</v>
      </c>
      <c r="C29" s="82" t="s">
        <v>288</v>
      </c>
      <c r="D29" s="83">
        <f>+VLOOKUP(C29,'Op4'!$B$45:$O$79,14,FALSE)</f>
        <v>100</v>
      </c>
      <c r="E29" s="83">
        <f>+VLOOKUP(C29,'Op4'!$B$84:$O$118,14,FALSE)</f>
        <v>86.47540983606558</v>
      </c>
      <c r="F29" s="83">
        <f>+VLOOKUP(C29,'Op4'!$B$123:$O$157,14,FALSE)</f>
        <v>76.666666666666671</v>
      </c>
      <c r="G29" s="83">
        <f>+VLOOKUP(C29,'Op4'!$B$206:$O$240,14,FALSE)</f>
        <v>52.4164624130295</v>
      </c>
      <c r="H29" s="83">
        <f>+VLOOKUP(C29,'Op4'!$B$245:$O$279,14,FALSE)</f>
        <v>0</v>
      </c>
      <c r="I29" s="83">
        <f>+VLOOKUP(C29,'Op4'!$B$285:$O$319,14,FALSE)</f>
        <v>100</v>
      </c>
      <c r="J29" s="83">
        <f>+VLOOKUP(C29,'Op4'!$B$324:$O$358,14,FALSE)</f>
        <v>96.666666666666671</v>
      </c>
      <c r="K29" s="84">
        <f>+'Tabla 100'!$D$3*D29+'Tabla 100'!$E$3*E29+'Tabla 100'!$F$3*F29+'Tabla 100'!$G$3*G29+'Tabla 100'!$H$3*H29+'Tabla 100'!$I$3*I29+J29*'Tabla 100'!$J$3+A29/1000</f>
        <v>67.440905087864607</v>
      </c>
    </row>
    <row r="30" spans="1:11" x14ac:dyDescent="0.3">
      <c r="A30" s="55">
        <f>+A29+1</f>
        <v>26</v>
      </c>
      <c r="B30" s="60">
        <f>+SMALL('Op4'!$J$362:$J$396,A30)</f>
        <v>23.057000000000002</v>
      </c>
      <c r="C30" s="82" t="s">
        <v>442</v>
      </c>
      <c r="D30" s="83">
        <f>+VLOOKUP(C30,'Op4'!$B$45:$O$79,14,FALSE)</f>
        <v>100</v>
      </c>
      <c r="E30" s="83">
        <f>+VLOOKUP(C30,'Op4'!$B$84:$O$118,14,FALSE)</f>
        <v>77.967213114754102</v>
      </c>
      <c r="F30" s="83">
        <f>+VLOOKUP(C30,'Op4'!$B$123:$O$157,14,FALSE)</f>
        <v>66.666666666666657</v>
      </c>
      <c r="G30" s="83">
        <f>+VLOOKUP(C30,'Op4'!$B$206:$O$240,14,FALSE)</f>
        <v>100</v>
      </c>
      <c r="H30" s="83">
        <f>+VLOOKUP(C30,'Op4'!$B$245:$O$279,14,FALSE)</f>
        <v>0</v>
      </c>
      <c r="I30" s="83">
        <f>+VLOOKUP(C30,'Op4'!$B$285:$O$319,14,FALSE)</f>
        <v>93.333333333333329</v>
      </c>
      <c r="J30" s="83">
        <f>+VLOOKUP(C30,'Op4'!$B$324:$O$358,14,FALSE)</f>
        <v>83.333333333333329</v>
      </c>
      <c r="K30" s="84">
        <f>+'Tabla 100'!$D$3*D30+'Tabla 100'!$E$3*E30+'Tabla 100'!$F$3*F30+'Tabla 100'!$G$3*G30+'Tabla 100'!$H$3*H30+'Tabla 100'!$I$3*I30+J30*'Tabla 100'!$J$3+A30/1000</f>
        <v>65.786109289617485</v>
      </c>
    </row>
    <row r="31" spans="1:11" x14ac:dyDescent="0.3">
      <c r="A31" s="55">
        <f>+A30+1</f>
        <v>27</v>
      </c>
      <c r="B31" s="60">
        <f>+SMALL('Op4'!$J$362:$J$396,A31)</f>
        <v>23.608000000000001</v>
      </c>
      <c r="C31" s="82" t="s">
        <v>107</v>
      </c>
      <c r="D31" s="83">
        <f>+VLOOKUP(C31,'Op4'!$B$45:$O$79,14,FALSE)</f>
        <v>75.862068965517238</v>
      </c>
      <c r="E31" s="83">
        <f>+VLOOKUP(C31,'Op4'!$B$84:$O$118,14,FALSE)</f>
        <v>100</v>
      </c>
      <c r="F31" s="83">
        <f>+VLOOKUP(C31,'Op4'!$B$123:$O$157,14,FALSE)</f>
        <v>90</v>
      </c>
      <c r="G31" s="83">
        <f>+VLOOKUP(C31,'Op4'!$B$206:$O$240,14,FALSE)</f>
        <v>81.483066478833692</v>
      </c>
      <c r="H31" s="83">
        <f>+VLOOKUP(C31,'Op4'!$B$245:$O$279,14,FALSE)</f>
        <v>0</v>
      </c>
      <c r="I31" s="83">
        <f>+VLOOKUP(C31,'Op4'!$B$285:$O$319,14,FALSE)</f>
        <v>86.666666666666671</v>
      </c>
      <c r="J31" s="83">
        <f>+VLOOKUP(C31,'Op4'!$B$324:$O$358,14,FALSE)</f>
        <v>96.666666666666671</v>
      </c>
      <c r="K31" s="84">
        <f>+'Tabla 100'!$D$3*D31+'Tabla 100'!$E$3*E31+'Tabla 100'!$F$3*F31+'Tabla 100'!$G$3*G31+'Tabla 100'!$H$3*H31+'Tabla 100'!$I$3*I31+J31*'Tabla 100'!$J$3+A31/1000</f>
        <v>65.56667056532099</v>
      </c>
    </row>
    <row r="32" spans="1:11" x14ac:dyDescent="0.3">
      <c r="A32" s="55">
        <f>+A31+1</f>
        <v>28</v>
      </c>
      <c r="B32" s="60">
        <f>+SMALL('Op4'!$J$362:$J$396,A32)</f>
        <v>23.805</v>
      </c>
      <c r="C32" s="82" t="s">
        <v>250</v>
      </c>
      <c r="D32" s="83">
        <f>+VLOOKUP(C32,'Op4'!$B$45:$O$79,14,FALSE)</f>
        <v>92.857142857142861</v>
      </c>
      <c r="E32" s="83">
        <f>+VLOOKUP(C32,'Op4'!$B$84:$O$118,14,FALSE)</f>
        <v>75.556206088992965</v>
      </c>
      <c r="F32" s="83">
        <f>+VLOOKUP(C32,'Op4'!$B$123:$O$157,14,FALSE)</f>
        <v>96.666666666666671</v>
      </c>
      <c r="G32" s="83">
        <f>+VLOOKUP(C32,'Op4'!$B$206:$O$240,14,FALSE)</f>
        <v>34.437814872660148</v>
      </c>
      <c r="H32" s="83">
        <f>+VLOOKUP(C32,'Op4'!$B$245:$O$279,14,FALSE)</f>
        <v>0</v>
      </c>
      <c r="I32" s="83">
        <f>+VLOOKUP(C32,'Op4'!$B$285:$O$319,14,FALSE)</f>
        <v>100</v>
      </c>
      <c r="J32" s="83">
        <f>+VLOOKUP(C32,'Op4'!$B$324:$O$358,14,FALSE)</f>
        <v>93.333333333333329</v>
      </c>
      <c r="K32" s="84">
        <f>+'Tabla 100'!$D$3*D32+'Tabla 100'!$E$3*E32+'Tabla 100'!$F$3*F32+'Tabla 100'!$G$3*G32+'Tabla 100'!$H$3*H32+'Tabla 100'!$I$3*I32+J32*'Tabla 100'!$J$3+A32/1000</f>
        <v>64.408751009050647</v>
      </c>
    </row>
    <row r="33" spans="1:11" x14ac:dyDescent="0.3">
      <c r="A33" s="55">
        <f>+A32+1</f>
        <v>29</v>
      </c>
      <c r="B33" s="60">
        <f>+SMALL('Op4'!$J$362:$J$396,A33)</f>
        <v>24.161999999999999</v>
      </c>
      <c r="C33" s="82" t="s">
        <v>140</v>
      </c>
      <c r="D33" s="83">
        <f>+VLOOKUP(C33,'Op4'!$B$45:$O$79,14,FALSE)</f>
        <v>90</v>
      </c>
      <c r="E33" s="83">
        <f>+VLOOKUP(C33,'Op4'!$B$84:$O$118,14,FALSE)</f>
        <v>76.06557377049181</v>
      </c>
      <c r="F33" s="83">
        <f>+VLOOKUP(C33,'Op4'!$B$123:$O$157,14,FALSE)</f>
        <v>96.666666666666671</v>
      </c>
      <c r="G33" s="83">
        <f>+VLOOKUP(C33,'Op4'!$B$206:$O$240,14,FALSE)</f>
        <v>58.286984433893409</v>
      </c>
      <c r="H33" s="83">
        <f>+VLOOKUP(C33,'Op4'!$B$245:$O$279,14,FALSE)</f>
        <v>0</v>
      </c>
      <c r="I33" s="83">
        <f>+VLOOKUP(C33,'Op4'!$B$285:$O$319,14,FALSE)</f>
        <v>80</v>
      </c>
      <c r="J33" s="83">
        <f>+VLOOKUP(C33,'Op4'!$B$324:$O$358,14,FALSE)</f>
        <v>100</v>
      </c>
      <c r="K33" s="84">
        <f>+'Tabla 100'!$D$3*D33+'Tabla 100'!$E$3*E33+'Tabla 100'!$F$3*F33+'Tabla 100'!$G$3*G33+'Tabla 100'!$H$3*H33+'Tabla 100'!$I$3*I33+J33*'Tabla 100'!$J$3+A33/1000</f>
        <v>63.323130642459702</v>
      </c>
    </row>
    <row r="34" spans="1:11" x14ac:dyDescent="0.3">
      <c r="A34" s="55">
        <f>+A33+1</f>
        <v>30</v>
      </c>
      <c r="B34" s="60">
        <f>+SMALL('Op4'!$J$362:$J$396,A34)</f>
        <v>24.817999999999998</v>
      </c>
      <c r="C34" s="82" t="s">
        <v>76</v>
      </c>
      <c r="D34" s="83">
        <f>+VLOOKUP(C34,'Op4'!$B$45:$O$79,14,FALSE)</f>
        <v>80</v>
      </c>
      <c r="E34" s="83">
        <f>+VLOOKUP(C34,'Op4'!$B$84:$O$118,14,FALSE)</f>
        <v>81.215846994535511</v>
      </c>
      <c r="F34" s="83">
        <f>+VLOOKUP(C34,'Op4'!$B$123:$O$157,14,FALSE)</f>
        <v>96.666666666666671</v>
      </c>
      <c r="G34" s="83">
        <f>+VLOOKUP(C34,'Op4'!$B$206:$O$240,14,FALSE)</f>
        <v>75.261255933659172</v>
      </c>
      <c r="H34" s="83">
        <f>+VLOOKUP(C34,'Op4'!$B$245:$O$279,14,FALSE)</f>
        <v>0</v>
      </c>
      <c r="I34" s="83">
        <f>+VLOOKUP(C34,'Op4'!$B$285:$O$319,14,FALSE)</f>
        <v>83.333333333333329</v>
      </c>
      <c r="J34" s="83">
        <f>+VLOOKUP(C34,'Op4'!$B$324:$O$358,14,FALSE)</f>
        <v>100</v>
      </c>
      <c r="K34" s="84">
        <f>+'Tabla 100'!$D$3*D34+'Tabla 100'!$E$3*E34+'Tabla 100'!$F$3*F34+'Tabla 100'!$G$3*G34+'Tabla 100'!$H$3*H34+'Tabla 100'!$I$3*I34+J34*'Tabla 100'!$J$3+A34/1000</f>
        <v>63.036232195590067</v>
      </c>
    </row>
    <row r="35" spans="1:11" x14ac:dyDescent="0.3">
      <c r="A35" s="55">
        <f>+A34+1</f>
        <v>31</v>
      </c>
      <c r="B35" s="60">
        <f>+SMALL('Op4'!$J$362:$J$396,A35)</f>
        <v>26.052</v>
      </c>
      <c r="C35" s="82" t="s">
        <v>449</v>
      </c>
      <c r="D35" s="83">
        <f>+VLOOKUP(C35,'Op4'!$B$45:$O$79,14,FALSE)</f>
        <v>92.857142857142861</v>
      </c>
      <c r="E35" s="83">
        <f>+VLOOKUP(C35,'Op4'!$B$84:$O$118,14,FALSE)</f>
        <v>74.282786885245898</v>
      </c>
      <c r="F35" s="83">
        <f>+VLOOKUP(C35,'Op4'!$B$123:$O$157,14,FALSE)</f>
        <v>90</v>
      </c>
      <c r="G35" s="83">
        <f>+VLOOKUP(C35,'Op4'!$B$206:$O$240,14,FALSE)</f>
        <v>45.361026077934348</v>
      </c>
      <c r="H35" s="83">
        <f>+VLOOKUP(C35,'Op4'!$B$245:$O$279,14,FALSE)</f>
        <v>0</v>
      </c>
      <c r="I35" s="83">
        <f>+VLOOKUP(C35,'Op4'!$B$285:$O$319,14,FALSE)</f>
        <v>90</v>
      </c>
      <c r="J35" s="83">
        <f>+VLOOKUP(C35,'Op4'!$B$324:$O$358,14,FALSE)</f>
        <v>93.333333333333329</v>
      </c>
      <c r="K35" s="84">
        <f>+'Tabla 100'!$D$3*D35+'Tabla 100'!$E$3*E35+'Tabla 100'!$F$3*F35+'Tabla 100'!$G$3*G35+'Tabla 100'!$H$3*H35+'Tabla 100'!$I$3*I35+J35*'Tabla 100'!$J$3+A35/1000</f>
        <v>63.036561061898276</v>
      </c>
    </row>
    <row r="36" spans="1:11" x14ac:dyDescent="0.3">
      <c r="A36" s="55">
        <f>+A35+1</f>
        <v>32</v>
      </c>
      <c r="B36" s="60">
        <f>+SMALL('Op4'!$J$362:$J$396,A36)</f>
        <v>26.919</v>
      </c>
      <c r="C36" s="82" t="s">
        <v>353</v>
      </c>
      <c r="D36" s="83">
        <f>+VLOOKUP(C36,'Op4'!$B$45:$O$79,14,FALSE)</f>
        <v>100</v>
      </c>
      <c r="E36" s="83">
        <f>+VLOOKUP(C36,'Op4'!$B$84:$O$118,14,FALSE)</f>
        <v>67.915690866510531</v>
      </c>
      <c r="F36" s="83">
        <f>+VLOOKUP(C36,'Op4'!$B$123:$O$157,14,FALSE)</f>
        <v>76.666666666666671</v>
      </c>
      <c r="G36" s="83">
        <f>+VLOOKUP(C36,'Op4'!$B$206:$O$240,14,FALSE)</f>
        <v>32.951139188389902</v>
      </c>
      <c r="H36" s="83">
        <f>+VLOOKUP(C36,'Op4'!$B$245:$O$279,14,FALSE)</f>
        <v>0</v>
      </c>
      <c r="I36" s="83">
        <f>+VLOOKUP(C36,'Op4'!$B$285:$O$319,14,FALSE)</f>
        <v>96.666666666666671</v>
      </c>
      <c r="J36" s="83">
        <f>+VLOOKUP(C36,'Op4'!$B$324:$O$358,14,FALSE)</f>
        <v>93.333333333333329</v>
      </c>
      <c r="K36" s="84">
        <f>+'Tabla 100'!$D$3*D36+'Tabla 100'!$E$3*E36+'Tabla 100'!$F$3*F36+'Tabla 100'!$G$3*G36+'Tabla 100'!$H$3*H36+'Tabla 100'!$I$3*I36+J36*'Tabla 100'!$J$3+A36/1000</f>
        <v>62.262695132721596</v>
      </c>
    </row>
    <row r="37" spans="1:11" x14ac:dyDescent="0.3">
      <c r="A37" s="55">
        <f>+A36+1</f>
        <v>33</v>
      </c>
      <c r="B37" s="60">
        <f>+SMALL('Op4'!$J$362:$J$396,A37)</f>
        <v>26.923000000000002</v>
      </c>
      <c r="C37" s="82" t="s">
        <v>45</v>
      </c>
      <c r="D37" s="83">
        <f>+VLOOKUP(C37,'Op4'!$B$45:$O$79,14,FALSE)</f>
        <v>82.758620689655174</v>
      </c>
      <c r="E37" s="83">
        <f>+VLOOKUP(C37,'Op4'!$B$84:$O$118,14,FALSE)</f>
        <v>69.26229508196721</v>
      </c>
      <c r="F37" s="83">
        <f>+VLOOKUP(C37,'Op4'!$B$123:$O$157,14,FALSE)</f>
        <v>76.666666666666671</v>
      </c>
      <c r="G37" s="83">
        <f>+VLOOKUP(C37,'Op4'!$B$206:$O$240,14,FALSE)</f>
        <v>67.668287172164682</v>
      </c>
      <c r="H37" s="83">
        <f>+VLOOKUP(C37,'Op4'!$B$245:$O$279,14,FALSE)</f>
        <v>0</v>
      </c>
      <c r="I37" s="83">
        <f>+VLOOKUP(C37,'Op4'!$B$285:$O$319,14,FALSE)</f>
        <v>93.333333333333329</v>
      </c>
      <c r="J37" s="83">
        <f>+VLOOKUP(C37,'Op4'!$B$324:$O$358,14,FALSE)</f>
        <v>96.666666666666671</v>
      </c>
      <c r="K37" s="84">
        <f>+'Tabla 100'!$D$3*D37+'Tabla 100'!$E$3*E37+'Tabla 100'!$F$3*F37+'Tabla 100'!$G$3*G37+'Tabla 100'!$H$3*H37+'Tabla 100'!$I$3*I37+J37*'Tabla 100'!$J$3+A37/1000</f>
        <v>59.791861880748812</v>
      </c>
    </row>
    <row r="38" spans="1:11" x14ac:dyDescent="0.3">
      <c r="A38" s="55">
        <f>+A37+1</f>
        <v>34</v>
      </c>
      <c r="B38" s="60">
        <f>+SMALL('Op4'!$J$362:$J$396,A38)</f>
        <v>29.952999999999999</v>
      </c>
      <c r="C38" s="82" t="s">
        <v>138</v>
      </c>
      <c r="D38" s="83">
        <f>+VLOOKUP(C38,'Op4'!$B$45:$O$79,14,FALSE)</f>
        <v>93.333333333333329</v>
      </c>
      <c r="E38" s="83">
        <f>+VLOOKUP(C38,'Op4'!$B$84:$O$118,14,FALSE)</f>
        <v>59.426229508196727</v>
      </c>
      <c r="F38" s="83">
        <f>+VLOOKUP(C38,'Op4'!$B$123:$O$157,14,FALSE)</f>
        <v>73.333333333333329</v>
      </c>
      <c r="G38" s="83">
        <f>+VLOOKUP(C38,'Op4'!$B$206:$O$240,14,FALSE)</f>
        <v>39.690260404670767</v>
      </c>
      <c r="H38" s="83">
        <f>+VLOOKUP(C38,'Op4'!$B$245:$O$279,14,FALSE)</f>
        <v>0</v>
      </c>
      <c r="I38" s="83">
        <f>+VLOOKUP(C38,'Op4'!$B$285:$O$319,14,FALSE)</f>
        <v>86.666666666666671</v>
      </c>
      <c r="J38" s="83">
        <f>+VLOOKUP(C38,'Op4'!$B$324:$O$358,14,FALSE)</f>
        <v>100</v>
      </c>
      <c r="K38" s="84">
        <f>+'Tabla 100'!$D$3*D38+'Tabla 100'!$E$3*E38+'Tabla 100'!$F$3*F38+'Tabla 100'!$G$3*G38+'Tabla 100'!$H$3*H38+'Tabla 100'!$I$3*I38+J38*'Tabla 100'!$J$3+A38/1000</f>
        <v>58.237092255206214</v>
      </c>
    </row>
    <row r="39" spans="1:11" x14ac:dyDescent="0.3">
      <c r="A39" s="55">
        <f>+A38+1</f>
        <v>35</v>
      </c>
      <c r="B39" s="60">
        <f>+SMALL('Op4'!$J$362:$J$396,A39)</f>
        <v>30.451000000000001</v>
      </c>
      <c r="C39" s="82" t="s">
        <v>456</v>
      </c>
      <c r="D39" s="83">
        <f>+VLOOKUP(C39,'Op4'!$B$45:$O$79,14,FALSE)</f>
        <v>89.65517241379311</v>
      </c>
      <c r="E39" s="83">
        <f>+VLOOKUP(C39,'Op4'!$B$84:$O$118,14,FALSE)</f>
        <v>54.098360655737707</v>
      </c>
      <c r="F39" s="83">
        <f>+VLOOKUP(C39,'Op4'!$B$123:$O$157,14,FALSE)</f>
        <v>70</v>
      </c>
      <c r="G39" s="83">
        <f>+VLOOKUP(C39,'Op4'!$B$206:$O$240,14,FALSE)</f>
        <v>45.558363867915439</v>
      </c>
      <c r="H39" s="83">
        <f>+VLOOKUP(C39,'Op4'!$B$245:$O$279,14,FALSE)</f>
        <v>0</v>
      </c>
      <c r="I39" s="83">
        <f>+VLOOKUP(C39,'Op4'!$B$285:$O$319,14,FALSE)</f>
        <v>86.666666666666671</v>
      </c>
      <c r="J39" s="83">
        <f>+VLOOKUP(C39,'Op4'!$B$324:$O$358,14,FALSE)</f>
        <v>96.666666666666671</v>
      </c>
      <c r="K39" s="84">
        <f>+'Tabla 100'!$D$3*D39+'Tabla 100'!$E$3*E39+'Tabla 100'!$F$3*F39+'Tabla 100'!$G$3*G39+'Tabla 100'!$H$3*H39+'Tabla 100'!$I$3*I39+J39*'Tabla 100'!$J$3+A39/1000</f>
        <v>56.046383427991593</v>
      </c>
    </row>
  </sheetData>
  <sortState xmlns:xlrd2="http://schemas.microsoft.com/office/spreadsheetml/2017/richdata2" ref="L5:M39">
    <sortCondition descending="1" ref="M5:M39"/>
  </sortState>
  <mergeCells count="1">
    <mergeCell ref="D2:K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053A4-AD0B-4065-9DAB-E67C3F60E1A4}">
  <dimension ref="A2:H22"/>
  <sheetViews>
    <sheetView workbookViewId="0"/>
  </sheetViews>
  <sheetFormatPr baseColWidth="10" defaultRowHeight="14.4" x14ac:dyDescent="0.3"/>
  <cols>
    <col min="1" max="1" width="11.5546875" style="52"/>
    <col min="2" max="8" width="19.33203125" style="52" customWidth="1"/>
    <col min="9" max="16384" width="11.5546875" style="52"/>
  </cols>
  <sheetData>
    <row r="2" spans="1:8" x14ac:dyDescent="0.3">
      <c r="B2" s="58" t="s">
        <v>918</v>
      </c>
      <c r="C2" s="58" t="s">
        <v>922</v>
      </c>
      <c r="D2" s="58" t="s">
        <v>919</v>
      </c>
      <c r="E2" s="58" t="s">
        <v>923</v>
      </c>
      <c r="F2" s="58" t="s">
        <v>920</v>
      </c>
      <c r="G2" s="58" t="s">
        <v>921</v>
      </c>
      <c r="H2" s="58" t="str">
        <f>+'Op4'!I361</f>
        <v>Equipo Completo</v>
      </c>
    </row>
    <row r="3" spans="1:8" x14ac:dyDescent="0.3">
      <c r="A3" s="58" t="s">
        <v>45</v>
      </c>
      <c r="B3" s="69">
        <f>+VLOOKUP($A3,'Op4'!$B$45:$O$79,14,FALSE)</f>
        <v>82.758620689655174</v>
      </c>
      <c r="C3" s="69">
        <f>+VLOOKUP($A3,'Op4'!$B$84:$O$118,14,FALSE)</f>
        <v>69.26229508196721</v>
      </c>
      <c r="D3" s="69">
        <f>+VLOOKUP($A3,'Op4'!$B$123:$O$157,14,FALSE)</f>
        <v>76.666666666666671</v>
      </c>
      <c r="E3" s="69">
        <f>+VLOOKUP($A3,'Op4'!$B$206:$O$240,14,FALSE)</f>
        <v>67.668287172164682</v>
      </c>
      <c r="F3" s="69">
        <f>+VLOOKUP($A3,'Op4'!$B$245:$O$279,14,FALSE)</f>
        <v>0</v>
      </c>
      <c r="G3" s="69">
        <f>+VLOOKUP($A3,'Op4'!$B$285:$O$319,14,FALSE)</f>
        <v>93.333333333333329</v>
      </c>
      <c r="H3" s="69">
        <f>+VLOOKUP($A3,'Op4'!$B$324:$O$358,14,FALSE)</f>
        <v>96.666666666666671</v>
      </c>
    </row>
    <row r="5" spans="1:8" x14ac:dyDescent="0.3">
      <c r="B5" s="56"/>
      <c r="C5" s="56"/>
      <c r="D5" s="56"/>
      <c r="F5" s="56"/>
      <c r="G5" s="56"/>
    </row>
    <row r="6" spans="1:8" x14ac:dyDescent="0.3">
      <c r="B6" s="56"/>
      <c r="C6" s="56"/>
      <c r="D6" s="56"/>
      <c r="E6" s="68"/>
      <c r="F6" s="68"/>
      <c r="G6" s="68"/>
      <c r="H6" s="68"/>
    </row>
    <row r="7" spans="1:8" x14ac:dyDescent="0.3">
      <c r="B7" s="56"/>
      <c r="C7" s="56"/>
      <c r="D7" s="56"/>
      <c r="E7" s="68"/>
      <c r="F7" s="68"/>
      <c r="G7" s="68"/>
      <c r="H7" s="68"/>
    </row>
    <row r="8" spans="1:8" x14ac:dyDescent="0.3">
      <c r="B8" s="56"/>
      <c r="C8" s="56"/>
      <c r="D8" s="56"/>
      <c r="E8" s="68"/>
      <c r="F8" s="68"/>
      <c r="G8" s="68"/>
      <c r="H8" s="68"/>
    </row>
    <row r="9" spans="1:8" x14ac:dyDescent="0.3">
      <c r="B9" s="56"/>
      <c r="C9" s="56"/>
      <c r="D9" s="56"/>
      <c r="E9" s="68"/>
      <c r="F9" s="68"/>
      <c r="G9" s="68"/>
      <c r="H9" s="68"/>
    </row>
    <row r="10" spans="1:8" x14ac:dyDescent="0.3">
      <c r="B10" s="56"/>
      <c r="C10" s="56"/>
      <c r="D10" s="56"/>
      <c r="E10" s="68"/>
      <c r="F10" s="68"/>
      <c r="G10" s="68"/>
      <c r="H10" s="68"/>
    </row>
    <row r="11" spans="1:8" x14ac:dyDescent="0.3">
      <c r="B11" s="56"/>
      <c r="C11" s="56"/>
      <c r="D11" s="56"/>
      <c r="E11" s="68"/>
      <c r="F11" s="68"/>
      <c r="G11" s="68"/>
      <c r="H11" s="68"/>
    </row>
    <row r="12" spans="1:8" x14ac:dyDescent="0.3">
      <c r="B12" s="56"/>
      <c r="C12" s="56"/>
      <c r="D12" s="56"/>
      <c r="E12" s="68"/>
      <c r="F12" s="68"/>
      <c r="G12" s="68"/>
      <c r="H12" s="68"/>
    </row>
    <row r="13" spans="1:8" x14ac:dyDescent="0.3">
      <c r="B13" s="56"/>
      <c r="C13" s="56"/>
      <c r="D13" s="56"/>
      <c r="E13" s="68"/>
      <c r="F13" s="68"/>
      <c r="G13" s="68"/>
      <c r="H13" s="68"/>
    </row>
    <row r="14" spans="1:8" x14ac:dyDescent="0.3">
      <c r="B14" s="56"/>
      <c r="C14" s="56"/>
      <c r="D14" s="56"/>
      <c r="E14" s="68"/>
      <c r="F14" s="68"/>
      <c r="G14" s="68"/>
      <c r="H14" s="68"/>
    </row>
    <row r="15" spans="1:8" x14ac:dyDescent="0.3">
      <c r="B15" s="56"/>
      <c r="C15" s="56"/>
      <c r="D15" s="56"/>
      <c r="E15" s="68"/>
      <c r="F15" s="68"/>
      <c r="G15" s="68"/>
      <c r="H15" s="68"/>
    </row>
    <row r="16" spans="1:8" x14ac:dyDescent="0.3">
      <c r="B16" s="56"/>
      <c r="C16" s="56"/>
      <c r="D16" s="56"/>
      <c r="E16" s="68"/>
      <c r="F16" s="68"/>
      <c r="G16" s="68"/>
      <c r="H16" s="68"/>
    </row>
    <row r="17" spans="2:8" x14ac:dyDescent="0.3">
      <c r="B17" s="56"/>
      <c r="C17" s="56"/>
      <c r="D17" s="56"/>
      <c r="E17" s="68"/>
      <c r="F17" s="68"/>
      <c r="G17" s="68"/>
      <c r="H17" s="68"/>
    </row>
    <row r="18" spans="2:8" x14ac:dyDescent="0.3">
      <c r="B18" s="56"/>
      <c r="C18" s="56"/>
      <c r="D18" s="56"/>
      <c r="E18" s="68"/>
      <c r="F18" s="68"/>
      <c r="G18" s="68"/>
      <c r="H18" s="68"/>
    </row>
    <row r="19" spans="2:8" x14ac:dyDescent="0.3">
      <c r="B19" s="56"/>
      <c r="C19" s="56"/>
      <c r="D19" s="56"/>
      <c r="E19" s="68"/>
      <c r="F19" s="68"/>
      <c r="G19" s="68"/>
      <c r="H19" s="68"/>
    </row>
    <row r="20" spans="2:8" x14ac:dyDescent="0.3">
      <c r="B20" s="56"/>
      <c r="C20" s="56"/>
      <c r="D20" s="56"/>
      <c r="E20" s="68"/>
      <c r="F20" s="68"/>
      <c r="G20" s="68"/>
      <c r="H20" s="68"/>
    </row>
    <row r="21" spans="2:8" x14ac:dyDescent="0.3">
      <c r="B21" s="56"/>
      <c r="C21" s="56"/>
      <c r="D21" s="56"/>
      <c r="E21" s="56"/>
      <c r="F21" s="56"/>
      <c r="G21" s="56"/>
    </row>
    <row r="22" spans="2:8" x14ac:dyDescent="0.3">
      <c r="B22" s="56"/>
      <c r="C22" s="56"/>
      <c r="D22" s="56"/>
      <c r="E22" s="56"/>
      <c r="F22" s="56"/>
      <c r="G22" s="56"/>
    </row>
  </sheetData>
  <mergeCells count="1">
    <mergeCell ref="E6:H20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3B7565-9AFB-4040-AB4D-312507040F18}">
          <x14:formula1>
            <xm:f>'Tabla Ranking'!$C$5:$C$39</xm:f>
          </x14:formula1>
          <xm:sqref>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Crudo</vt:lpstr>
      <vt:lpstr>Resumen</vt:lpstr>
      <vt:lpstr>Crudo2</vt:lpstr>
      <vt:lpstr>Resumen2</vt:lpstr>
      <vt:lpstr>Op3</vt:lpstr>
      <vt:lpstr>Op4</vt:lpstr>
      <vt:lpstr>I1</vt:lpstr>
      <vt:lpstr>I2</vt:lpstr>
      <vt:lpstr>I3</vt:lpstr>
      <vt:lpstr>I4a</vt:lpstr>
      <vt:lpstr>I4b</vt:lpstr>
      <vt:lpstr>I5</vt:lpstr>
      <vt:lpstr>I6</vt:lpstr>
      <vt:lpstr>I7</vt:lpstr>
      <vt:lpstr>Tabla Ranking</vt:lpstr>
      <vt:lpstr>Tabla 100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Sotil</dc:creator>
  <cp:lastModifiedBy>Andres Sotil</cp:lastModifiedBy>
  <dcterms:created xsi:type="dcterms:W3CDTF">2026-02-14T21:53:36Z</dcterms:created>
  <dcterms:modified xsi:type="dcterms:W3CDTF">2026-02-19T03:50:59Z</dcterms:modified>
</cp:coreProperties>
</file>